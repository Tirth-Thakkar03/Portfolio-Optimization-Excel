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Tirth\OneDrive\Desktop\"/>
    </mc:Choice>
  </mc:AlternateContent>
  <xr:revisionPtr revIDLastSave="0" documentId="13_ncr:1_{331D8809-6B3B-4837-840F-AB0F7DCC1DDF}" xr6:coauthVersionLast="47" xr6:coauthVersionMax="47" xr10:uidLastSave="{00000000-0000-0000-0000-000000000000}"/>
  <bookViews>
    <workbookView xWindow="-108" yWindow="-108" windowWidth="23256" windowHeight="12456" firstSheet="2" activeTab="2" xr2:uid="{CB5684A9-3D7C-48EC-B9C5-DA1D340B6565}"/>
  </bookViews>
  <sheets>
    <sheet name="📊 Dashboard" sheetId="10" r:id="rId1"/>
    <sheet name="Data of Top 7 Stocks" sheetId="1" r:id="rId2"/>
    <sheet name="Return of Top 7 Stocks" sheetId="4" r:id="rId3"/>
    <sheet name="Standard Optimum Portfolio" sheetId="5" r:id="rId4"/>
    <sheet name="Data of High Volatile Stocks " sheetId="2" r:id="rId5"/>
    <sheet name="Return of volatile stocks" sheetId="6" r:id="rId6"/>
    <sheet name="Optimum Portfolio " sheetId="7" r:id="rId7"/>
    <sheet name="Combined Portfolio Returns " sheetId="8" r:id="rId8"/>
    <sheet name="Combined Optimum Portfolio" sheetId="9" r:id="rId9"/>
    <sheet name="Bull case" sheetId="3" r:id="rId10"/>
  </sheets>
  <definedNames>
    <definedName name="solver_adj" localSheetId="4" hidden="1">'Data of High Volatile Stocks '!$G$478:$G$491</definedName>
    <definedName name="solver_cvg" localSheetId="4" hidden="1">0.0001</definedName>
    <definedName name="solver_drv" localSheetId="4" hidden="1">1</definedName>
    <definedName name="solver_eng" localSheetId="4" hidden="1">1</definedName>
    <definedName name="solver_est" localSheetId="4" hidden="1">1</definedName>
    <definedName name="solver_itr" localSheetId="4" hidden="1">2147483647</definedName>
    <definedName name="solver_lhs1" localSheetId="4" hidden="1">'Data of High Volatile Stocks '!$G$478:$G$491</definedName>
    <definedName name="solver_lhs2" localSheetId="4" hidden="1">'Data of High Volatile Stocks '!$G$493</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2</definedName>
    <definedName name="solver_nwt" localSheetId="4" hidden="1">1</definedName>
    <definedName name="solver_opt" localSheetId="4" hidden="1">'Data of High Volatile Stocks '!$D$501</definedName>
    <definedName name="solver_pre" localSheetId="4" hidden="1">0.000001</definedName>
    <definedName name="solver_rbv" localSheetId="4" hidden="1">1</definedName>
    <definedName name="solver_rel1" localSheetId="4" hidden="1">3</definedName>
    <definedName name="solver_rel2" localSheetId="4" hidden="1">2</definedName>
    <definedName name="solver_rhs1" localSheetId="4" hidden="1">0</definedName>
    <definedName name="solver_rhs2" localSheetId="4" hidden="1">1</definedName>
    <definedName name="solver_rlx" localSheetId="4" hidden="1">2</definedName>
    <definedName name="solver_rsd" localSheetId="4" hidden="1">0</definedName>
    <definedName name="solver_scl" localSheetId="4" hidden="1">1</definedName>
    <definedName name="solver_sho" localSheetId="4" hidden="1">2</definedName>
    <definedName name="solver_ssz" localSheetId="4" hidden="1">100</definedName>
    <definedName name="solver_tim" localSheetId="4" hidden="1">2147483647</definedName>
    <definedName name="solver_tol" localSheetId="4" hidden="1">0.01</definedName>
    <definedName name="solver_typ" localSheetId="4" hidden="1">1</definedName>
    <definedName name="solver_val" localSheetId="4" hidden="1">0</definedName>
    <definedName name="solver_ver" localSheetId="4"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98" i="4" l="1"/>
  <c r="E48" i="7"/>
  <c r="D67" i="9"/>
  <c r="D5" i="5" a="1"/>
  <c r="D5" i="5" s="1"/>
  <c r="F203" i="4"/>
  <c r="G203" i="4"/>
  <c r="H203" i="4"/>
  <c r="I203" i="4"/>
  <c r="J203" i="4"/>
  <c r="K203" i="4"/>
  <c r="E203" i="4"/>
  <c r="D64" i="9"/>
  <c r="D63" i="9" a="1"/>
  <c r="D63" i="9" s="1"/>
  <c r="D62" i="9"/>
  <c r="G58" i="9"/>
  <c r="G44" i="9"/>
  <c r="G45" i="9"/>
  <c r="G46" i="9"/>
  <c r="G47" i="9"/>
  <c r="G48" i="9"/>
  <c r="G49" i="9"/>
  <c r="G50" i="9"/>
  <c r="G51" i="9"/>
  <c r="G52" i="9"/>
  <c r="G53" i="9"/>
  <c r="G54" i="9"/>
  <c r="G55" i="9"/>
  <c r="G56" i="9"/>
  <c r="G43" i="9"/>
  <c r="E43" i="9" a="1"/>
  <c r="E43" i="9" s="1"/>
  <c r="C56" i="9"/>
  <c r="C55" i="9"/>
  <c r="C54" i="9"/>
  <c r="C53" i="9"/>
  <c r="C52" i="9"/>
  <c r="C51" i="9"/>
  <c r="C50" i="9"/>
  <c r="C49" i="9"/>
  <c r="C48" i="9"/>
  <c r="C47" i="9"/>
  <c r="C46" i="9"/>
  <c r="C45" i="9"/>
  <c r="C44" i="9"/>
  <c r="C43" i="9"/>
  <c r="C35" i="9"/>
  <c r="C34" i="9" a="1"/>
  <c r="C34" i="9" s="1"/>
  <c r="C33" i="9"/>
  <c r="C30" i="9" a="1"/>
  <c r="C30" i="9" s="1"/>
  <c r="AJ208" i="8"/>
  <c r="AK208" i="8"/>
  <c r="AL208" i="8"/>
  <c r="AM208" i="8"/>
  <c r="AN208" i="8"/>
  <c r="AO208" i="8"/>
  <c r="AP208" i="8"/>
  <c r="AQ208" i="8"/>
  <c r="AR208" i="8"/>
  <c r="AS208" i="8"/>
  <c r="AT208" i="8"/>
  <c r="AU208" i="8"/>
  <c r="AV208" i="8"/>
  <c r="AJ209" i="8"/>
  <c r="AK209" i="8"/>
  <c r="AL209" i="8"/>
  <c r="AM209" i="8"/>
  <c r="AN209" i="8"/>
  <c r="AO209" i="8"/>
  <c r="AP209" i="8"/>
  <c r="AQ209" i="8"/>
  <c r="AR209" i="8"/>
  <c r="AS209" i="8"/>
  <c r="AT209" i="8"/>
  <c r="AU209" i="8"/>
  <c r="AV209" i="8"/>
  <c r="AJ210" i="8"/>
  <c r="AK210" i="8"/>
  <c r="AL210" i="8"/>
  <c r="AM210" i="8"/>
  <c r="AN210" i="8"/>
  <c r="AO210" i="8"/>
  <c r="AP210" i="8"/>
  <c r="AQ210" i="8"/>
  <c r="AR210" i="8"/>
  <c r="AS210" i="8"/>
  <c r="AT210" i="8"/>
  <c r="AU210" i="8"/>
  <c r="AV210" i="8"/>
  <c r="AI210" i="8"/>
  <c r="AI209" i="8"/>
  <c r="AI208" i="8"/>
  <c r="T210" i="8"/>
  <c r="U210" i="8"/>
  <c r="V210" i="8"/>
  <c r="W210" i="8"/>
  <c r="X210" i="8"/>
  <c r="Y210" i="8"/>
  <c r="Z210" i="8"/>
  <c r="AA210" i="8"/>
  <c r="AB210" i="8"/>
  <c r="AC210" i="8"/>
  <c r="AD210" i="8"/>
  <c r="AE210" i="8"/>
  <c r="AF210" i="8"/>
  <c r="S210" i="8"/>
  <c r="T209" i="8"/>
  <c r="U209" i="8"/>
  <c r="V209" i="8"/>
  <c r="W209" i="8"/>
  <c r="X209" i="8"/>
  <c r="Y209" i="8"/>
  <c r="Z209" i="8"/>
  <c r="AA209" i="8"/>
  <c r="AB209" i="8"/>
  <c r="AC209" i="8"/>
  <c r="AD209" i="8"/>
  <c r="AE209" i="8"/>
  <c r="AF209" i="8"/>
  <c r="S209" i="8"/>
  <c r="T208" i="8"/>
  <c r="U208" i="8"/>
  <c r="V208" i="8"/>
  <c r="W208" i="8"/>
  <c r="X208" i="8"/>
  <c r="Y208" i="8"/>
  <c r="Z208" i="8"/>
  <c r="AA208" i="8"/>
  <c r="AB208" i="8"/>
  <c r="AC208" i="8"/>
  <c r="AD208" i="8"/>
  <c r="AE208" i="8"/>
  <c r="AF208" i="8"/>
  <c r="S208" i="8"/>
  <c r="D210" i="8"/>
  <c r="E210" i="8"/>
  <c r="F210" i="8"/>
  <c r="G210" i="8"/>
  <c r="H210" i="8"/>
  <c r="I210" i="8"/>
  <c r="J210" i="8"/>
  <c r="K210" i="8"/>
  <c r="L210" i="8"/>
  <c r="M210" i="8"/>
  <c r="N210" i="8"/>
  <c r="O210" i="8"/>
  <c r="P210" i="8"/>
  <c r="C210" i="8"/>
  <c r="D209" i="8"/>
  <c r="E209" i="8"/>
  <c r="F209" i="8"/>
  <c r="G209" i="8"/>
  <c r="H209" i="8"/>
  <c r="I209" i="8"/>
  <c r="J209" i="8"/>
  <c r="K209" i="8"/>
  <c r="L209" i="8"/>
  <c r="M209" i="8"/>
  <c r="N209" i="8"/>
  <c r="O209" i="8"/>
  <c r="P209" i="8"/>
  <c r="C209" i="8"/>
  <c r="D208" i="8"/>
  <c r="E208" i="8"/>
  <c r="F208" i="8"/>
  <c r="G208" i="8"/>
  <c r="H208" i="8"/>
  <c r="I208" i="8"/>
  <c r="J208" i="8"/>
  <c r="K208" i="8"/>
  <c r="L208" i="8"/>
  <c r="M208" i="8"/>
  <c r="N208" i="8"/>
  <c r="O208" i="8"/>
  <c r="P208" i="8"/>
  <c r="C208" i="8"/>
  <c r="S5" i="9" a="1"/>
  <c r="S5" i="9" s="1"/>
  <c r="C5" i="9" a="1"/>
  <c r="C5" i="9" s="1"/>
  <c r="S7" i="8"/>
  <c r="T7" i="8"/>
  <c r="U7" i="8"/>
  <c r="V7" i="8"/>
  <c r="W7" i="8"/>
  <c r="X7" i="8"/>
  <c r="Y7" i="8"/>
  <c r="Z7" i="8"/>
  <c r="AA7" i="8"/>
  <c r="AB7" i="8"/>
  <c r="AC7" i="8"/>
  <c r="AD7" i="8"/>
  <c r="AE7" i="8"/>
  <c r="AF7" i="8"/>
  <c r="S8" i="8"/>
  <c r="T8" i="8"/>
  <c r="U8" i="8"/>
  <c r="V8" i="8"/>
  <c r="W8" i="8"/>
  <c r="X8" i="8"/>
  <c r="Y8" i="8"/>
  <c r="Z8" i="8"/>
  <c r="AA8" i="8"/>
  <c r="AB8" i="8"/>
  <c r="AC8" i="8"/>
  <c r="AD8" i="8"/>
  <c r="AE8" i="8"/>
  <c r="AF8" i="8"/>
  <c r="S9" i="8"/>
  <c r="T9" i="8"/>
  <c r="U9" i="8"/>
  <c r="V9" i="8"/>
  <c r="W9" i="8"/>
  <c r="X9" i="8"/>
  <c r="Y9" i="8"/>
  <c r="Z9" i="8"/>
  <c r="AA9" i="8"/>
  <c r="AB9" i="8"/>
  <c r="AC9" i="8"/>
  <c r="AD9" i="8"/>
  <c r="AE9" i="8"/>
  <c r="AF9" i="8"/>
  <c r="S10" i="8"/>
  <c r="T10" i="8"/>
  <c r="U10" i="8"/>
  <c r="V10" i="8"/>
  <c r="W10" i="8"/>
  <c r="X10" i="8"/>
  <c r="Y10" i="8"/>
  <c r="Z10" i="8"/>
  <c r="AA10" i="8"/>
  <c r="AB10" i="8"/>
  <c r="AC10" i="8"/>
  <c r="AD10" i="8"/>
  <c r="AE10" i="8"/>
  <c r="AF10" i="8"/>
  <c r="S11" i="8"/>
  <c r="T11" i="8"/>
  <c r="U11" i="8"/>
  <c r="V11" i="8"/>
  <c r="W11" i="8"/>
  <c r="X11" i="8"/>
  <c r="Y11" i="8"/>
  <c r="Z11" i="8"/>
  <c r="AA11" i="8"/>
  <c r="AB11" i="8"/>
  <c r="AC11" i="8"/>
  <c r="AD11" i="8"/>
  <c r="AE11" i="8"/>
  <c r="AF11" i="8"/>
  <c r="S12" i="8"/>
  <c r="T12" i="8"/>
  <c r="U12" i="8"/>
  <c r="V12" i="8"/>
  <c r="W12" i="8"/>
  <c r="X12" i="8"/>
  <c r="Y12" i="8"/>
  <c r="Z12" i="8"/>
  <c r="AA12" i="8"/>
  <c r="AB12" i="8"/>
  <c r="AC12" i="8"/>
  <c r="AD12" i="8"/>
  <c r="AE12" i="8"/>
  <c r="AF12" i="8"/>
  <c r="S13" i="8"/>
  <c r="T13" i="8"/>
  <c r="U13" i="8"/>
  <c r="V13" i="8"/>
  <c r="W13" i="8"/>
  <c r="X13" i="8"/>
  <c r="Y13" i="8"/>
  <c r="Z13" i="8"/>
  <c r="AA13" i="8"/>
  <c r="AB13" i="8"/>
  <c r="AC13" i="8"/>
  <c r="AD13" i="8"/>
  <c r="AE13" i="8"/>
  <c r="AF13" i="8"/>
  <c r="S14" i="8"/>
  <c r="T14" i="8"/>
  <c r="U14" i="8"/>
  <c r="V14" i="8"/>
  <c r="W14" i="8"/>
  <c r="X14" i="8"/>
  <c r="Y14" i="8"/>
  <c r="Z14" i="8"/>
  <c r="AA14" i="8"/>
  <c r="AB14" i="8"/>
  <c r="AC14" i="8"/>
  <c r="AD14" i="8"/>
  <c r="AE14" i="8"/>
  <c r="AF14" i="8"/>
  <c r="S15" i="8"/>
  <c r="T15" i="8"/>
  <c r="U15" i="8"/>
  <c r="V15" i="8"/>
  <c r="W15" i="8"/>
  <c r="X15" i="8"/>
  <c r="Y15" i="8"/>
  <c r="Z15" i="8"/>
  <c r="AA15" i="8"/>
  <c r="AB15" i="8"/>
  <c r="AC15" i="8"/>
  <c r="AD15" i="8"/>
  <c r="AE15" i="8"/>
  <c r="AF15" i="8"/>
  <c r="S16" i="8"/>
  <c r="T16" i="8"/>
  <c r="U16" i="8"/>
  <c r="V16" i="8"/>
  <c r="W16" i="8"/>
  <c r="X16" i="8"/>
  <c r="Y16" i="8"/>
  <c r="Z16" i="8"/>
  <c r="AA16" i="8"/>
  <c r="AB16" i="8"/>
  <c r="AC16" i="8"/>
  <c r="AD16" i="8"/>
  <c r="AE16" i="8"/>
  <c r="AF16" i="8"/>
  <c r="S17" i="8"/>
  <c r="T17" i="8"/>
  <c r="U17" i="8"/>
  <c r="V17" i="8"/>
  <c r="W17" i="8"/>
  <c r="X17" i="8"/>
  <c r="Y17" i="8"/>
  <c r="Z17" i="8"/>
  <c r="AA17" i="8"/>
  <c r="AB17" i="8"/>
  <c r="AC17" i="8"/>
  <c r="AD17" i="8"/>
  <c r="AE17" i="8"/>
  <c r="AF17" i="8"/>
  <c r="S18" i="8"/>
  <c r="T18" i="8"/>
  <c r="U18" i="8"/>
  <c r="V18" i="8"/>
  <c r="W18" i="8"/>
  <c r="X18" i="8"/>
  <c r="Y18" i="8"/>
  <c r="Z18" i="8"/>
  <c r="AA18" i="8"/>
  <c r="AB18" i="8"/>
  <c r="AC18" i="8"/>
  <c r="AD18" i="8"/>
  <c r="AE18" i="8"/>
  <c r="AF18" i="8"/>
  <c r="S19" i="8"/>
  <c r="T19" i="8"/>
  <c r="U19" i="8"/>
  <c r="V19" i="8"/>
  <c r="W19" i="8"/>
  <c r="X19" i="8"/>
  <c r="Y19" i="8"/>
  <c r="Z19" i="8"/>
  <c r="AA19" i="8"/>
  <c r="AB19" i="8"/>
  <c r="AC19" i="8"/>
  <c r="AD19" i="8"/>
  <c r="AE19" i="8"/>
  <c r="AF19" i="8"/>
  <c r="S20" i="8"/>
  <c r="T20" i="8"/>
  <c r="U20" i="8"/>
  <c r="V20" i="8"/>
  <c r="W20" i="8"/>
  <c r="X20" i="8"/>
  <c r="Y20" i="8"/>
  <c r="Z20" i="8"/>
  <c r="AA20" i="8"/>
  <c r="AB20" i="8"/>
  <c r="AC20" i="8"/>
  <c r="AD20" i="8"/>
  <c r="AE20" i="8"/>
  <c r="AF20" i="8"/>
  <c r="S21" i="8"/>
  <c r="T21" i="8"/>
  <c r="U21" i="8"/>
  <c r="V21" i="8"/>
  <c r="W21" i="8"/>
  <c r="X21" i="8"/>
  <c r="Y21" i="8"/>
  <c r="Z21" i="8"/>
  <c r="AA21" i="8"/>
  <c r="AB21" i="8"/>
  <c r="AC21" i="8"/>
  <c r="AD21" i="8"/>
  <c r="AE21" i="8"/>
  <c r="AF21" i="8"/>
  <c r="S22" i="8"/>
  <c r="T22" i="8"/>
  <c r="U22" i="8"/>
  <c r="V22" i="8"/>
  <c r="W22" i="8"/>
  <c r="X22" i="8"/>
  <c r="Y22" i="8"/>
  <c r="Z22" i="8"/>
  <c r="AA22" i="8"/>
  <c r="AB22" i="8"/>
  <c r="AC22" i="8"/>
  <c r="AD22" i="8"/>
  <c r="AE22" i="8"/>
  <c r="AF22" i="8"/>
  <c r="S23" i="8"/>
  <c r="T23" i="8"/>
  <c r="U23" i="8"/>
  <c r="V23" i="8"/>
  <c r="W23" i="8"/>
  <c r="X23" i="8"/>
  <c r="Y23" i="8"/>
  <c r="Z23" i="8"/>
  <c r="AA23" i="8"/>
  <c r="AB23" i="8"/>
  <c r="AC23" i="8"/>
  <c r="AD23" i="8"/>
  <c r="AE23" i="8"/>
  <c r="AF23" i="8"/>
  <c r="S24" i="8"/>
  <c r="T24" i="8"/>
  <c r="U24" i="8"/>
  <c r="V24" i="8"/>
  <c r="W24" i="8"/>
  <c r="X24" i="8"/>
  <c r="Y24" i="8"/>
  <c r="Z24" i="8"/>
  <c r="AA24" i="8"/>
  <c r="AB24" i="8"/>
  <c r="AC24" i="8"/>
  <c r="AD24" i="8"/>
  <c r="AE24" i="8"/>
  <c r="AF24" i="8"/>
  <c r="S25" i="8"/>
  <c r="T25" i="8"/>
  <c r="U25" i="8"/>
  <c r="V25" i="8"/>
  <c r="W25" i="8"/>
  <c r="X25" i="8"/>
  <c r="Y25" i="8"/>
  <c r="Z25" i="8"/>
  <c r="AA25" i="8"/>
  <c r="AB25" i="8"/>
  <c r="AC25" i="8"/>
  <c r="AD25" i="8"/>
  <c r="AE25" i="8"/>
  <c r="AF25" i="8"/>
  <c r="S26" i="8"/>
  <c r="T26" i="8"/>
  <c r="U26" i="8"/>
  <c r="V26" i="8"/>
  <c r="W26" i="8"/>
  <c r="X26" i="8"/>
  <c r="Y26" i="8"/>
  <c r="Z26" i="8"/>
  <c r="AA26" i="8"/>
  <c r="AB26" i="8"/>
  <c r="AC26" i="8"/>
  <c r="AD26" i="8"/>
  <c r="AE26" i="8"/>
  <c r="AF26" i="8"/>
  <c r="S27" i="8"/>
  <c r="T27" i="8"/>
  <c r="U27" i="8"/>
  <c r="V27" i="8"/>
  <c r="W27" i="8"/>
  <c r="X27" i="8"/>
  <c r="Y27" i="8"/>
  <c r="Z27" i="8"/>
  <c r="AA27" i="8"/>
  <c r="AB27" i="8"/>
  <c r="AC27" i="8"/>
  <c r="AD27" i="8"/>
  <c r="AE27" i="8"/>
  <c r="AF27" i="8"/>
  <c r="S28" i="8"/>
  <c r="T28" i="8"/>
  <c r="U28" i="8"/>
  <c r="V28" i="8"/>
  <c r="W28" i="8"/>
  <c r="X28" i="8"/>
  <c r="Y28" i="8"/>
  <c r="Z28" i="8"/>
  <c r="AA28" i="8"/>
  <c r="AB28" i="8"/>
  <c r="AC28" i="8"/>
  <c r="AD28" i="8"/>
  <c r="AE28" i="8"/>
  <c r="AF28" i="8"/>
  <c r="S29" i="8"/>
  <c r="T29" i="8"/>
  <c r="U29" i="8"/>
  <c r="V29" i="8"/>
  <c r="W29" i="8"/>
  <c r="X29" i="8"/>
  <c r="Y29" i="8"/>
  <c r="Z29" i="8"/>
  <c r="AA29" i="8"/>
  <c r="AB29" i="8"/>
  <c r="AC29" i="8"/>
  <c r="AD29" i="8"/>
  <c r="AE29" i="8"/>
  <c r="AF29" i="8"/>
  <c r="S30" i="8"/>
  <c r="T30" i="8"/>
  <c r="U30" i="8"/>
  <c r="V30" i="8"/>
  <c r="W30" i="8"/>
  <c r="X30" i="8"/>
  <c r="Y30" i="8"/>
  <c r="Z30" i="8"/>
  <c r="AA30" i="8"/>
  <c r="AB30" i="8"/>
  <c r="AC30" i="8"/>
  <c r="AD30" i="8"/>
  <c r="AE30" i="8"/>
  <c r="AF30" i="8"/>
  <c r="S31" i="8"/>
  <c r="T31" i="8"/>
  <c r="U31" i="8"/>
  <c r="V31" i="8"/>
  <c r="W31" i="8"/>
  <c r="X31" i="8"/>
  <c r="Y31" i="8"/>
  <c r="Z31" i="8"/>
  <c r="AA31" i="8"/>
  <c r="AB31" i="8"/>
  <c r="AC31" i="8"/>
  <c r="AD31" i="8"/>
  <c r="AE31" i="8"/>
  <c r="AF31" i="8"/>
  <c r="S32" i="8"/>
  <c r="T32" i="8"/>
  <c r="U32" i="8"/>
  <c r="V32" i="8"/>
  <c r="W32" i="8"/>
  <c r="X32" i="8"/>
  <c r="Y32" i="8"/>
  <c r="Z32" i="8"/>
  <c r="AA32" i="8"/>
  <c r="AB32" i="8"/>
  <c r="AC32" i="8"/>
  <c r="AD32" i="8"/>
  <c r="AE32" i="8"/>
  <c r="AF32" i="8"/>
  <c r="S33" i="8"/>
  <c r="T33" i="8"/>
  <c r="U33" i="8"/>
  <c r="V33" i="8"/>
  <c r="W33" i="8"/>
  <c r="X33" i="8"/>
  <c r="Y33" i="8"/>
  <c r="Z33" i="8"/>
  <c r="AA33" i="8"/>
  <c r="AB33" i="8"/>
  <c r="AC33" i="8"/>
  <c r="AD33" i="8"/>
  <c r="AE33" i="8"/>
  <c r="AF33" i="8"/>
  <c r="S34" i="8"/>
  <c r="T34" i="8"/>
  <c r="U34" i="8"/>
  <c r="V34" i="8"/>
  <c r="W34" i="8"/>
  <c r="X34" i="8"/>
  <c r="Y34" i="8"/>
  <c r="Z34" i="8"/>
  <c r="AA34" i="8"/>
  <c r="AB34" i="8"/>
  <c r="AC34" i="8"/>
  <c r="AD34" i="8"/>
  <c r="AE34" i="8"/>
  <c r="AF34" i="8"/>
  <c r="S35" i="8"/>
  <c r="T35" i="8"/>
  <c r="U35" i="8"/>
  <c r="V35" i="8"/>
  <c r="W35" i="8"/>
  <c r="X35" i="8"/>
  <c r="Y35" i="8"/>
  <c r="Z35" i="8"/>
  <c r="AA35" i="8"/>
  <c r="AB35" i="8"/>
  <c r="AC35" i="8"/>
  <c r="AD35" i="8"/>
  <c r="AE35" i="8"/>
  <c r="AF35" i="8"/>
  <c r="S36" i="8"/>
  <c r="T36" i="8"/>
  <c r="U36" i="8"/>
  <c r="V36" i="8"/>
  <c r="W36" i="8"/>
  <c r="X36" i="8"/>
  <c r="Y36" i="8"/>
  <c r="Z36" i="8"/>
  <c r="AA36" i="8"/>
  <c r="AB36" i="8"/>
  <c r="AC36" i="8"/>
  <c r="AD36" i="8"/>
  <c r="AE36" i="8"/>
  <c r="AF36" i="8"/>
  <c r="S37" i="8"/>
  <c r="T37" i="8"/>
  <c r="U37" i="8"/>
  <c r="V37" i="8"/>
  <c r="W37" i="8"/>
  <c r="X37" i="8"/>
  <c r="Y37" i="8"/>
  <c r="Z37" i="8"/>
  <c r="AA37" i="8"/>
  <c r="AB37" i="8"/>
  <c r="AC37" i="8"/>
  <c r="AD37" i="8"/>
  <c r="AE37" i="8"/>
  <c r="AF37" i="8"/>
  <c r="S38" i="8"/>
  <c r="T38" i="8"/>
  <c r="U38" i="8"/>
  <c r="V38" i="8"/>
  <c r="W38" i="8"/>
  <c r="X38" i="8"/>
  <c r="Y38" i="8"/>
  <c r="Z38" i="8"/>
  <c r="AA38" i="8"/>
  <c r="AB38" i="8"/>
  <c r="AC38" i="8"/>
  <c r="AD38" i="8"/>
  <c r="AE38" i="8"/>
  <c r="AF38" i="8"/>
  <c r="S39" i="8"/>
  <c r="T39" i="8"/>
  <c r="U39" i="8"/>
  <c r="V39" i="8"/>
  <c r="W39" i="8"/>
  <c r="X39" i="8"/>
  <c r="Y39" i="8"/>
  <c r="Z39" i="8"/>
  <c r="AA39" i="8"/>
  <c r="AB39" i="8"/>
  <c r="AC39" i="8"/>
  <c r="AD39" i="8"/>
  <c r="AE39" i="8"/>
  <c r="AF39" i="8"/>
  <c r="S40" i="8"/>
  <c r="T40" i="8"/>
  <c r="U40" i="8"/>
  <c r="V40" i="8"/>
  <c r="W40" i="8"/>
  <c r="X40" i="8"/>
  <c r="Y40" i="8"/>
  <c r="Z40" i="8"/>
  <c r="AA40" i="8"/>
  <c r="AB40" i="8"/>
  <c r="AC40" i="8"/>
  <c r="AD40" i="8"/>
  <c r="AE40" i="8"/>
  <c r="AF40" i="8"/>
  <c r="S41" i="8"/>
  <c r="T41" i="8"/>
  <c r="U41" i="8"/>
  <c r="V41" i="8"/>
  <c r="W41" i="8"/>
  <c r="X41" i="8"/>
  <c r="Y41" i="8"/>
  <c r="Z41" i="8"/>
  <c r="AA41" i="8"/>
  <c r="AB41" i="8"/>
  <c r="AC41" i="8"/>
  <c r="AD41" i="8"/>
  <c r="AE41" i="8"/>
  <c r="AF41" i="8"/>
  <c r="S42" i="8"/>
  <c r="T42" i="8"/>
  <c r="U42" i="8"/>
  <c r="V42" i="8"/>
  <c r="W42" i="8"/>
  <c r="X42" i="8"/>
  <c r="Y42" i="8"/>
  <c r="Z42" i="8"/>
  <c r="AA42" i="8"/>
  <c r="AB42" i="8"/>
  <c r="AC42" i="8"/>
  <c r="AD42" i="8"/>
  <c r="AE42" i="8"/>
  <c r="AF42" i="8"/>
  <c r="S43" i="8"/>
  <c r="T43" i="8"/>
  <c r="U43" i="8"/>
  <c r="V43" i="8"/>
  <c r="W43" i="8"/>
  <c r="X43" i="8"/>
  <c r="Y43" i="8"/>
  <c r="Z43" i="8"/>
  <c r="AA43" i="8"/>
  <c r="AB43" i="8"/>
  <c r="AC43" i="8"/>
  <c r="AD43" i="8"/>
  <c r="AE43" i="8"/>
  <c r="AF43" i="8"/>
  <c r="S44" i="8"/>
  <c r="T44" i="8"/>
  <c r="U44" i="8"/>
  <c r="V44" i="8"/>
  <c r="W44" i="8"/>
  <c r="X44" i="8"/>
  <c r="Y44" i="8"/>
  <c r="Z44" i="8"/>
  <c r="AA44" i="8"/>
  <c r="AB44" i="8"/>
  <c r="AC44" i="8"/>
  <c r="AD44" i="8"/>
  <c r="AE44" i="8"/>
  <c r="AF44" i="8"/>
  <c r="S45" i="8"/>
  <c r="T45" i="8"/>
  <c r="U45" i="8"/>
  <c r="V45" i="8"/>
  <c r="W45" i="8"/>
  <c r="X45" i="8"/>
  <c r="Y45" i="8"/>
  <c r="Z45" i="8"/>
  <c r="AA45" i="8"/>
  <c r="AB45" i="8"/>
  <c r="AC45" i="8"/>
  <c r="AD45" i="8"/>
  <c r="AE45" i="8"/>
  <c r="AF45" i="8"/>
  <c r="S46" i="8"/>
  <c r="T46" i="8"/>
  <c r="U46" i="8"/>
  <c r="V46" i="8"/>
  <c r="W46" i="8"/>
  <c r="X46" i="8"/>
  <c r="Y46" i="8"/>
  <c r="Z46" i="8"/>
  <c r="AA46" i="8"/>
  <c r="AB46" i="8"/>
  <c r="AC46" i="8"/>
  <c r="AD46" i="8"/>
  <c r="AE46" i="8"/>
  <c r="AF46" i="8"/>
  <c r="S47" i="8"/>
  <c r="T47" i="8"/>
  <c r="U47" i="8"/>
  <c r="V47" i="8"/>
  <c r="W47" i="8"/>
  <c r="X47" i="8"/>
  <c r="Y47" i="8"/>
  <c r="Z47" i="8"/>
  <c r="AA47" i="8"/>
  <c r="AB47" i="8"/>
  <c r="AC47" i="8"/>
  <c r="AD47" i="8"/>
  <c r="AE47" i="8"/>
  <c r="AF47" i="8"/>
  <c r="S48" i="8"/>
  <c r="T48" i="8"/>
  <c r="U48" i="8"/>
  <c r="V48" i="8"/>
  <c r="W48" i="8"/>
  <c r="X48" i="8"/>
  <c r="Y48" i="8"/>
  <c r="Z48" i="8"/>
  <c r="AA48" i="8"/>
  <c r="AB48" i="8"/>
  <c r="AC48" i="8"/>
  <c r="AD48" i="8"/>
  <c r="AE48" i="8"/>
  <c r="AF48" i="8"/>
  <c r="S49" i="8"/>
  <c r="T49" i="8"/>
  <c r="U49" i="8"/>
  <c r="V49" i="8"/>
  <c r="W49" i="8"/>
  <c r="X49" i="8"/>
  <c r="Y49" i="8"/>
  <c r="Z49" i="8"/>
  <c r="AA49" i="8"/>
  <c r="AB49" i="8"/>
  <c r="AC49" i="8"/>
  <c r="AD49" i="8"/>
  <c r="AE49" i="8"/>
  <c r="AF49" i="8"/>
  <c r="S50" i="8"/>
  <c r="T50" i="8"/>
  <c r="U50" i="8"/>
  <c r="V50" i="8"/>
  <c r="W50" i="8"/>
  <c r="X50" i="8"/>
  <c r="Y50" i="8"/>
  <c r="Z50" i="8"/>
  <c r="AA50" i="8"/>
  <c r="AB50" i="8"/>
  <c r="AC50" i="8"/>
  <c r="AD50" i="8"/>
  <c r="AE50" i="8"/>
  <c r="AF50" i="8"/>
  <c r="S51" i="8"/>
  <c r="T51" i="8"/>
  <c r="U51" i="8"/>
  <c r="V51" i="8"/>
  <c r="W51" i="8"/>
  <c r="X51" i="8"/>
  <c r="Y51" i="8"/>
  <c r="Z51" i="8"/>
  <c r="AA51" i="8"/>
  <c r="AB51" i="8"/>
  <c r="AC51" i="8"/>
  <c r="AD51" i="8"/>
  <c r="AE51" i="8"/>
  <c r="AF51" i="8"/>
  <c r="S52" i="8"/>
  <c r="T52" i="8"/>
  <c r="U52" i="8"/>
  <c r="V52" i="8"/>
  <c r="W52" i="8"/>
  <c r="X52" i="8"/>
  <c r="Y52" i="8"/>
  <c r="Z52" i="8"/>
  <c r="AA52" i="8"/>
  <c r="AB52" i="8"/>
  <c r="AC52" i="8"/>
  <c r="AD52" i="8"/>
  <c r="AE52" i="8"/>
  <c r="AF52" i="8"/>
  <c r="S53" i="8"/>
  <c r="T53" i="8"/>
  <c r="U53" i="8"/>
  <c r="V53" i="8"/>
  <c r="W53" i="8"/>
  <c r="X53" i="8"/>
  <c r="Y53" i="8"/>
  <c r="Z53" i="8"/>
  <c r="AA53" i="8"/>
  <c r="AB53" i="8"/>
  <c r="AC53" i="8"/>
  <c r="AD53" i="8"/>
  <c r="AE53" i="8"/>
  <c r="AF53" i="8"/>
  <c r="S54" i="8"/>
  <c r="T54" i="8"/>
  <c r="U54" i="8"/>
  <c r="V54" i="8"/>
  <c r="W54" i="8"/>
  <c r="X54" i="8"/>
  <c r="Y54" i="8"/>
  <c r="Z54" i="8"/>
  <c r="AA54" i="8"/>
  <c r="AB54" i="8"/>
  <c r="AC54" i="8"/>
  <c r="AD54" i="8"/>
  <c r="AE54" i="8"/>
  <c r="AF54" i="8"/>
  <c r="S55" i="8"/>
  <c r="T55" i="8"/>
  <c r="U55" i="8"/>
  <c r="V55" i="8"/>
  <c r="W55" i="8"/>
  <c r="X55" i="8"/>
  <c r="Y55" i="8"/>
  <c r="Z55" i="8"/>
  <c r="AA55" i="8"/>
  <c r="AB55" i="8"/>
  <c r="AC55" i="8"/>
  <c r="AD55" i="8"/>
  <c r="AE55" i="8"/>
  <c r="AF55" i="8"/>
  <c r="S56" i="8"/>
  <c r="T56" i="8"/>
  <c r="U56" i="8"/>
  <c r="V56" i="8"/>
  <c r="W56" i="8"/>
  <c r="X56" i="8"/>
  <c r="Y56" i="8"/>
  <c r="Z56" i="8"/>
  <c r="AA56" i="8"/>
  <c r="AB56" i="8"/>
  <c r="AC56" i="8"/>
  <c r="AD56" i="8"/>
  <c r="AE56" i="8"/>
  <c r="AF56" i="8"/>
  <c r="S57" i="8"/>
  <c r="T57" i="8"/>
  <c r="U57" i="8"/>
  <c r="V57" i="8"/>
  <c r="W57" i="8"/>
  <c r="X57" i="8"/>
  <c r="Y57" i="8"/>
  <c r="Z57" i="8"/>
  <c r="AA57" i="8"/>
  <c r="AB57" i="8"/>
  <c r="AC57" i="8"/>
  <c r="AD57" i="8"/>
  <c r="AE57" i="8"/>
  <c r="AF57" i="8"/>
  <c r="S58" i="8"/>
  <c r="T58" i="8"/>
  <c r="U58" i="8"/>
  <c r="V58" i="8"/>
  <c r="W58" i="8"/>
  <c r="X58" i="8"/>
  <c r="Y58" i="8"/>
  <c r="Z58" i="8"/>
  <c r="AA58" i="8"/>
  <c r="AB58" i="8"/>
  <c r="AC58" i="8"/>
  <c r="AD58" i="8"/>
  <c r="AE58" i="8"/>
  <c r="AF58" i="8"/>
  <c r="S59" i="8"/>
  <c r="T59" i="8"/>
  <c r="U59" i="8"/>
  <c r="V59" i="8"/>
  <c r="W59" i="8"/>
  <c r="X59" i="8"/>
  <c r="Y59" i="8"/>
  <c r="Z59" i="8"/>
  <c r="AA59" i="8"/>
  <c r="AB59" i="8"/>
  <c r="AC59" i="8"/>
  <c r="AD59" i="8"/>
  <c r="AE59" i="8"/>
  <c r="AF59" i="8"/>
  <c r="S60" i="8"/>
  <c r="T60" i="8"/>
  <c r="U60" i="8"/>
  <c r="V60" i="8"/>
  <c r="W60" i="8"/>
  <c r="X60" i="8"/>
  <c r="Y60" i="8"/>
  <c r="Z60" i="8"/>
  <c r="AA60" i="8"/>
  <c r="AB60" i="8"/>
  <c r="AC60" i="8"/>
  <c r="AD60" i="8"/>
  <c r="AE60" i="8"/>
  <c r="AF60" i="8"/>
  <c r="S61" i="8"/>
  <c r="T61" i="8"/>
  <c r="U61" i="8"/>
  <c r="V61" i="8"/>
  <c r="W61" i="8"/>
  <c r="X61" i="8"/>
  <c r="Y61" i="8"/>
  <c r="Z61" i="8"/>
  <c r="AA61" i="8"/>
  <c r="AB61" i="8"/>
  <c r="AC61" i="8"/>
  <c r="AD61" i="8"/>
  <c r="AE61" i="8"/>
  <c r="AF61" i="8"/>
  <c r="S62" i="8"/>
  <c r="T62" i="8"/>
  <c r="U62" i="8"/>
  <c r="V62" i="8"/>
  <c r="W62" i="8"/>
  <c r="X62" i="8"/>
  <c r="Y62" i="8"/>
  <c r="Z62" i="8"/>
  <c r="AA62" i="8"/>
  <c r="AB62" i="8"/>
  <c r="AC62" i="8"/>
  <c r="AD62" i="8"/>
  <c r="AE62" i="8"/>
  <c r="AF62" i="8"/>
  <c r="S63" i="8"/>
  <c r="T63" i="8"/>
  <c r="U63" i="8"/>
  <c r="V63" i="8"/>
  <c r="W63" i="8"/>
  <c r="X63" i="8"/>
  <c r="Y63" i="8"/>
  <c r="Z63" i="8"/>
  <c r="AA63" i="8"/>
  <c r="AB63" i="8"/>
  <c r="AC63" i="8"/>
  <c r="AD63" i="8"/>
  <c r="AE63" i="8"/>
  <c r="AF63" i="8"/>
  <c r="S64" i="8"/>
  <c r="T64" i="8"/>
  <c r="U64" i="8"/>
  <c r="V64" i="8"/>
  <c r="W64" i="8"/>
  <c r="X64" i="8"/>
  <c r="Y64" i="8"/>
  <c r="Z64" i="8"/>
  <c r="AA64" i="8"/>
  <c r="AB64" i="8"/>
  <c r="AC64" i="8"/>
  <c r="AD64" i="8"/>
  <c r="AE64" i="8"/>
  <c r="AF64" i="8"/>
  <c r="S65" i="8"/>
  <c r="T65" i="8"/>
  <c r="U65" i="8"/>
  <c r="V65" i="8"/>
  <c r="W65" i="8"/>
  <c r="X65" i="8"/>
  <c r="Y65" i="8"/>
  <c r="Z65" i="8"/>
  <c r="AA65" i="8"/>
  <c r="AB65" i="8"/>
  <c r="AC65" i="8"/>
  <c r="AD65" i="8"/>
  <c r="AE65" i="8"/>
  <c r="AF65" i="8"/>
  <c r="S66" i="8"/>
  <c r="T66" i="8"/>
  <c r="U66" i="8"/>
  <c r="V66" i="8"/>
  <c r="W66" i="8"/>
  <c r="X66" i="8"/>
  <c r="Y66" i="8"/>
  <c r="Z66" i="8"/>
  <c r="AA66" i="8"/>
  <c r="AB66" i="8"/>
  <c r="AC66" i="8"/>
  <c r="AD66" i="8"/>
  <c r="AE66" i="8"/>
  <c r="AF66" i="8"/>
  <c r="S67" i="8"/>
  <c r="T67" i="8"/>
  <c r="U67" i="8"/>
  <c r="V67" i="8"/>
  <c r="W67" i="8"/>
  <c r="X67" i="8"/>
  <c r="Y67" i="8"/>
  <c r="Z67" i="8"/>
  <c r="AA67" i="8"/>
  <c r="AB67" i="8"/>
  <c r="AC67" i="8"/>
  <c r="AD67" i="8"/>
  <c r="AE67" i="8"/>
  <c r="AF67" i="8"/>
  <c r="S68" i="8"/>
  <c r="T68" i="8"/>
  <c r="U68" i="8"/>
  <c r="V68" i="8"/>
  <c r="W68" i="8"/>
  <c r="X68" i="8"/>
  <c r="Y68" i="8"/>
  <c r="Z68" i="8"/>
  <c r="AA68" i="8"/>
  <c r="AB68" i="8"/>
  <c r="AC68" i="8"/>
  <c r="AD68" i="8"/>
  <c r="AE68" i="8"/>
  <c r="AF68" i="8"/>
  <c r="S69" i="8"/>
  <c r="T69" i="8"/>
  <c r="U69" i="8"/>
  <c r="V69" i="8"/>
  <c r="W69" i="8"/>
  <c r="X69" i="8"/>
  <c r="Y69" i="8"/>
  <c r="Z69" i="8"/>
  <c r="AA69" i="8"/>
  <c r="AB69" i="8"/>
  <c r="AC69" i="8"/>
  <c r="AD69" i="8"/>
  <c r="AE69" i="8"/>
  <c r="AF69" i="8"/>
  <c r="S70" i="8"/>
  <c r="T70" i="8"/>
  <c r="U70" i="8"/>
  <c r="V70" i="8"/>
  <c r="W70" i="8"/>
  <c r="X70" i="8"/>
  <c r="Y70" i="8"/>
  <c r="Z70" i="8"/>
  <c r="AA70" i="8"/>
  <c r="AB70" i="8"/>
  <c r="AC70" i="8"/>
  <c r="AD70" i="8"/>
  <c r="AE70" i="8"/>
  <c r="AF70" i="8"/>
  <c r="S71" i="8"/>
  <c r="T71" i="8"/>
  <c r="U71" i="8"/>
  <c r="V71" i="8"/>
  <c r="W71" i="8"/>
  <c r="X71" i="8"/>
  <c r="Y71" i="8"/>
  <c r="Z71" i="8"/>
  <c r="AA71" i="8"/>
  <c r="AB71" i="8"/>
  <c r="AC71" i="8"/>
  <c r="AD71" i="8"/>
  <c r="AE71" i="8"/>
  <c r="AF71" i="8"/>
  <c r="S72" i="8"/>
  <c r="T72" i="8"/>
  <c r="U72" i="8"/>
  <c r="V72" i="8"/>
  <c r="W72" i="8"/>
  <c r="X72" i="8"/>
  <c r="Y72" i="8"/>
  <c r="Z72" i="8"/>
  <c r="AA72" i="8"/>
  <c r="AB72" i="8"/>
  <c r="AC72" i="8"/>
  <c r="AD72" i="8"/>
  <c r="AE72" i="8"/>
  <c r="AF72" i="8"/>
  <c r="S73" i="8"/>
  <c r="T73" i="8"/>
  <c r="U73" i="8"/>
  <c r="V73" i="8"/>
  <c r="W73" i="8"/>
  <c r="X73" i="8"/>
  <c r="Y73" i="8"/>
  <c r="Z73" i="8"/>
  <c r="AA73" i="8"/>
  <c r="AB73" i="8"/>
  <c r="AC73" i="8"/>
  <c r="AD73" i="8"/>
  <c r="AE73" i="8"/>
  <c r="AF73" i="8"/>
  <c r="S74" i="8"/>
  <c r="T74" i="8"/>
  <c r="U74" i="8"/>
  <c r="V74" i="8"/>
  <c r="W74" i="8"/>
  <c r="X74" i="8"/>
  <c r="Y74" i="8"/>
  <c r="Z74" i="8"/>
  <c r="AA74" i="8"/>
  <c r="AB74" i="8"/>
  <c r="AC74" i="8"/>
  <c r="AD74" i="8"/>
  <c r="AE74" i="8"/>
  <c r="AF74" i="8"/>
  <c r="S75" i="8"/>
  <c r="T75" i="8"/>
  <c r="U75" i="8"/>
  <c r="V75" i="8"/>
  <c r="W75" i="8"/>
  <c r="X75" i="8"/>
  <c r="Y75" i="8"/>
  <c r="Z75" i="8"/>
  <c r="AA75" i="8"/>
  <c r="AB75" i="8"/>
  <c r="AC75" i="8"/>
  <c r="AD75" i="8"/>
  <c r="AE75" i="8"/>
  <c r="AF75" i="8"/>
  <c r="S76" i="8"/>
  <c r="T76" i="8"/>
  <c r="U76" i="8"/>
  <c r="V76" i="8"/>
  <c r="W76" i="8"/>
  <c r="X76" i="8"/>
  <c r="Y76" i="8"/>
  <c r="Z76" i="8"/>
  <c r="AA76" i="8"/>
  <c r="AB76" i="8"/>
  <c r="AC76" i="8"/>
  <c r="AD76" i="8"/>
  <c r="AE76" i="8"/>
  <c r="AF76" i="8"/>
  <c r="S77" i="8"/>
  <c r="T77" i="8"/>
  <c r="U77" i="8"/>
  <c r="V77" i="8"/>
  <c r="W77" i="8"/>
  <c r="X77" i="8"/>
  <c r="Y77" i="8"/>
  <c r="Z77" i="8"/>
  <c r="AA77" i="8"/>
  <c r="AB77" i="8"/>
  <c r="AC77" i="8"/>
  <c r="AD77" i="8"/>
  <c r="AE77" i="8"/>
  <c r="AF77" i="8"/>
  <c r="S78" i="8"/>
  <c r="T78" i="8"/>
  <c r="U78" i="8"/>
  <c r="V78" i="8"/>
  <c r="W78" i="8"/>
  <c r="X78" i="8"/>
  <c r="Y78" i="8"/>
  <c r="Z78" i="8"/>
  <c r="AA78" i="8"/>
  <c r="AB78" i="8"/>
  <c r="AC78" i="8"/>
  <c r="AD78" i="8"/>
  <c r="AE78" i="8"/>
  <c r="AF78" i="8"/>
  <c r="S79" i="8"/>
  <c r="T79" i="8"/>
  <c r="U79" i="8"/>
  <c r="V79" i="8"/>
  <c r="W79" i="8"/>
  <c r="X79" i="8"/>
  <c r="Y79" i="8"/>
  <c r="Z79" i="8"/>
  <c r="AA79" i="8"/>
  <c r="AB79" i="8"/>
  <c r="AC79" i="8"/>
  <c r="AD79" i="8"/>
  <c r="AE79" i="8"/>
  <c r="AF79" i="8"/>
  <c r="S80" i="8"/>
  <c r="T80" i="8"/>
  <c r="U80" i="8"/>
  <c r="V80" i="8"/>
  <c r="W80" i="8"/>
  <c r="X80" i="8"/>
  <c r="Y80" i="8"/>
  <c r="Z80" i="8"/>
  <c r="AA80" i="8"/>
  <c r="AB80" i="8"/>
  <c r="AC80" i="8"/>
  <c r="AD80" i="8"/>
  <c r="AE80" i="8"/>
  <c r="AF80" i="8"/>
  <c r="S81" i="8"/>
  <c r="T81" i="8"/>
  <c r="U81" i="8"/>
  <c r="V81" i="8"/>
  <c r="W81" i="8"/>
  <c r="X81" i="8"/>
  <c r="Y81" i="8"/>
  <c r="Z81" i="8"/>
  <c r="AA81" i="8"/>
  <c r="AB81" i="8"/>
  <c r="AC81" i="8"/>
  <c r="AD81" i="8"/>
  <c r="AE81" i="8"/>
  <c r="AF81" i="8"/>
  <c r="S82" i="8"/>
  <c r="T82" i="8"/>
  <c r="U82" i="8"/>
  <c r="V82" i="8"/>
  <c r="W82" i="8"/>
  <c r="X82" i="8"/>
  <c r="Y82" i="8"/>
  <c r="Z82" i="8"/>
  <c r="AA82" i="8"/>
  <c r="AB82" i="8"/>
  <c r="AC82" i="8"/>
  <c r="AD82" i="8"/>
  <c r="AE82" i="8"/>
  <c r="AF82" i="8"/>
  <c r="S83" i="8"/>
  <c r="T83" i="8"/>
  <c r="U83" i="8"/>
  <c r="V83" i="8"/>
  <c r="W83" i="8"/>
  <c r="X83" i="8"/>
  <c r="Y83" i="8"/>
  <c r="Z83" i="8"/>
  <c r="AA83" i="8"/>
  <c r="AB83" i="8"/>
  <c r="AC83" i="8"/>
  <c r="AD83" i="8"/>
  <c r="AE83" i="8"/>
  <c r="AF83" i="8"/>
  <c r="S84" i="8"/>
  <c r="T84" i="8"/>
  <c r="U84" i="8"/>
  <c r="V84" i="8"/>
  <c r="W84" i="8"/>
  <c r="X84" i="8"/>
  <c r="Y84" i="8"/>
  <c r="Z84" i="8"/>
  <c r="AA84" i="8"/>
  <c r="AB84" i="8"/>
  <c r="AC84" i="8"/>
  <c r="AD84" i="8"/>
  <c r="AE84" i="8"/>
  <c r="AF84" i="8"/>
  <c r="S85" i="8"/>
  <c r="T85" i="8"/>
  <c r="U85" i="8"/>
  <c r="V85" i="8"/>
  <c r="W85" i="8"/>
  <c r="X85" i="8"/>
  <c r="Y85" i="8"/>
  <c r="Z85" i="8"/>
  <c r="AA85" i="8"/>
  <c r="AB85" i="8"/>
  <c r="AC85" i="8"/>
  <c r="AD85" i="8"/>
  <c r="AE85" i="8"/>
  <c r="AF85" i="8"/>
  <c r="S86" i="8"/>
  <c r="T86" i="8"/>
  <c r="U86" i="8"/>
  <c r="V86" i="8"/>
  <c r="W86" i="8"/>
  <c r="X86" i="8"/>
  <c r="Y86" i="8"/>
  <c r="Z86" i="8"/>
  <c r="AA86" i="8"/>
  <c r="AB86" i="8"/>
  <c r="AC86" i="8"/>
  <c r="AD86" i="8"/>
  <c r="AE86" i="8"/>
  <c r="AF86" i="8"/>
  <c r="S87" i="8"/>
  <c r="T87" i="8"/>
  <c r="U87" i="8"/>
  <c r="V87" i="8"/>
  <c r="W87" i="8"/>
  <c r="X87" i="8"/>
  <c r="Y87" i="8"/>
  <c r="Z87" i="8"/>
  <c r="AA87" i="8"/>
  <c r="AB87" i="8"/>
  <c r="AC87" i="8"/>
  <c r="AD87" i="8"/>
  <c r="AE87" i="8"/>
  <c r="AF87" i="8"/>
  <c r="S88" i="8"/>
  <c r="T88" i="8"/>
  <c r="U88" i="8"/>
  <c r="V88" i="8"/>
  <c r="W88" i="8"/>
  <c r="X88" i="8"/>
  <c r="Y88" i="8"/>
  <c r="Z88" i="8"/>
  <c r="AA88" i="8"/>
  <c r="AB88" i="8"/>
  <c r="AC88" i="8"/>
  <c r="AD88" i="8"/>
  <c r="AE88" i="8"/>
  <c r="AF88" i="8"/>
  <c r="S89" i="8"/>
  <c r="T89" i="8"/>
  <c r="U89" i="8"/>
  <c r="V89" i="8"/>
  <c r="W89" i="8"/>
  <c r="X89" i="8"/>
  <c r="Y89" i="8"/>
  <c r="Z89" i="8"/>
  <c r="AA89" i="8"/>
  <c r="AB89" i="8"/>
  <c r="AC89" i="8"/>
  <c r="AD89" i="8"/>
  <c r="AE89" i="8"/>
  <c r="AF89" i="8"/>
  <c r="S90" i="8"/>
  <c r="T90" i="8"/>
  <c r="U90" i="8"/>
  <c r="V90" i="8"/>
  <c r="W90" i="8"/>
  <c r="X90" i="8"/>
  <c r="Y90" i="8"/>
  <c r="Z90" i="8"/>
  <c r="AA90" i="8"/>
  <c r="AB90" i="8"/>
  <c r="AC90" i="8"/>
  <c r="AD90" i="8"/>
  <c r="AE90" i="8"/>
  <c r="AF90" i="8"/>
  <c r="S91" i="8"/>
  <c r="T91" i="8"/>
  <c r="U91" i="8"/>
  <c r="V91" i="8"/>
  <c r="W91" i="8"/>
  <c r="X91" i="8"/>
  <c r="Y91" i="8"/>
  <c r="Z91" i="8"/>
  <c r="AA91" i="8"/>
  <c r="AB91" i="8"/>
  <c r="AC91" i="8"/>
  <c r="AD91" i="8"/>
  <c r="AE91" i="8"/>
  <c r="AF91" i="8"/>
  <c r="S92" i="8"/>
  <c r="T92" i="8"/>
  <c r="U92" i="8"/>
  <c r="V92" i="8"/>
  <c r="W92" i="8"/>
  <c r="X92" i="8"/>
  <c r="Y92" i="8"/>
  <c r="Z92" i="8"/>
  <c r="AA92" i="8"/>
  <c r="AB92" i="8"/>
  <c r="AC92" i="8"/>
  <c r="AD92" i="8"/>
  <c r="AE92" i="8"/>
  <c r="AF92" i="8"/>
  <c r="S93" i="8"/>
  <c r="T93" i="8"/>
  <c r="U93" i="8"/>
  <c r="V93" i="8"/>
  <c r="W93" i="8"/>
  <c r="X93" i="8"/>
  <c r="Y93" i="8"/>
  <c r="Z93" i="8"/>
  <c r="AA93" i="8"/>
  <c r="AB93" i="8"/>
  <c r="AC93" i="8"/>
  <c r="AD93" i="8"/>
  <c r="AE93" i="8"/>
  <c r="AF93" i="8"/>
  <c r="S94" i="8"/>
  <c r="T94" i="8"/>
  <c r="U94" i="8"/>
  <c r="V94" i="8"/>
  <c r="W94" i="8"/>
  <c r="X94" i="8"/>
  <c r="Y94" i="8"/>
  <c r="Z94" i="8"/>
  <c r="AA94" i="8"/>
  <c r="AB94" i="8"/>
  <c r="AC94" i="8"/>
  <c r="AD94" i="8"/>
  <c r="AE94" i="8"/>
  <c r="AF94" i="8"/>
  <c r="S95" i="8"/>
  <c r="T95" i="8"/>
  <c r="U95" i="8"/>
  <c r="V95" i="8"/>
  <c r="W95" i="8"/>
  <c r="X95" i="8"/>
  <c r="Y95" i="8"/>
  <c r="Z95" i="8"/>
  <c r="AA95" i="8"/>
  <c r="AB95" i="8"/>
  <c r="AC95" i="8"/>
  <c r="AD95" i="8"/>
  <c r="AE95" i="8"/>
  <c r="AF95" i="8"/>
  <c r="S96" i="8"/>
  <c r="T96" i="8"/>
  <c r="U96" i="8"/>
  <c r="V96" i="8"/>
  <c r="W96" i="8"/>
  <c r="X96" i="8"/>
  <c r="Y96" i="8"/>
  <c r="Z96" i="8"/>
  <c r="AA96" i="8"/>
  <c r="AB96" i="8"/>
  <c r="AC96" i="8"/>
  <c r="AD96" i="8"/>
  <c r="AE96" i="8"/>
  <c r="AF96" i="8"/>
  <c r="S97" i="8"/>
  <c r="T97" i="8"/>
  <c r="U97" i="8"/>
  <c r="V97" i="8"/>
  <c r="W97" i="8"/>
  <c r="X97" i="8"/>
  <c r="Y97" i="8"/>
  <c r="Z97" i="8"/>
  <c r="AA97" i="8"/>
  <c r="AB97" i="8"/>
  <c r="AC97" i="8"/>
  <c r="AD97" i="8"/>
  <c r="AE97" i="8"/>
  <c r="AF97" i="8"/>
  <c r="S98" i="8"/>
  <c r="T98" i="8"/>
  <c r="U98" i="8"/>
  <c r="V98" i="8"/>
  <c r="W98" i="8"/>
  <c r="X98" i="8"/>
  <c r="Y98" i="8"/>
  <c r="Z98" i="8"/>
  <c r="AA98" i="8"/>
  <c r="AB98" i="8"/>
  <c r="AC98" i="8"/>
  <c r="AD98" i="8"/>
  <c r="AE98" i="8"/>
  <c r="AF98" i="8"/>
  <c r="S99" i="8"/>
  <c r="T99" i="8"/>
  <c r="U99" i="8"/>
  <c r="V99" i="8"/>
  <c r="W99" i="8"/>
  <c r="X99" i="8"/>
  <c r="Y99" i="8"/>
  <c r="Z99" i="8"/>
  <c r="AA99" i="8"/>
  <c r="AB99" i="8"/>
  <c r="AC99" i="8"/>
  <c r="AD99" i="8"/>
  <c r="AE99" i="8"/>
  <c r="AF99" i="8"/>
  <c r="S100" i="8"/>
  <c r="T100" i="8"/>
  <c r="U100" i="8"/>
  <c r="V100" i="8"/>
  <c r="W100" i="8"/>
  <c r="X100" i="8"/>
  <c r="Y100" i="8"/>
  <c r="Z100" i="8"/>
  <c r="AA100" i="8"/>
  <c r="AB100" i="8"/>
  <c r="AC100" i="8"/>
  <c r="AD100" i="8"/>
  <c r="AE100" i="8"/>
  <c r="AF100" i="8"/>
  <c r="S101" i="8"/>
  <c r="T101" i="8"/>
  <c r="U101" i="8"/>
  <c r="V101" i="8"/>
  <c r="W101" i="8"/>
  <c r="X101" i="8"/>
  <c r="Y101" i="8"/>
  <c r="Z101" i="8"/>
  <c r="AA101" i="8"/>
  <c r="AB101" i="8"/>
  <c r="AC101" i="8"/>
  <c r="AD101" i="8"/>
  <c r="AE101" i="8"/>
  <c r="AF101" i="8"/>
  <c r="S102" i="8"/>
  <c r="T102" i="8"/>
  <c r="U102" i="8"/>
  <c r="V102" i="8"/>
  <c r="W102" i="8"/>
  <c r="X102" i="8"/>
  <c r="Y102" i="8"/>
  <c r="Z102" i="8"/>
  <c r="AA102" i="8"/>
  <c r="AB102" i="8"/>
  <c r="AC102" i="8"/>
  <c r="AD102" i="8"/>
  <c r="AE102" i="8"/>
  <c r="AF102" i="8"/>
  <c r="S103" i="8"/>
  <c r="T103" i="8"/>
  <c r="U103" i="8"/>
  <c r="V103" i="8"/>
  <c r="W103" i="8"/>
  <c r="X103" i="8"/>
  <c r="Y103" i="8"/>
  <c r="Z103" i="8"/>
  <c r="AA103" i="8"/>
  <c r="AB103" i="8"/>
  <c r="AC103" i="8"/>
  <c r="AD103" i="8"/>
  <c r="AE103" i="8"/>
  <c r="AF103" i="8"/>
  <c r="S104" i="8"/>
  <c r="T104" i="8"/>
  <c r="U104" i="8"/>
  <c r="V104" i="8"/>
  <c r="W104" i="8"/>
  <c r="X104" i="8"/>
  <c r="Y104" i="8"/>
  <c r="Z104" i="8"/>
  <c r="AA104" i="8"/>
  <c r="AB104" i="8"/>
  <c r="AC104" i="8"/>
  <c r="AD104" i="8"/>
  <c r="AE104" i="8"/>
  <c r="AF104" i="8"/>
  <c r="S105" i="8"/>
  <c r="T105" i="8"/>
  <c r="U105" i="8"/>
  <c r="V105" i="8"/>
  <c r="W105" i="8"/>
  <c r="X105" i="8"/>
  <c r="Y105" i="8"/>
  <c r="Z105" i="8"/>
  <c r="AA105" i="8"/>
  <c r="AB105" i="8"/>
  <c r="AC105" i="8"/>
  <c r="AD105" i="8"/>
  <c r="AE105" i="8"/>
  <c r="AF105" i="8"/>
  <c r="S106" i="8"/>
  <c r="T106" i="8"/>
  <c r="U106" i="8"/>
  <c r="V106" i="8"/>
  <c r="W106" i="8"/>
  <c r="X106" i="8"/>
  <c r="Y106" i="8"/>
  <c r="Z106" i="8"/>
  <c r="AA106" i="8"/>
  <c r="AB106" i="8"/>
  <c r="AC106" i="8"/>
  <c r="AD106" i="8"/>
  <c r="AE106" i="8"/>
  <c r="AF106" i="8"/>
  <c r="S107" i="8"/>
  <c r="T107" i="8"/>
  <c r="U107" i="8"/>
  <c r="V107" i="8"/>
  <c r="W107" i="8"/>
  <c r="X107" i="8"/>
  <c r="Y107" i="8"/>
  <c r="Z107" i="8"/>
  <c r="AA107" i="8"/>
  <c r="AB107" i="8"/>
  <c r="AC107" i="8"/>
  <c r="AD107" i="8"/>
  <c r="AE107" i="8"/>
  <c r="AF107" i="8"/>
  <c r="S108" i="8"/>
  <c r="T108" i="8"/>
  <c r="U108" i="8"/>
  <c r="V108" i="8"/>
  <c r="W108" i="8"/>
  <c r="X108" i="8"/>
  <c r="Y108" i="8"/>
  <c r="Z108" i="8"/>
  <c r="AA108" i="8"/>
  <c r="AB108" i="8"/>
  <c r="AC108" i="8"/>
  <c r="AD108" i="8"/>
  <c r="AE108" i="8"/>
  <c r="AF108" i="8"/>
  <c r="S109" i="8"/>
  <c r="T109" i="8"/>
  <c r="U109" i="8"/>
  <c r="V109" i="8"/>
  <c r="W109" i="8"/>
  <c r="X109" i="8"/>
  <c r="Y109" i="8"/>
  <c r="Z109" i="8"/>
  <c r="AA109" i="8"/>
  <c r="AB109" i="8"/>
  <c r="AC109" i="8"/>
  <c r="AD109" i="8"/>
  <c r="AE109" i="8"/>
  <c r="AF109" i="8"/>
  <c r="S110" i="8"/>
  <c r="T110" i="8"/>
  <c r="U110" i="8"/>
  <c r="V110" i="8"/>
  <c r="W110" i="8"/>
  <c r="X110" i="8"/>
  <c r="Y110" i="8"/>
  <c r="Z110" i="8"/>
  <c r="AA110" i="8"/>
  <c r="AB110" i="8"/>
  <c r="AC110" i="8"/>
  <c r="AD110" i="8"/>
  <c r="AE110" i="8"/>
  <c r="AF110" i="8"/>
  <c r="S111" i="8"/>
  <c r="T111" i="8"/>
  <c r="U111" i="8"/>
  <c r="V111" i="8"/>
  <c r="W111" i="8"/>
  <c r="X111" i="8"/>
  <c r="Y111" i="8"/>
  <c r="Z111" i="8"/>
  <c r="AA111" i="8"/>
  <c r="AB111" i="8"/>
  <c r="AC111" i="8"/>
  <c r="AD111" i="8"/>
  <c r="AE111" i="8"/>
  <c r="AF111" i="8"/>
  <c r="S112" i="8"/>
  <c r="T112" i="8"/>
  <c r="U112" i="8"/>
  <c r="V112" i="8"/>
  <c r="W112" i="8"/>
  <c r="X112" i="8"/>
  <c r="Y112" i="8"/>
  <c r="Z112" i="8"/>
  <c r="AA112" i="8"/>
  <c r="AB112" i="8"/>
  <c r="AC112" i="8"/>
  <c r="AD112" i="8"/>
  <c r="AE112" i="8"/>
  <c r="AF112" i="8"/>
  <c r="S113" i="8"/>
  <c r="T113" i="8"/>
  <c r="U113" i="8"/>
  <c r="V113" i="8"/>
  <c r="W113" i="8"/>
  <c r="X113" i="8"/>
  <c r="Y113" i="8"/>
  <c r="Z113" i="8"/>
  <c r="AA113" i="8"/>
  <c r="AB113" i="8"/>
  <c r="AC113" i="8"/>
  <c r="AD113" i="8"/>
  <c r="AE113" i="8"/>
  <c r="AF113" i="8"/>
  <c r="S114" i="8"/>
  <c r="T114" i="8"/>
  <c r="U114" i="8"/>
  <c r="V114" i="8"/>
  <c r="W114" i="8"/>
  <c r="X114" i="8"/>
  <c r="Y114" i="8"/>
  <c r="Z114" i="8"/>
  <c r="AA114" i="8"/>
  <c r="AB114" i="8"/>
  <c r="AC114" i="8"/>
  <c r="AD114" i="8"/>
  <c r="AE114" i="8"/>
  <c r="AF114" i="8"/>
  <c r="S115" i="8"/>
  <c r="T115" i="8"/>
  <c r="U115" i="8"/>
  <c r="V115" i="8"/>
  <c r="W115" i="8"/>
  <c r="X115" i="8"/>
  <c r="Y115" i="8"/>
  <c r="Z115" i="8"/>
  <c r="AA115" i="8"/>
  <c r="AB115" i="8"/>
  <c r="AC115" i="8"/>
  <c r="AD115" i="8"/>
  <c r="AE115" i="8"/>
  <c r="AF115" i="8"/>
  <c r="S116" i="8"/>
  <c r="T116" i="8"/>
  <c r="U116" i="8"/>
  <c r="V116" i="8"/>
  <c r="W116" i="8"/>
  <c r="X116" i="8"/>
  <c r="Y116" i="8"/>
  <c r="Z116" i="8"/>
  <c r="AA116" i="8"/>
  <c r="AB116" i="8"/>
  <c r="AC116" i="8"/>
  <c r="AD116" i="8"/>
  <c r="AE116" i="8"/>
  <c r="AF116" i="8"/>
  <c r="S117" i="8"/>
  <c r="T117" i="8"/>
  <c r="U117" i="8"/>
  <c r="V117" i="8"/>
  <c r="W117" i="8"/>
  <c r="X117" i="8"/>
  <c r="Y117" i="8"/>
  <c r="Z117" i="8"/>
  <c r="AA117" i="8"/>
  <c r="AB117" i="8"/>
  <c r="AC117" i="8"/>
  <c r="AD117" i="8"/>
  <c r="AE117" i="8"/>
  <c r="AF117" i="8"/>
  <c r="S118" i="8"/>
  <c r="T118" i="8"/>
  <c r="U118" i="8"/>
  <c r="V118" i="8"/>
  <c r="W118" i="8"/>
  <c r="X118" i="8"/>
  <c r="Y118" i="8"/>
  <c r="Z118" i="8"/>
  <c r="AA118" i="8"/>
  <c r="AB118" i="8"/>
  <c r="AC118" i="8"/>
  <c r="AD118" i="8"/>
  <c r="AE118" i="8"/>
  <c r="AF118" i="8"/>
  <c r="S119" i="8"/>
  <c r="T119" i="8"/>
  <c r="U119" i="8"/>
  <c r="V119" i="8"/>
  <c r="W119" i="8"/>
  <c r="X119" i="8"/>
  <c r="Y119" i="8"/>
  <c r="Z119" i="8"/>
  <c r="AA119" i="8"/>
  <c r="AB119" i="8"/>
  <c r="AC119" i="8"/>
  <c r="AD119" i="8"/>
  <c r="AE119" i="8"/>
  <c r="AF119" i="8"/>
  <c r="S120" i="8"/>
  <c r="T120" i="8"/>
  <c r="U120" i="8"/>
  <c r="V120" i="8"/>
  <c r="W120" i="8"/>
  <c r="X120" i="8"/>
  <c r="Y120" i="8"/>
  <c r="Z120" i="8"/>
  <c r="AA120" i="8"/>
  <c r="AB120" i="8"/>
  <c r="AC120" i="8"/>
  <c r="AD120" i="8"/>
  <c r="AE120" i="8"/>
  <c r="AF120" i="8"/>
  <c r="S121" i="8"/>
  <c r="T121" i="8"/>
  <c r="U121" i="8"/>
  <c r="V121" i="8"/>
  <c r="W121" i="8"/>
  <c r="X121" i="8"/>
  <c r="Y121" i="8"/>
  <c r="Z121" i="8"/>
  <c r="AA121" i="8"/>
  <c r="AB121" i="8"/>
  <c r="AC121" i="8"/>
  <c r="AD121" i="8"/>
  <c r="AE121" i="8"/>
  <c r="AF121" i="8"/>
  <c r="S122" i="8"/>
  <c r="T122" i="8"/>
  <c r="U122" i="8"/>
  <c r="V122" i="8"/>
  <c r="W122" i="8"/>
  <c r="X122" i="8"/>
  <c r="Y122" i="8"/>
  <c r="Z122" i="8"/>
  <c r="AA122" i="8"/>
  <c r="AB122" i="8"/>
  <c r="AC122" i="8"/>
  <c r="AD122" i="8"/>
  <c r="AE122" i="8"/>
  <c r="AF122" i="8"/>
  <c r="S123" i="8"/>
  <c r="T123" i="8"/>
  <c r="U123" i="8"/>
  <c r="V123" i="8"/>
  <c r="W123" i="8"/>
  <c r="X123" i="8"/>
  <c r="Y123" i="8"/>
  <c r="Z123" i="8"/>
  <c r="AA123" i="8"/>
  <c r="AB123" i="8"/>
  <c r="AC123" i="8"/>
  <c r="AD123" i="8"/>
  <c r="AE123" i="8"/>
  <c r="AF123" i="8"/>
  <c r="S124" i="8"/>
  <c r="T124" i="8"/>
  <c r="U124" i="8"/>
  <c r="V124" i="8"/>
  <c r="W124" i="8"/>
  <c r="X124" i="8"/>
  <c r="Y124" i="8"/>
  <c r="Z124" i="8"/>
  <c r="AA124" i="8"/>
  <c r="AB124" i="8"/>
  <c r="AC124" i="8"/>
  <c r="AD124" i="8"/>
  <c r="AE124" i="8"/>
  <c r="AF124" i="8"/>
  <c r="S125" i="8"/>
  <c r="T125" i="8"/>
  <c r="U125" i="8"/>
  <c r="V125" i="8"/>
  <c r="W125" i="8"/>
  <c r="X125" i="8"/>
  <c r="Y125" i="8"/>
  <c r="Z125" i="8"/>
  <c r="AA125" i="8"/>
  <c r="AB125" i="8"/>
  <c r="AC125" i="8"/>
  <c r="AD125" i="8"/>
  <c r="AE125" i="8"/>
  <c r="AF125" i="8"/>
  <c r="S126" i="8"/>
  <c r="T126" i="8"/>
  <c r="U126" i="8"/>
  <c r="V126" i="8"/>
  <c r="W126" i="8"/>
  <c r="X126" i="8"/>
  <c r="Y126" i="8"/>
  <c r="Z126" i="8"/>
  <c r="AA126" i="8"/>
  <c r="AB126" i="8"/>
  <c r="AC126" i="8"/>
  <c r="AD126" i="8"/>
  <c r="AE126" i="8"/>
  <c r="AF126" i="8"/>
  <c r="S127" i="8"/>
  <c r="T127" i="8"/>
  <c r="U127" i="8"/>
  <c r="V127" i="8"/>
  <c r="W127" i="8"/>
  <c r="X127" i="8"/>
  <c r="Y127" i="8"/>
  <c r="Z127" i="8"/>
  <c r="AA127" i="8"/>
  <c r="AB127" i="8"/>
  <c r="AC127" i="8"/>
  <c r="AD127" i="8"/>
  <c r="AE127" i="8"/>
  <c r="AF127" i="8"/>
  <c r="S128" i="8"/>
  <c r="T128" i="8"/>
  <c r="U128" i="8"/>
  <c r="V128" i="8"/>
  <c r="W128" i="8"/>
  <c r="X128" i="8"/>
  <c r="Y128" i="8"/>
  <c r="Z128" i="8"/>
  <c r="AA128" i="8"/>
  <c r="AB128" i="8"/>
  <c r="AC128" i="8"/>
  <c r="AD128" i="8"/>
  <c r="AE128" i="8"/>
  <c r="AF128" i="8"/>
  <c r="S129" i="8"/>
  <c r="T129" i="8"/>
  <c r="U129" i="8"/>
  <c r="V129" i="8"/>
  <c r="W129" i="8"/>
  <c r="X129" i="8"/>
  <c r="Y129" i="8"/>
  <c r="Z129" i="8"/>
  <c r="AA129" i="8"/>
  <c r="AB129" i="8"/>
  <c r="AC129" i="8"/>
  <c r="AD129" i="8"/>
  <c r="AE129" i="8"/>
  <c r="AF129" i="8"/>
  <c r="S130" i="8"/>
  <c r="T130" i="8"/>
  <c r="U130" i="8"/>
  <c r="V130" i="8"/>
  <c r="W130" i="8"/>
  <c r="X130" i="8"/>
  <c r="Y130" i="8"/>
  <c r="Z130" i="8"/>
  <c r="AA130" i="8"/>
  <c r="AB130" i="8"/>
  <c r="AC130" i="8"/>
  <c r="AD130" i="8"/>
  <c r="AE130" i="8"/>
  <c r="AF130" i="8"/>
  <c r="S131" i="8"/>
  <c r="T131" i="8"/>
  <c r="U131" i="8"/>
  <c r="V131" i="8"/>
  <c r="W131" i="8"/>
  <c r="X131" i="8"/>
  <c r="Y131" i="8"/>
  <c r="Z131" i="8"/>
  <c r="AA131" i="8"/>
  <c r="AB131" i="8"/>
  <c r="AC131" i="8"/>
  <c r="AD131" i="8"/>
  <c r="AE131" i="8"/>
  <c r="AF131" i="8"/>
  <c r="S132" i="8"/>
  <c r="T132" i="8"/>
  <c r="U132" i="8"/>
  <c r="V132" i="8"/>
  <c r="W132" i="8"/>
  <c r="X132" i="8"/>
  <c r="Y132" i="8"/>
  <c r="Z132" i="8"/>
  <c r="AA132" i="8"/>
  <c r="AB132" i="8"/>
  <c r="AC132" i="8"/>
  <c r="AD132" i="8"/>
  <c r="AE132" i="8"/>
  <c r="AF132" i="8"/>
  <c r="S133" i="8"/>
  <c r="T133" i="8"/>
  <c r="U133" i="8"/>
  <c r="V133" i="8"/>
  <c r="W133" i="8"/>
  <c r="X133" i="8"/>
  <c r="Y133" i="8"/>
  <c r="Z133" i="8"/>
  <c r="AA133" i="8"/>
  <c r="AB133" i="8"/>
  <c r="AC133" i="8"/>
  <c r="AD133" i="8"/>
  <c r="AE133" i="8"/>
  <c r="AF133" i="8"/>
  <c r="S134" i="8"/>
  <c r="T134" i="8"/>
  <c r="U134" i="8"/>
  <c r="V134" i="8"/>
  <c r="W134" i="8"/>
  <c r="X134" i="8"/>
  <c r="Y134" i="8"/>
  <c r="Z134" i="8"/>
  <c r="AA134" i="8"/>
  <c r="AB134" i="8"/>
  <c r="AC134" i="8"/>
  <c r="AD134" i="8"/>
  <c r="AE134" i="8"/>
  <c r="AF134" i="8"/>
  <c r="S135" i="8"/>
  <c r="T135" i="8"/>
  <c r="U135" i="8"/>
  <c r="V135" i="8"/>
  <c r="W135" i="8"/>
  <c r="X135" i="8"/>
  <c r="Y135" i="8"/>
  <c r="Z135" i="8"/>
  <c r="AA135" i="8"/>
  <c r="AB135" i="8"/>
  <c r="AC135" i="8"/>
  <c r="AD135" i="8"/>
  <c r="AE135" i="8"/>
  <c r="AF135" i="8"/>
  <c r="S136" i="8"/>
  <c r="T136" i="8"/>
  <c r="U136" i="8"/>
  <c r="V136" i="8"/>
  <c r="W136" i="8"/>
  <c r="X136" i="8"/>
  <c r="Y136" i="8"/>
  <c r="Z136" i="8"/>
  <c r="AA136" i="8"/>
  <c r="AB136" i="8"/>
  <c r="AC136" i="8"/>
  <c r="AD136" i="8"/>
  <c r="AE136" i="8"/>
  <c r="AF136" i="8"/>
  <c r="S137" i="8"/>
  <c r="T137" i="8"/>
  <c r="U137" i="8"/>
  <c r="V137" i="8"/>
  <c r="W137" i="8"/>
  <c r="X137" i="8"/>
  <c r="Y137" i="8"/>
  <c r="Z137" i="8"/>
  <c r="AA137" i="8"/>
  <c r="AB137" i="8"/>
  <c r="AC137" i="8"/>
  <c r="AD137" i="8"/>
  <c r="AE137" i="8"/>
  <c r="AF137" i="8"/>
  <c r="S138" i="8"/>
  <c r="T138" i="8"/>
  <c r="U138" i="8"/>
  <c r="V138" i="8"/>
  <c r="W138" i="8"/>
  <c r="X138" i="8"/>
  <c r="Y138" i="8"/>
  <c r="Z138" i="8"/>
  <c r="AA138" i="8"/>
  <c r="AB138" i="8"/>
  <c r="AC138" i="8"/>
  <c r="AD138" i="8"/>
  <c r="AE138" i="8"/>
  <c r="AF138" i="8"/>
  <c r="S139" i="8"/>
  <c r="T139" i="8"/>
  <c r="U139" i="8"/>
  <c r="V139" i="8"/>
  <c r="W139" i="8"/>
  <c r="X139" i="8"/>
  <c r="Y139" i="8"/>
  <c r="Z139" i="8"/>
  <c r="AA139" i="8"/>
  <c r="AB139" i="8"/>
  <c r="AC139" i="8"/>
  <c r="AD139" i="8"/>
  <c r="AE139" i="8"/>
  <c r="AF139" i="8"/>
  <c r="S140" i="8"/>
  <c r="T140" i="8"/>
  <c r="U140" i="8"/>
  <c r="V140" i="8"/>
  <c r="W140" i="8"/>
  <c r="X140" i="8"/>
  <c r="Y140" i="8"/>
  <c r="Z140" i="8"/>
  <c r="AA140" i="8"/>
  <c r="AB140" i="8"/>
  <c r="AC140" i="8"/>
  <c r="AD140" i="8"/>
  <c r="AE140" i="8"/>
  <c r="AF140" i="8"/>
  <c r="S141" i="8"/>
  <c r="T141" i="8"/>
  <c r="U141" i="8"/>
  <c r="V141" i="8"/>
  <c r="W141" i="8"/>
  <c r="X141" i="8"/>
  <c r="Y141" i="8"/>
  <c r="Z141" i="8"/>
  <c r="AA141" i="8"/>
  <c r="AB141" i="8"/>
  <c r="AC141" i="8"/>
  <c r="AD141" i="8"/>
  <c r="AE141" i="8"/>
  <c r="AF141" i="8"/>
  <c r="S142" i="8"/>
  <c r="T142" i="8"/>
  <c r="U142" i="8"/>
  <c r="V142" i="8"/>
  <c r="W142" i="8"/>
  <c r="X142" i="8"/>
  <c r="Y142" i="8"/>
  <c r="Z142" i="8"/>
  <c r="AA142" i="8"/>
  <c r="AB142" i="8"/>
  <c r="AC142" i="8"/>
  <c r="AD142" i="8"/>
  <c r="AE142" i="8"/>
  <c r="AF142" i="8"/>
  <c r="S143" i="8"/>
  <c r="T143" i="8"/>
  <c r="U143" i="8"/>
  <c r="V143" i="8"/>
  <c r="W143" i="8"/>
  <c r="X143" i="8"/>
  <c r="Y143" i="8"/>
  <c r="Z143" i="8"/>
  <c r="AA143" i="8"/>
  <c r="AB143" i="8"/>
  <c r="AC143" i="8"/>
  <c r="AD143" i="8"/>
  <c r="AE143" i="8"/>
  <c r="AF143" i="8"/>
  <c r="S144" i="8"/>
  <c r="T144" i="8"/>
  <c r="U144" i="8"/>
  <c r="V144" i="8"/>
  <c r="W144" i="8"/>
  <c r="X144" i="8"/>
  <c r="Y144" i="8"/>
  <c r="Z144" i="8"/>
  <c r="AA144" i="8"/>
  <c r="AB144" i="8"/>
  <c r="AC144" i="8"/>
  <c r="AD144" i="8"/>
  <c r="AE144" i="8"/>
  <c r="AF144" i="8"/>
  <c r="S145" i="8"/>
  <c r="T145" i="8"/>
  <c r="U145" i="8"/>
  <c r="V145" i="8"/>
  <c r="W145" i="8"/>
  <c r="X145" i="8"/>
  <c r="Y145" i="8"/>
  <c r="Z145" i="8"/>
  <c r="AA145" i="8"/>
  <c r="AB145" i="8"/>
  <c r="AC145" i="8"/>
  <c r="AD145" i="8"/>
  <c r="AE145" i="8"/>
  <c r="AF145" i="8"/>
  <c r="S146" i="8"/>
  <c r="T146" i="8"/>
  <c r="U146" i="8"/>
  <c r="V146" i="8"/>
  <c r="W146" i="8"/>
  <c r="X146" i="8"/>
  <c r="Y146" i="8"/>
  <c r="Z146" i="8"/>
  <c r="AA146" i="8"/>
  <c r="AB146" i="8"/>
  <c r="AC146" i="8"/>
  <c r="AD146" i="8"/>
  <c r="AE146" i="8"/>
  <c r="AF146" i="8"/>
  <c r="S147" i="8"/>
  <c r="T147" i="8"/>
  <c r="U147" i="8"/>
  <c r="V147" i="8"/>
  <c r="W147" i="8"/>
  <c r="X147" i="8"/>
  <c r="Y147" i="8"/>
  <c r="Z147" i="8"/>
  <c r="AA147" i="8"/>
  <c r="AB147" i="8"/>
  <c r="AC147" i="8"/>
  <c r="AD147" i="8"/>
  <c r="AE147" i="8"/>
  <c r="AF147" i="8"/>
  <c r="S148" i="8"/>
  <c r="T148" i="8"/>
  <c r="U148" i="8"/>
  <c r="V148" i="8"/>
  <c r="W148" i="8"/>
  <c r="X148" i="8"/>
  <c r="Y148" i="8"/>
  <c r="Z148" i="8"/>
  <c r="AA148" i="8"/>
  <c r="AB148" i="8"/>
  <c r="AC148" i="8"/>
  <c r="AD148" i="8"/>
  <c r="AE148" i="8"/>
  <c r="AF148" i="8"/>
  <c r="S149" i="8"/>
  <c r="T149" i="8"/>
  <c r="U149" i="8"/>
  <c r="V149" i="8"/>
  <c r="W149" i="8"/>
  <c r="X149" i="8"/>
  <c r="Y149" i="8"/>
  <c r="Z149" i="8"/>
  <c r="AA149" i="8"/>
  <c r="AB149" i="8"/>
  <c r="AC149" i="8"/>
  <c r="AD149" i="8"/>
  <c r="AE149" i="8"/>
  <c r="AF149" i="8"/>
  <c r="S150" i="8"/>
  <c r="T150" i="8"/>
  <c r="U150" i="8"/>
  <c r="V150" i="8"/>
  <c r="W150" i="8"/>
  <c r="X150" i="8"/>
  <c r="Y150" i="8"/>
  <c r="Z150" i="8"/>
  <c r="AA150" i="8"/>
  <c r="AB150" i="8"/>
  <c r="AC150" i="8"/>
  <c r="AD150" i="8"/>
  <c r="AE150" i="8"/>
  <c r="AF150" i="8"/>
  <c r="S151" i="8"/>
  <c r="T151" i="8"/>
  <c r="U151" i="8"/>
  <c r="V151" i="8"/>
  <c r="W151" i="8"/>
  <c r="X151" i="8"/>
  <c r="Y151" i="8"/>
  <c r="Z151" i="8"/>
  <c r="AA151" i="8"/>
  <c r="AB151" i="8"/>
  <c r="AC151" i="8"/>
  <c r="AD151" i="8"/>
  <c r="AE151" i="8"/>
  <c r="AF151" i="8"/>
  <c r="S152" i="8"/>
  <c r="T152" i="8"/>
  <c r="U152" i="8"/>
  <c r="V152" i="8"/>
  <c r="W152" i="8"/>
  <c r="X152" i="8"/>
  <c r="Y152" i="8"/>
  <c r="Z152" i="8"/>
  <c r="AA152" i="8"/>
  <c r="AB152" i="8"/>
  <c r="AC152" i="8"/>
  <c r="AD152" i="8"/>
  <c r="AE152" i="8"/>
  <c r="AF152" i="8"/>
  <c r="S153" i="8"/>
  <c r="T153" i="8"/>
  <c r="U153" i="8"/>
  <c r="V153" i="8"/>
  <c r="W153" i="8"/>
  <c r="X153" i="8"/>
  <c r="Y153" i="8"/>
  <c r="Z153" i="8"/>
  <c r="AA153" i="8"/>
  <c r="AB153" i="8"/>
  <c r="AC153" i="8"/>
  <c r="AD153" i="8"/>
  <c r="AE153" i="8"/>
  <c r="AF153" i="8"/>
  <c r="S154" i="8"/>
  <c r="T154" i="8"/>
  <c r="U154" i="8"/>
  <c r="V154" i="8"/>
  <c r="W154" i="8"/>
  <c r="X154" i="8"/>
  <c r="Y154" i="8"/>
  <c r="Z154" i="8"/>
  <c r="AA154" i="8"/>
  <c r="AB154" i="8"/>
  <c r="AC154" i="8"/>
  <c r="AD154" i="8"/>
  <c r="AE154" i="8"/>
  <c r="AF154" i="8"/>
  <c r="S155" i="8"/>
  <c r="T155" i="8"/>
  <c r="U155" i="8"/>
  <c r="V155" i="8"/>
  <c r="W155" i="8"/>
  <c r="X155" i="8"/>
  <c r="Y155" i="8"/>
  <c r="Z155" i="8"/>
  <c r="AA155" i="8"/>
  <c r="AB155" i="8"/>
  <c r="AC155" i="8"/>
  <c r="AD155" i="8"/>
  <c r="AE155" i="8"/>
  <c r="AF155" i="8"/>
  <c r="S156" i="8"/>
  <c r="T156" i="8"/>
  <c r="U156" i="8"/>
  <c r="V156" i="8"/>
  <c r="W156" i="8"/>
  <c r="X156" i="8"/>
  <c r="Y156" i="8"/>
  <c r="Z156" i="8"/>
  <c r="AA156" i="8"/>
  <c r="AB156" i="8"/>
  <c r="AC156" i="8"/>
  <c r="AD156" i="8"/>
  <c r="AE156" i="8"/>
  <c r="AF156" i="8"/>
  <c r="S157" i="8"/>
  <c r="T157" i="8"/>
  <c r="U157" i="8"/>
  <c r="V157" i="8"/>
  <c r="W157" i="8"/>
  <c r="X157" i="8"/>
  <c r="Y157" i="8"/>
  <c r="Z157" i="8"/>
  <c r="AA157" i="8"/>
  <c r="AB157" i="8"/>
  <c r="AC157" i="8"/>
  <c r="AD157" i="8"/>
  <c r="AE157" i="8"/>
  <c r="AF157" i="8"/>
  <c r="S158" i="8"/>
  <c r="T158" i="8"/>
  <c r="U158" i="8"/>
  <c r="V158" i="8"/>
  <c r="W158" i="8"/>
  <c r="X158" i="8"/>
  <c r="Y158" i="8"/>
  <c r="Z158" i="8"/>
  <c r="AA158" i="8"/>
  <c r="AB158" i="8"/>
  <c r="AC158" i="8"/>
  <c r="AD158" i="8"/>
  <c r="AE158" i="8"/>
  <c r="AF158" i="8"/>
  <c r="S159" i="8"/>
  <c r="T159" i="8"/>
  <c r="U159" i="8"/>
  <c r="V159" i="8"/>
  <c r="W159" i="8"/>
  <c r="X159" i="8"/>
  <c r="Y159" i="8"/>
  <c r="Z159" i="8"/>
  <c r="AA159" i="8"/>
  <c r="AB159" i="8"/>
  <c r="AC159" i="8"/>
  <c r="AD159" i="8"/>
  <c r="AE159" i="8"/>
  <c r="AF159" i="8"/>
  <c r="S160" i="8"/>
  <c r="T160" i="8"/>
  <c r="U160" i="8"/>
  <c r="V160" i="8"/>
  <c r="W160" i="8"/>
  <c r="X160" i="8"/>
  <c r="Y160" i="8"/>
  <c r="Z160" i="8"/>
  <c r="AA160" i="8"/>
  <c r="AB160" i="8"/>
  <c r="AC160" i="8"/>
  <c r="AD160" i="8"/>
  <c r="AE160" i="8"/>
  <c r="AF160" i="8"/>
  <c r="S161" i="8"/>
  <c r="T161" i="8"/>
  <c r="U161" i="8"/>
  <c r="V161" i="8"/>
  <c r="W161" i="8"/>
  <c r="X161" i="8"/>
  <c r="Y161" i="8"/>
  <c r="Z161" i="8"/>
  <c r="AA161" i="8"/>
  <c r="AB161" i="8"/>
  <c r="AC161" i="8"/>
  <c r="AD161" i="8"/>
  <c r="AE161" i="8"/>
  <c r="AF161" i="8"/>
  <c r="S162" i="8"/>
  <c r="T162" i="8"/>
  <c r="U162" i="8"/>
  <c r="V162" i="8"/>
  <c r="W162" i="8"/>
  <c r="X162" i="8"/>
  <c r="Y162" i="8"/>
  <c r="Z162" i="8"/>
  <c r="AA162" i="8"/>
  <c r="AB162" i="8"/>
  <c r="AC162" i="8"/>
  <c r="AD162" i="8"/>
  <c r="AE162" i="8"/>
  <c r="AF162" i="8"/>
  <c r="S163" i="8"/>
  <c r="T163" i="8"/>
  <c r="U163" i="8"/>
  <c r="V163" i="8"/>
  <c r="W163" i="8"/>
  <c r="X163" i="8"/>
  <c r="Y163" i="8"/>
  <c r="Z163" i="8"/>
  <c r="AA163" i="8"/>
  <c r="AB163" i="8"/>
  <c r="AC163" i="8"/>
  <c r="AD163" i="8"/>
  <c r="AE163" i="8"/>
  <c r="AF163" i="8"/>
  <c r="S164" i="8"/>
  <c r="T164" i="8"/>
  <c r="U164" i="8"/>
  <c r="V164" i="8"/>
  <c r="W164" i="8"/>
  <c r="X164" i="8"/>
  <c r="Y164" i="8"/>
  <c r="Z164" i="8"/>
  <c r="AA164" i="8"/>
  <c r="AB164" i="8"/>
  <c r="AC164" i="8"/>
  <c r="AD164" i="8"/>
  <c r="AE164" i="8"/>
  <c r="AF164" i="8"/>
  <c r="S165" i="8"/>
  <c r="T165" i="8"/>
  <c r="U165" i="8"/>
  <c r="V165" i="8"/>
  <c r="W165" i="8"/>
  <c r="X165" i="8"/>
  <c r="Y165" i="8"/>
  <c r="Z165" i="8"/>
  <c r="AA165" i="8"/>
  <c r="AB165" i="8"/>
  <c r="AC165" i="8"/>
  <c r="AD165" i="8"/>
  <c r="AE165" i="8"/>
  <c r="AF165" i="8"/>
  <c r="S166" i="8"/>
  <c r="T166" i="8"/>
  <c r="U166" i="8"/>
  <c r="V166" i="8"/>
  <c r="W166" i="8"/>
  <c r="X166" i="8"/>
  <c r="Y166" i="8"/>
  <c r="Z166" i="8"/>
  <c r="AA166" i="8"/>
  <c r="AB166" i="8"/>
  <c r="AC166" i="8"/>
  <c r="AD166" i="8"/>
  <c r="AE166" i="8"/>
  <c r="AF166" i="8"/>
  <c r="S167" i="8"/>
  <c r="T167" i="8"/>
  <c r="U167" i="8"/>
  <c r="V167" i="8"/>
  <c r="W167" i="8"/>
  <c r="X167" i="8"/>
  <c r="Y167" i="8"/>
  <c r="Z167" i="8"/>
  <c r="AA167" i="8"/>
  <c r="AB167" i="8"/>
  <c r="AC167" i="8"/>
  <c r="AD167" i="8"/>
  <c r="AE167" i="8"/>
  <c r="AF167" i="8"/>
  <c r="S168" i="8"/>
  <c r="T168" i="8"/>
  <c r="U168" i="8"/>
  <c r="V168" i="8"/>
  <c r="W168" i="8"/>
  <c r="X168" i="8"/>
  <c r="Y168" i="8"/>
  <c r="Z168" i="8"/>
  <c r="AA168" i="8"/>
  <c r="AB168" i="8"/>
  <c r="AC168" i="8"/>
  <c r="AD168" i="8"/>
  <c r="AE168" i="8"/>
  <c r="AF168" i="8"/>
  <c r="S169" i="8"/>
  <c r="T169" i="8"/>
  <c r="U169" i="8"/>
  <c r="V169" i="8"/>
  <c r="W169" i="8"/>
  <c r="X169" i="8"/>
  <c r="Y169" i="8"/>
  <c r="Z169" i="8"/>
  <c r="AA169" i="8"/>
  <c r="AB169" i="8"/>
  <c r="AC169" i="8"/>
  <c r="AD169" i="8"/>
  <c r="AE169" i="8"/>
  <c r="AF169" i="8"/>
  <c r="S170" i="8"/>
  <c r="T170" i="8"/>
  <c r="U170" i="8"/>
  <c r="V170" i="8"/>
  <c r="W170" i="8"/>
  <c r="X170" i="8"/>
  <c r="Y170" i="8"/>
  <c r="Z170" i="8"/>
  <c r="AA170" i="8"/>
  <c r="AB170" i="8"/>
  <c r="AC170" i="8"/>
  <c r="AD170" i="8"/>
  <c r="AE170" i="8"/>
  <c r="AF170" i="8"/>
  <c r="S171" i="8"/>
  <c r="T171" i="8"/>
  <c r="U171" i="8"/>
  <c r="V171" i="8"/>
  <c r="W171" i="8"/>
  <c r="X171" i="8"/>
  <c r="Y171" i="8"/>
  <c r="Z171" i="8"/>
  <c r="AA171" i="8"/>
  <c r="AB171" i="8"/>
  <c r="AC171" i="8"/>
  <c r="AD171" i="8"/>
  <c r="AE171" i="8"/>
  <c r="AF171" i="8"/>
  <c r="S172" i="8"/>
  <c r="T172" i="8"/>
  <c r="U172" i="8"/>
  <c r="V172" i="8"/>
  <c r="W172" i="8"/>
  <c r="X172" i="8"/>
  <c r="Y172" i="8"/>
  <c r="Z172" i="8"/>
  <c r="AA172" i="8"/>
  <c r="AB172" i="8"/>
  <c r="AC172" i="8"/>
  <c r="AD172" i="8"/>
  <c r="AE172" i="8"/>
  <c r="AF172" i="8"/>
  <c r="S173" i="8"/>
  <c r="T173" i="8"/>
  <c r="U173" i="8"/>
  <c r="V173" i="8"/>
  <c r="W173" i="8"/>
  <c r="X173" i="8"/>
  <c r="Y173" i="8"/>
  <c r="Z173" i="8"/>
  <c r="AA173" i="8"/>
  <c r="AB173" i="8"/>
  <c r="AC173" i="8"/>
  <c r="AD173" i="8"/>
  <c r="AE173" i="8"/>
  <c r="AF173" i="8"/>
  <c r="S174" i="8"/>
  <c r="T174" i="8"/>
  <c r="U174" i="8"/>
  <c r="V174" i="8"/>
  <c r="W174" i="8"/>
  <c r="X174" i="8"/>
  <c r="Y174" i="8"/>
  <c r="Z174" i="8"/>
  <c r="AA174" i="8"/>
  <c r="AB174" i="8"/>
  <c r="AC174" i="8"/>
  <c r="AD174" i="8"/>
  <c r="AE174" i="8"/>
  <c r="AF174" i="8"/>
  <c r="S175" i="8"/>
  <c r="T175" i="8"/>
  <c r="U175" i="8"/>
  <c r="V175" i="8"/>
  <c r="W175" i="8"/>
  <c r="X175" i="8"/>
  <c r="Y175" i="8"/>
  <c r="Z175" i="8"/>
  <c r="AA175" i="8"/>
  <c r="AB175" i="8"/>
  <c r="AC175" i="8"/>
  <c r="AD175" i="8"/>
  <c r="AE175" i="8"/>
  <c r="AF175" i="8"/>
  <c r="S176" i="8"/>
  <c r="T176" i="8"/>
  <c r="U176" i="8"/>
  <c r="V176" i="8"/>
  <c r="W176" i="8"/>
  <c r="X176" i="8"/>
  <c r="Y176" i="8"/>
  <c r="Z176" i="8"/>
  <c r="AA176" i="8"/>
  <c r="AB176" i="8"/>
  <c r="AC176" i="8"/>
  <c r="AD176" i="8"/>
  <c r="AE176" i="8"/>
  <c r="AF176" i="8"/>
  <c r="S177" i="8"/>
  <c r="T177" i="8"/>
  <c r="U177" i="8"/>
  <c r="V177" i="8"/>
  <c r="W177" i="8"/>
  <c r="X177" i="8"/>
  <c r="Y177" i="8"/>
  <c r="Z177" i="8"/>
  <c r="AA177" i="8"/>
  <c r="AB177" i="8"/>
  <c r="AC177" i="8"/>
  <c r="AD177" i="8"/>
  <c r="AE177" i="8"/>
  <c r="AF177" i="8"/>
  <c r="S178" i="8"/>
  <c r="T178" i="8"/>
  <c r="U178" i="8"/>
  <c r="V178" i="8"/>
  <c r="W178" i="8"/>
  <c r="X178" i="8"/>
  <c r="Y178" i="8"/>
  <c r="Z178" i="8"/>
  <c r="AA178" i="8"/>
  <c r="AB178" i="8"/>
  <c r="AC178" i="8"/>
  <c r="AD178" i="8"/>
  <c r="AE178" i="8"/>
  <c r="AF178" i="8"/>
  <c r="S179" i="8"/>
  <c r="T179" i="8"/>
  <c r="U179" i="8"/>
  <c r="V179" i="8"/>
  <c r="W179" i="8"/>
  <c r="X179" i="8"/>
  <c r="Y179" i="8"/>
  <c r="Z179" i="8"/>
  <c r="AA179" i="8"/>
  <c r="AB179" i="8"/>
  <c r="AC179" i="8"/>
  <c r="AD179" i="8"/>
  <c r="AE179" i="8"/>
  <c r="AF179" i="8"/>
  <c r="S180" i="8"/>
  <c r="T180" i="8"/>
  <c r="U180" i="8"/>
  <c r="V180" i="8"/>
  <c r="W180" i="8"/>
  <c r="X180" i="8"/>
  <c r="Y180" i="8"/>
  <c r="Z180" i="8"/>
  <c r="AA180" i="8"/>
  <c r="AB180" i="8"/>
  <c r="AC180" i="8"/>
  <c r="AD180" i="8"/>
  <c r="AE180" i="8"/>
  <c r="AF180" i="8"/>
  <c r="S181" i="8"/>
  <c r="T181" i="8"/>
  <c r="U181" i="8"/>
  <c r="V181" i="8"/>
  <c r="W181" i="8"/>
  <c r="X181" i="8"/>
  <c r="Y181" i="8"/>
  <c r="Z181" i="8"/>
  <c r="AA181" i="8"/>
  <c r="AB181" i="8"/>
  <c r="AC181" i="8"/>
  <c r="AD181" i="8"/>
  <c r="AE181" i="8"/>
  <c r="AF181" i="8"/>
  <c r="S182" i="8"/>
  <c r="T182" i="8"/>
  <c r="U182" i="8"/>
  <c r="V182" i="8"/>
  <c r="W182" i="8"/>
  <c r="X182" i="8"/>
  <c r="Y182" i="8"/>
  <c r="Z182" i="8"/>
  <c r="AA182" i="8"/>
  <c r="AB182" i="8"/>
  <c r="AC182" i="8"/>
  <c r="AD182" i="8"/>
  <c r="AE182" i="8"/>
  <c r="AF182" i="8"/>
  <c r="S183" i="8"/>
  <c r="T183" i="8"/>
  <c r="U183" i="8"/>
  <c r="V183" i="8"/>
  <c r="W183" i="8"/>
  <c r="X183" i="8"/>
  <c r="Y183" i="8"/>
  <c r="Z183" i="8"/>
  <c r="AA183" i="8"/>
  <c r="AB183" i="8"/>
  <c r="AC183" i="8"/>
  <c r="AD183" i="8"/>
  <c r="AE183" i="8"/>
  <c r="AF183" i="8"/>
  <c r="S184" i="8"/>
  <c r="T184" i="8"/>
  <c r="U184" i="8"/>
  <c r="V184" i="8"/>
  <c r="W184" i="8"/>
  <c r="X184" i="8"/>
  <c r="Y184" i="8"/>
  <c r="Z184" i="8"/>
  <c r="AA184" i="8"/>
  <c r="AB184" i="8"/>
  <c r="AC184" i="8"/>
  <c r="AD184" i="8"/>
  <c r="AE184" i="8"/>
  <c r="AF184" i="8"/>
  <c r="S185" i="8"/>
  <c r="T185" i="8"/>
  <c r="U185" i="8"/>
  <c r="V185" i="8"/>
  <c r="W185" i="8"/>
  <c r="X185" i="8"/>
  <c r="Y185" i="8"/>
  <c r="Z185" i="8"/>
  <c r="AA185" i="8"/>
  <c r="AB185" i="8"/>
  <c r="AC185" i="8"/>
  <c r="AD185" i="8"/>
  <c r="AE185" i="8"/>
  <c r="AF185" i="8"/>
  <c r="S186" i="8"/>
  <c r="T186" i="8"/>
  <c r="U186" i="8"/>
  <c r="V186" i="8"/>
  <c r="W186" i="8"/>
  <c r="X186" i="8"/>
  <c r="Y186" i="8"/>
  <c r="Z186" i="8"/>
  <c r="AA186" i="8"/>
  <c r="AB186" i="8"/>
  <c r="AC186" i="8"/>
  <c r="AD186" i="8"/>
  <c r="AE186" i="8"/>
  <c r="AF186" i="8"/>
  <c r="S187" i="8"/>
  <c r="T187" i="8"/>
  <c r="U187" i="8"/>
  <c r="V187" i="8"/>
  <c r="W187" i="8"/>
  <c r="X187" i="8"/>
  <c r="Y187" i="8"/>
  <c r="Z187" i="8"/>
  <c r="AA187" i="8"/>
  <c r="AB187" i="8"/>
  <c r="AC187" i="8"/>
  <c r="AD187" i="8"/>
  <c r="AE187" i="8"/>
  <c r="AF187" i="8"/>
  <c r="S188" i="8"/>
  <c r="T188" i="8"/>
  <c r="U188" i="8"/>
  <c r="V188" i="8"/>
  <c r="W188" i="8"/>
  <c r="X188" i="8"/>
  <c r="Y188" i="8"/>
  <c r="Z188" i="8"/>
  <c r="AA188" i="8"/>
  <c r="AB188" i="8"/>
  <c r="AC188" i="8"/>
  <c r="AD188" i="8"/>
  <c r="AE188" i="8"/>
  <c r="AF188" i="8"/>
  <c r="S189" i="8"/>
  <c r="T189" i="8"/>
  <c r="U189" i="8"/>
  <c r="V189" i="8"/>
  <c r="W189" i="8"/>
  <c r="X189" i="8"/>
  <c r="Y189" i="8"/>
  <c r="Z189" i="8"/>
  <c r="AA189" i="8"/>
  <c r="AB189" i="8"/>
  <c r="AC189" i="8"/>
  <c r="AD189" i="8"/>
  <c r="AE189" i="8"/>
  <c r="AF189" i="8"/>
  <c r="S190" i="8"/>
  <c r="T190" i="8"/>
  <c r="U190" i="8"/>
  <c r="V190" i="8"/>
  <c r="W190" i="8"/>
  <c r="X190" i="8"/>
  <c r="Y190" i="8"/>
  <c r="Z190" i="8"/>
  <c r="AA190" i="8"/>
  <c r="AB190" i="8"/>
  <c r="AC190" i="8"/>
  <c r="AD190" i="8"/>
  <c r="AE190" i="8"/>
  <c r="AF190" i="8"/>
  <c r="S191" i="8"/>
  <c r="T191" i="8"/>
  <c r="U191" i="8"/>
  <c r="V191" i="8"/>
  <c r="W191" i="8"/>
  <c r="X191" i="8"/>
  <c r="Y191" i="8"/>
  <c r="Z191" i="8"/>
  <c r="AA191" i="8"/>
  <c r="AB191" i="8"/>
  <c r="AC191" i="8"/>
  <c r="AD191" i="8"/>
  <c r="AE191" i="8"/>
  <c r="AF191" i="8"/>
  <c r="S192" i="8"/>
  <c r="T192" i="8"/>
  <c r="U192" i="8"/>
  <c r="V192" i="8"/>
  <c r="W192" i="8"/>
  <c r="X192" i="8"/>
  <c r="Y192" i="8"/>
  <c r="Z192" i="8"/>
  <c r="AA192" i="8"/>
  <c r="AB192" i="8"/>
  <c r="AC192" i="8"/>
  <c r="AD192" i="8"/>
  <c r="AE192" i="8"/>
  <c r="AF192" i="8"/>
  <c r="S193" i="8"/>
  <c r="T193" i="8"/>
  <c r="U193" i="8"/>
  <c r="V193" i="8"/>
  <c r="W193" i="8"/>
  <c r="X193" i="8"/>
  <c r="Y193" i="8"/>
  <c r="Z193" i="8"/>
  <c r="AA193" i="8"/>
  <c r="AB193" i="8"/>
  <c r="AC193" i="8"/>
  <c r="AD193" i="8"/>
  <c r="AE193" i="8"/>
  <c r="AF193" i="8"/>
  <c r="S194" i="8"/>
  <c r="T194" i="8"/>
  <c r="U194" i="8"/>
  <c r="V194" i="8"/>
  <c r="W194" i="8"/>
  <c r="X194" i="8"/>
  <c r="Y194" i="8"/>
  <c r="Z194" i="8"/>
  <c r="AA194" i="8"/>
  <c r="AB194" i="8"/>
  <c r="AC194" i="8"/>
  <c r="AD194" i="8"/>
  <c r="AE194" i="8"/>
  <c r="AF194" i="8"/>
  <c r="S195" i="8"/>
  <c r="T195" i="8"/>
  <c r="U195" i="8"/>
  <c r="V195" i="8"/>
  <c r="W195" i="8"/>
  <c r="X195" i="8"/>
  <c r="Y195" i="8"/>
  <c r="Z195" i="8"/>
  <c r="AA195" i="8"/>
  <c r="AB195" i="8"/>
  <c r="AC195" i="8"/>
  <c r="AD195" i="8"/>
  <c r="AE195" i="8"/>
  <c r="AF195" i="8"/>
  <c r="S196" i="8"/>
  <c r="T196" i="8"/>
  <c r="U196" i="8"/>
  <c r="V196" i="8"/>
  <c r="W196" i="8"/>
  <c r="X196" i="8"/>
  <c r="Y196" i="8"/>
  <c r="Z196" i="8"/>
  <c r="AA196" i="8"/>
  <c r="AB196" i="8"/>
  <c r="AC196" i="8"/>
  <c r="AD196" i="8"/>
  <c r="AE196" i="8"/>
  <c r="AF196" i="8"/>
  <c r="S197" i="8"/>
  <c r="T197" i="8"/>
  <c r="U197" i="8"/>
  <c r="V197" i="8"/>
  <c r="W197" i="8"/>
  <c r="X197" i="8"/>
  <c r="Y197" i="8"/>
  <c r="Z197" i="8"/>
  <c r="AA197" i="8"/>
  <c r="AB197" i="8"/>
  <c r="AC197" i="8"/>
  <c r="AD197" i="8"/>
  <c r="AE197" i="8"/>
  <c r="AF197" i="8"/>
  <c r="S198" i="8"/>
  <c r="T198" i="8"/>
  <c r="U198" i="8"/>
  <c r="V198" i="8"/>
  <c r="W198" i="8"/>
  <c r="X198" i="8"/>
  <c r="Y198" i="8"/>
  <c r="Z198" i="8"/>
  <c r="AA198" i="8"/>
  <c r="AB198" i="8"/>
  <c r="AC198" i="8"/>
  <c r="AD198" i="8"/>
  <c r="AE198" i="8"/>
  <c r="AF198" i="8"/>
  <c r="S199" i="8"/>
  <c r="T199" i="8"/>
  <c r="U199" i="8"/>
  <c r="V199" i="8"/>
  <c r="W199" i="8"/>
  <c r="X199" i="8"/>
  <c r="Y199" i="8"/>
  <c r="Z199" i="8"/>
  <c r="AA199" i="8"/>
  <c r="AB199" i="8"/>
  <c r="AC199" i="8"/>
  <c r="AD199" i="8"/>
  <c r="AE199" i="8"/>
  <c r="AF199" i="8"/>
  <c r="S200" i="8"/>
  <c r="T200" i="8"/>
  <c r="U200" i="8"/>
  <c r="V200" i="8"/>
  <c r="W200" i="8"/>
  <c r="X200" i="8"/>
  <c r="Y200" i="8"/>
  <c r="Z200" i="8"/>
  <c r="AA200" i="8"/>
  <c r="AB200" i="8"/>
  <c r="AC200" i="8"/>
  <c r="AD200" i="8"/>
  <c r="AE200" i="8"/>
  <c r="AF200" i="8"/>
  <c r="T6" i="8"/>
  <c r="U6" i="8"/>
  <c r="V6" i="8"/>
  <c r="W6" i="8"/>
  <c r="X6" i="8"/>
  <c r="Y6" i="8"/>
  <c r="Z6" i="8"/>
  <c r="AA6" i="8"/>
  <c r="AB6" i="8"/>
  <c r="AC6" i="8"/>
  <c r="AD6" i="8"/>
  <c r="AE6" i="8"/>
  <c r="AF6" i="8"/>
  <c r="S6" i="8"/>
  <c r="D203" i="8"/>
  <c r="E203" i="8"/>
  <c r="F203" i="8"/>
  <c r="G203" i="8"/>
  <c r="H203" i="8"/>
  <c r="I203" i="8"/>
  <c r="J203" i="8"/>
  <c r="K203" i="8"/>
  <c r="L203" i="8"/>
  <c r="M203" i="8"/>
  <c r="N203" i="8"/>
  <c r="O203" i="8"/>
  <c r="P203" i="8"/>
  <c r="C203" i="8"/>
  <c r="E44" i="7"/>
  <c r="E43" i="7" a="1"/>
  <c r="E43" i="7" s="1"/>
  <c r="E42" i="7"/>
  <c r="H39" i="7"/>
  <c r="H31" i="7"/>
  <c r="H32" i="7"/>
  <c r="H33" i="7"/>
  <c r="H34" i="7"/>
  <c r="H35" i="7"/>
  <c r="H36" i="7"/>
  <c r="H30" i="7"/>
  <c r="F30" i="7" a="1"/>
  <c r="F30" i="7" s="1"/>
  <c r="D36" i="7"/>
  <c r="D35" i="7"/>
  <c r="D34" i="7"/>
  <c r="D33" i="7"/>
  <c r="D32" i="7"/>
  <c r="D31" i="7"/>
  <c r="D30" i="7"/>
  <c r="F20" i="7"/>
  <c r="G20" i="7"/>
  <c r="H20" i="7"/>
  <c r="E22" i="7" s="1"/>
  <c r="I20" i="7"/>
  <c r="J20" i="7"/>
  <c r="K20" i="7"/>
  <c r="E20" i="7"/>
  <c r="X209" i="6"/>
  <c r="Y209" i="6"/>
  <c r="Z209" i="6"/>
  <c r="AA209" i="6"/>
  <c r="AB209" i="6"/>
  <c r="AC209" i="6"/>
  <c r="W209" i="6"/>
  <c r="X208" i="6"/>
  <c r="Y208" i="6"/>
  <c r="Z208" i="6"/>
  <c r="AA208" i="6"/>
  <c r="AB208" i="6"/>
  <c r="AC208" i="6"/>
  <c r="W208" i="6"/>
  <c r="X207" i="6"/>
  <c r="Y207" i="6"/>
  <c r="Z207" i="6"/>
  <c r="AA207" i="6"/>
  <c r="AB207" i="6"/>
  <c r="AC207" i="6"/>
  <c r="W207" i="6"/>
  <c r="O209" i="6"/>
  <c r="P209" i="6"/>
  <c r="Q209" i="6"/>
  <c r="R209" i="6"/>
  <c r="S209" i="6"/>
  <c r="T209" i="6"/>
  <c r="N209" i="6"/>
  <c r="O208" i="6"/>
  <c r="P208" i="6"/>
  <c r="Q208" i="6"/>
  <c r="R208" i="6"/>
  <c r="S208" i="6"/>
  <c r="T208" i="6"/>
  <c r="N208" i="6"/>
  <c r="O207" i="6"/>
  <c r="P207" i="6"/>
  <c r="Q207" i="6"/>
  <c r="R207" i="6"/>
  <c r="S207" i="6"/>
  <c r="T207" i="6"/>
  <c r="N207" i="6"/>
  <c r="F209" i="6"/>
  <c r="G209" i="6"/>
  <c r="H209" i="6"/>
  <c r="I209" i="6"/>
  <c r="J209" i="6"/>
  <c r="K209" i="6"/>
  <c r="E209" i="6"/>
  <c r="F208" i="6"/>
  <c r="G208" i="6"/>
  <c r="H208" i="6"/>
  <c r="I208" i="6"/>
  <c r="J208" i="6"/>
  <c r="K208" i="6"/>
  <c r="E208" i="6"/>
  <c r="F207" i="6"/>
  <c r="G207" i="6"/>
  <c r="H207" i="6"/>
  <c r="I207" i="6"/>
  <c r="J207" i="6"/>
  <c r="K207" i="6"/>
  <c r="E207" i="6"/>
  <c r="E24" i="7"/>
  <c r="E23" i="7" a="1"/>
  <c r="E23" i="7" s="1"/>
  <c r="D5" i="7" a="1"/>
  <c r="D5" i="7" s="1"/>
  <c r="N7" i="6"/>
  <c r="O7" i="6"/>
  <c r="P7" i="6"/>
  <c r="Q7" i="6"/>
  <c r="R7" i="6"/>
  <c r="S7" i="6"/>
  <c r="T7" i="6"/>
  <c r="N8" i="6"/>
  <c r="O8" i="6"/>
  <c r="P8" i="6"/>
  <c r="Q8" i="6"/>
  <c r="R8" i="6"/>
  <c r="S8" i="6"/>
  <c r="T8" i="6"/>
  <c r="N9" i="6"/>
  <c r="O9" i="6"/>
  <c r="P9" i="6"/>
  <c r="Q9" i="6"/>
  <c r="R9" i="6"/>
  <c r="S9" i="6"/>
  <c r="T9" i="6"/>
  <c r="N10" i="6"/>
  <c r="O10" i="6"/>
  <c r="P10" i="6"/>
  <c r="Q10" i="6"/>
  <c r="R10" i="6"/>
  <c r="S10" i="6"/>
  <c r="T10" i="6"/>
  <c r="N11" i="6"/>
  <c r="O11" i="6"/>
  <c r="P11" i="6"/>
  <c r="Q11" i="6"/>
  <c r="R11" i="6"/>
  <c r="S11" i="6"/>
  <c r="T11" i="6"/>
  <c r="N12" i="6"/>
  <c r="O12" i="6"/>
  <c r="P12" i="6"/>
  <c r="Q12" i="6"/>
  <c r="R12" i="6"/>
  <c r="S12" i="6"/>
  <c r="T12" i="6"/>
  <c r="N13" i="6"/>
  <c r="O13" i="6"/>
  <c r="P13" i="6"/>
  <c r="Q13" i="6"/>
  <c r="R13" i="6"/>
  <c r="S13" i="6"/>
  <c r="T13" i="6"/>
  <c r="N14" i="6"/>
  <c r="O14" i="6"/>
  <c r="P14" i="6"/>
  <c r="Q14" i="6"/>
  <c r="R14" i="6"/>
  <c r="S14" i="6"/>
  <c r="T14" i="6"/>
  <c r="N15" i="6"/>
  <c r="O15" i="6"/>
  <c r="P15" i="6"/>
  <c r="Q15" i="6"/>
  <c r="R15" i="6"/>
  <c r="S15" i="6"/>
  <c r="T15" i="6"/>
  <c r="N16" i="6"/>
  <c r="O16" i="6"/>
  <c r="P16" i="6"/>
  <c r="Q16" i="6"/>
  <c r="R16" i="6"/>
  <c r="S16" i="6"/>
  <c r="T16" i="6"/>
  <c r="N17" i="6"/>
  <c r="O17" i="6"/>
  <c r="P17" i="6"/>
  <c r="Q17" i="6"/>
  <c r="R17" i="6"/>
  <c r="S17" i="6"/>
  <c r="T17" i="6"/>
  <c r="N18" i="6"/>
  <c r="O18" i="6"/>
  <c r="P18" i="6"/>
  <c r="Q18" i="6"/>
  <c r="R18" i="6"/>
  <c r="S18" i="6"/>
  <c r="T18" i="6"/>
  <c r="N19" i="6"/>
  <c r="O19" i="6"/>
  <c r="P19" i="6"/>
  <c r="Q19" i="6"/>
  <c r="R19" i="6"/>
  <c r="S19" i="6"/>
  <c r="T19" i="6"/>
  <c r="N20" i="6"/>
  <c r="O20" i="6"/>
  <c r="P20" i="6"/>
  <c r="Q20" i="6"/>
  <c r="R20" i="6"/>
  <c r="S20" i="6"/>
  <c r="T20" i="6"/>
  <c r="N21" i="6"/>
  <c r="O21" i="6"/>
  <c r="P21" i="6"/>
  <c r="Q21" i="6"/>
  <c r="R21" i="6"/>
  <c r="S21" i="6"/>
  <c r="T21" i="6"/>
  <c r="N22" i="6"/>
  <c r="O22" i="6"/>
  <c r="P22" i="6"/>
  <c r="Q22" i="6"/>
  <c r="R22" i="6"/>
  <c r="S22" i="6"/>
  <c r="T22" i="6"/>
  <c r="N23" i="6"/>
  <c r="O23" i="6"/>
  <c r="P23" i="6"/>
  <c r="Q23" i="6"/>
  <c r="R23" i="6"/>
  <c r="S23" i="6"/>
  <c r="T23" i="6"/>
  <c r="N24" i="6"/>
  <c r="O24" i="6"/>
  <c r="P24" i="6"/>
  <c r="Q24" i="6"/>
  <c r="R24" i="6"/>
  <c r="S24" i="6"/>
  <c r="T24" i="6"/>
  <c r="N25" i="6"/>
  <c r="O25" i="6"/>
  <c r="P25" i="6"/>
  <c r="Q25" i="6"/>
  <c r="R25" i="6"/>
  <c r="S25" i="6"/>
  <c r="T25" i="6"/>
  <c r="N26" i="6"/>
  <c r="O26" i="6"/>
  <c r="P26" i="6"/>
  <c r="Q26" i="6"/>
  <c r="R26" i="6"/>
  <c r="S26" i="6"/>
  <c r="T26" i="6"/>
  <c r="N27" i="6"/>
  <c r="O27" i="6"/>
  <c r="P27" i="6"/>
  <c r="Q27" i="6"/>
  <c r="R27" i="6"/>
  <c r="S27" i="6"/>
  <c r="T27" i="6"/>
  <c r="N28" i="6"/>
  <c r="O28" i="6"/>
  <c r="P28" i="6"/>
  <c r="Q28" i="6"/>
  <c r="R28" i="6"/>
  <c r="S28" i="6"/>
  <c r="T28" i="6"/>
  <c r="N29" i="6"/>
  <c r="O29" i="6"/>
  <c r="P29" i="6"/>
  <c r="Q29" i="6"/>
  <c r="R29" i="6"/>
  <c r="S29" i="6"/>
  <c r="T29" i="6"/>
  <c r="N30" i="6"/>
  <c r="O30" i="6"/>
  <c r="P30" i="6"/>
  <c r="Q30" i="6"/>
  <c r="R30" i="6"/>
  <c r="S30" i="6"/>
  <c r="T30" i="6"/>
  <c r="N31" i="6"/>
  <c r="O31" i="6"/>
  <c r="P31" i="6"/>
  <c r="Q31" i="6"/>
  <c r="R31" i="6"/>
  <c r="S31" i="6"/>
  <c r="T31" i="6"/>
  <c r="N32" i="6"/>
  <c r="O32" i="6"/>
  <c r="P32" i="6"/>
  <c r="Q32" i="6"/>
  <c r="R32" i="6"/>
  <c r="S32" i="6"/>
  <c r="T32" i="6"/>
  <c r="N33" i="6"/>
  <c r="O33" i="6"/>
  <c r="P33" i="6"/>
  <c r="Q33" i="6"/>
  <c r="R33" i="6"/>
  <c r="S33" i="6"/>
  <c r="T33" i="6"/>
  <c r="N34" i="6"/>
  <c r="O34" i="6"/>
  <c r="P34" i="6"/>
  <c r="Q34" i="6"/>
  <c r="R34" i="6"/>
  <c r="S34" i="6"/>
  <c r="T34" i="6"/>
  <c r="N35" i="6"/>
  <c r="O35" i="6"/>
  <c r="P35" i="6"/>
  <c r="Q35" i="6"/>
  <c r="R35" i="6"/>
  <c r="S35" i="6"/>
  <c r="T35" i="6"/>
  <c r="N36" i="6"/>
  <c r="O36" i="6"/>
  <c r="P36" i="6"/>
  <c r="Q36" i="6"/>
  <c r="R36" i="6"/>
  <c r="S36" i="6"/>
  <c r="T36" i="6"/>
  <c r="N37" i="6"/>
  <c r="O37" i="6"/>
  <c r="P37" i="6"/>
  <c r="Q37" i="6"/>
  <c r="R37" i="6"/>
  <c r="S37" i="6"/>
  <c r="T37" i="6"/>
  <c r="N38" i="6"/>
  <c r="O38" i="6"/>
  <c r="P38" i="6"/>
  <c r="Q38" i="6"/>
  <c r="R38" i="6"/>
  <c r="S38" i="6"/>
  <c r="T38" i="6"/>
  <c r="N39" i="6"/>
  <c r="O39" i="6"/>
  <c r="P39" i="6"/>
  <c r="Q39" i="6"/>
  <c r="R39" i="6"/>
  <c r="S39" i="6"/>
  <c r="T39" i="6"/>
  <c r="N40" i="6"/>
  <c r="O40" i="6"/>
  <c r="P40" i="6"/>
  <c r="Q40" i="6"/>
  <c r="R40" i="6"/>
  <c r="S40" i="6"/>
  <c r="T40" i="6"/>
  <c r="N41" i="6"/>
  <c r="O41" i="6"/>
  <c r="P41" i="6"/>
  <c r="Q41" i="6"/>
  <c r="R41" i="6"/>
  <c r="S41" i="6"/>
  <c r="T41" i="6"/>
  <c r="N42" i="6"/>
  <c r="O42" i="6"/>
  <c r="P42" i="6"/>
  <c r="Q42" i="6"/>
  <c r="R42" i="6"/>
  <c r="S42" i="6"/>
  <c r="T42" i="6"/>
  <c r="N43" i="6"/>
  <c r="O43" i="6"/>
  <c r="P43" i="6"/>
  <c r="Q43" i="6"/>
  <c r="R43" i="6"/>
  <c r="S43" i="6"/>
  <c r="T43" i="6"/>
  <c r="N44" i="6"/>
  <c r="O44" i="6"/>
  <c r="P44" i="6"/>
  <c r="Q44" i="6"/>
  <c r="R44" i="6"/>
  <c r="S44" i="6"/>
  <c r="T44" i="6"/>
  <c r="N45" i="6"/>
  <c r="O45" i="6"/>
  <c r="P45" i="6"/>
  <c r="Q45" i="6"/>
  <c r="R45" i="6"/>
  <c r="S45" i="6"/>
  <c r="T45" i="6"/>
  <c r="N46" i="6"/>
  <c r="O46" i="6"/>
  <c r="P46" i="6"/>
  <c r="Q46" i="6"/>
  <c r="R46" i="6"/>
  <c r="S46" i="6"/>
  <c r="T46" i="6"/>
  <c r="N47" i="6"/>
  <c r="O47" i="6"/>
  <c r="P47" i="6"/>
  <c r="Q47" i="6"/>
  <c r="R47" i="6"/>
  <c r="S47" i="6"/>
  <c r="T47" i="6"/>
  <c r="N48" i="6"/>
  <c r="O48" i="6"/>
  <c r="P48" i="6"/>
  <c r="Q48" i="6"/>
  <c r="R48" i="6"/>
  <c r="S48" i="6"/>
  <c r="T48" i="6"/>
  <c r="N49" i="6"/>
  <c r="O49" i="6"/>
  <c r="P49" i="6"/>
  <c r="Q49" i="6"/>
  <c r="R49" i="6"/>
  <c r="S49" i="6"/>
  <c r="T49" i="6"/>
  <c r="N50" i="6"/>
  <c r="O50" i="6"/>
  <c r="P50" i="6"/>
  <c r="Q50" i="6"/>
  <c r="R50" i="6"/>
  <c r="S50" i="6"/>
  <c r="T50" i="6"/>
  <c r="N51" i="6"/>
  <c r="O51" i="6"/>
  <c r="P51" i="6"/>
  <c r="Q51" i="6"/>
  <c r="R51" i="6"/>
  <c r="S51" i="6"/>
  <c r="T51" i="6"/>
  <c r="N52" i="6"/>
  <c r="O52" i="6"/>
  <c r="P52" i="6"/>
  <c r="Q52" i="6"/>
  <c r="R52" i="6"/>
  <c r="S52" i="6"/>
  <c r="T52" i="6"/>
  <c r="N53" i="6"/>
  <c r="O53" i="6"/>
  <c r="P53" i="6"/>
  <c r="Q53" i="6"/>
  <c r="R53" i="6"/>
  <c r="S53" i="6"/>
  <c r="T53" i="6"/>
  <c r="N54" i="6"/>
  <c r="O54" i="6"/>
  <c r="P54" i="6"/>
  <c r="Q54" i="6"/>
  <c r="R54" i="6"/>
  <c r="S54" i="6"/>
  <c r="T54" i="6"/>
  <c r="N55" i="6"/>
  <c r="O55" i="6"/>
  <c r="P55" i="6"/>
  <c r="Q55" i="6"/>
  <c r="R55" i="6"/>
  <c r="S55" i="6"/>
  <c r="T55" i="6"/>
  <c r="N56" i="6"/>
  <c r="O56" i="6"/>
  <c r="P56" i="6"/>
  <c r="Q56" i="6"/>
  <c r="R56" i="6"/>
  <c r="S56" i="6"/>
  <c r="T56" i="6"/>
  <c r="N57" i="6"/>
  <c r="O57" i="6"/>
  <c r="P57" i="6"/>
  <c r="Q57" i="6"/>
  <c r="R57" i="6"/>
  <c r="S57" i="6"/>
  <c r="T57" i="6"/>
  <c r="N58" i="6"/>
  <c r="O58" i="6"/>
  <c r="P58" i="6"/>
  <c r="Q58" i="6"/>
  <c r="R58" i="6"/>
  <c r="S58" i="6"/>
  <c r="T58" i="6"/>
  <c r="N59" i="6"/>
  <c r="O59" i="6"/>
  <c r="P59" i="6"/>
  <c r="Q59" i="6"/>
  <c r="R59" i="6"/>
  <c r="S59" i="6"/>
  <c r="T59" i="6"/>
  <c r="N60" i="6"/>
  <c r="O60" i="6"/>
  <c r="P60" i="6"/>
  <c r="Q60" i="6"/>
  <c r="R60" i="6"/>
  <c r="S60" i="6"/>
  <c r="T60" i="6"/>
  <c r="N61" i="6"/>
  <c r="O61" i="6"/>
  <c r="P61" i="6"/>
  <c r="Q61" i="6"/>
  <c r="R61" i="6"/>
  <c r="S61" i="6"/>
  <c r="T61" i="6"/>
  <c r="N62" i="6"/>
  <c r="O62" i="6"/>
  <c r="P62" i="6"/>
  <c r="Q62" i="6"/>
  <c r="R62" i="6"/>
  <c r="S62" i="6"/>
  <c r="T62" i="6"/>
  <c r="N63" i="6"/>
  <c r="O63" i="6"/>
  <c r="P63" i="6"/>
  <c r="Q63" i="6"/>
  <c r="R63" i="6"/>
  <c r="S63" i="6"/>
  <c r="T63" i="6"/>
  <c r="N64" i="6"/>
  <c r="O64" i="6"/>
  <c r="P64" i="6"/>
  <c r="Q64" i="6"/>
  <c r="R64" i="6"/>
  <c r="S64" i="6"/>
  <c r="T64" i="6"/>
  <c r="N65" i="6"/>
  <c r="O65" i="6"/>
  <c r="P65" i="6"/>
  <c r="Q65" i="6"/>
  <c r="R65" i="6"/>
  <c r="S65" i="6"/>
  <c r="T65" i="6"/>
  <c r="N66" i="6"/>
  <c r="O66" i="6"/>
  <c r="P66" i="6"/>
  <c r="Q66" i="6"/>
  <c r="R66" i="6"/>
  <c r="S66" i="6"/>
  <c r="T66" i="6"/>
  <c r="N67" i="6"/>
  <c r="O67" i="6"/>
  <c r="P67" i="6"/>
  <c r="Q67" i="6"/>
  <c r="R67" i="6"/>
  <c r="S67" i="6"/>
  <c r="T67" i="6"/>
  <c r="N68" i="6"/>
  <c r="O68" i="6"/>
  <c r="P68" i="6"/>
  <c r="Q68" i="6"/>
  <c r="R68" i="6"/>
  <c r="S68" i="6"/>
  <c r="T68" i="6"/>
  <c r="N69" i="6"/>
  <c r="O69" i="6"/>
  <c r="P69" i="6"/>
  <c r="Q69" i="6"/>
  <c r="R69" i="6"/>
  <c r="S69" i="6"/>
  <c r="T69" i="6"/>
  <c r="N70" i="6"/>
  <c r="O70" i="6"/>
  <c r="P70" i="6"/>
  <c r="Q70" i="6"/>
  <c r="R70" i="6"/>
  <c r="S70" i="6"/>
  <c r="T70" i="6"/>
  <c r="N71" i="6"/>
  <c r="O71" i="6"/>
  <c r="P71" i="6"/>
  <c r="Q71" i="6"/>
  <c r="R71" i="6"/>
  <c r="S71" i="6"/>
  <c r="T71" i="6"/>
  <c r="N72" i="6"/>
  <c r="O72" i="6"/>
  <c r="P72" i="6"/>
  <c r="Q72" i="6"/>
  <c r="R72" i="6"/>
  <c r="S72" i="6"/>
  <c r="T72" i="6"/>
  <c r="N73" i="6"/>
  <c r="O73" i="6"/>
  <c r="P73" i="6"/>
  <c r="Q73" i="6"/>
  <c r="R73" i="6"/>
  <c r="S73" i="6"/>
  <c r="T73" i="6"/>
  <c r="N74" i="6"/>
  <c r="O74" i="6"/>
  <c r="P74" i="6"/>
  <c r="Q74" i="6"/>
  <c r="R74" i="6"/>
  <c r="S74" i="6"/>
  <c r="T74" i="6"/>
  <c r="N75" i="6"/>
  <c r="O75" i="6"/>
  <c r="P75" i="6"/>
  <c r="Q75" i="6"/>
  <c r="R75" i="6"/>
  <c r="S75" i="6"/>
  <c r="T75" i="6"/>
  <c r="N76" i="6"/>
  <c r="O76" i="6"/>
  <c r="P76" i="6"/>
  <c r="Q76" i="6"/>
  <c r="R76" i="6"/>
  <c r="S76" i="6"/>
  <c r="T76" i="6"/>
  <c r="N77" i="6"/>
  <c r="O77" i="6"/>
  <c r="P77" i="6"/>
  <c r="Q77" i="6"/>
  <c r="R77" i="6"/>
  <c r="S77" i="6"/>
  <c r="T77" i="6"/>
  <c r="N78" i="6"/>
  <c r="O78" i="6"/>
  <c r="P78" i="6"/>
  <c r="Q78" i="6"/>
  <c r="R78" i="6"/>
  <c r="S78" i="6"/>
  <c r="T78" i="6"/>
  <c r="N79" i="6"/>
  <c r="O79" i="6"/>
  <c r="P79" i="6"/>
  <c r="Q79" i="6"/>
  <c r="R79" i="6"/>
  <c r="S79" i="6"/>
  <c r="T79" i="6"/>
  <c r="N80" i="6"/>
  <c r="O80" i="6"/>
  <c r="P80" i="6"/>
  <c r="Q80" i="6"/>
  <c r="R80" i="6"/>
  <c r="S80" i="6"/>
  <c r="T80" i="6"/>
  <c r="N81" i="6"/>
  <c r="O81" i="6"/>
  <c r="P81" i="6"/>
  <c r="Q81" i="6"/>
  <c r="R81" i="6"/>
  <c r="S81" i="6"/>
  <c r="T81" i="6"/>
  <c r="N82" i="6"/>
  <c r="O82" i="6"/>
  <c r="P82" i="6"/>
  <c r="Q82" i="6"/>
  <c r="R82" i="6"/>
  <c r="S82" i="6"/>
  <c r="T82" i="6"/>
  <c r="N83" i="6"/>
  <c r="O83" i="6"/>
  <c r="P83" i="6"/>
  <c r="Q83" i="6"/>
  <c r="R83" i="6"/>
  <c r="S83" i="6"/>
  <c r="T83" i="6"/>
  <c r="N84" i="6"/>
  <c r="O84" i="6"/>
  <c r="P84" i="6"/>
  <c r="Q84" i="6"/>
  <c r="R84" i="6"/>
  <c r="S84" i="6"/>
  <c r="T84" i="6"/>
  <c r="N85" i="6"/>
  <c r="O85" i="6"/>
  <c r="P85" i="6"/>
  <c r="Q85" i="6"/>
  <c r="R85" i="6"/>
  <c r="S85" i="6"/>
  <c r="T85" i="6"/>
  <c r="N86" i="6"/>
  <c r="O86" i="6"/>
  <c r="P86" i="6"/>
  <c r="Q86" i="6"/>
  <c r="R86" i="6"/>
  <c r="S86" i="6"/>
  <c r="T86" i="6"/>
  <c r="N87" i="6"/>
  <c r="O87" i="6"/>
  <c r="P87" i="6"/>
  <c r="Q87" i="6"/>
  <c r="R87" i="6"/>
  <c r="S87" i="6"/>
  <c r="T87" i="6"/>
  <c r="N88" i="6"/>
  <c r="O88" i="6"/>
  <c r="P88" i="6"/>
  <c r="Q88" i="6"/>
  <c r="R88" i="6"/>
  <c r="S88" i="6"/>
  <c r="T88" i="6"/>
  <c r="N89" i="6"/>
  <c r="O89" i="6"/>
  <c r="P89" i="6"/>
  <c r="Q89" i="6"/>
  <c r="R89" i="6"/>
  <c r="S89" i="6"/>
  <c r="T89" i="6"/>
  <c r="N90" i="6"/>
  <c r="O90" i="6"/>
  <c r="P90" i="6"/>
  <c r="Q90" i="6"/>
  <c r="R90" i="6"/>
  <c r="S90" i="6"/>
  <c r="T90" i="6"/>
  <c r="N91" i="6"/>
  <c r="O91" i="6"/>
  <c r="P91" i="6"/>
  <c r="Q91" i="6"/>
  <c r="R91" i="6"/>
  <c r="S91" i="6"/>
  <c r="T91" i="6"/>
  <c r="N92" i="6"/>
  <c r="O92" i="6"/>
  <c r="P92" i="6"/>
  <c r="Q92" i="6"/>
  <c r="R92" i="6"/>
  <c r="S92" i="6"/>
  <c r="T92" i="6"/>
  <c r="N93" i="6"/>
  <c r="O93" i="6"/>
  <c r="P93" i="6"/>
  <c r="Q93" i="6"/>
  <c r="R93" i="6"/>
  <c r="S93" i="6"/>
  <c r="T93" i="6"/>
  <c r="N94" i="6"/>
  <c r="O94" i="6"/>
  <c r="P94" i="6"/>
  <c r="Q94" i="6"/>
  <c r="R94" i="6"/>
  <c r="S94" i="6"/>
  <c r="T94" i="6"/>
  <c r="N95" i="6"/>
  <c r="O95" i="6"/>
  <c r="P95" i="6"/>
  <c r="Q95" i="6"/>
  <c r="R95" i="6"/>
  <c r="S95" i="6"/>
  <c r="T95" i="6"/>
  <c r="N96" i="6"/>
  <c r="O96" i="6"/>
  <c r="P96" i="6"/>
  <c r="Q96" i="6"/>
  <c r="R96" i="6"/>
  <c r="S96" i="6"/>
  <c r="T96" i="6"/>
  <c r="N97" i="6"/>
  <c r="O97" i="6"/>
  <c r="P97" i="6"/>
  <c r="Q97" i="6"/>
  <c r="R97" i="6"/>
  <c r="S97" i="6"/>
  <c r="T97" i="6"/>
  <c r="N98" i="6"/>
  <c r="O98" i="6"/>
  <c r="P98" i="6"/>
  <c r="Q98" i="6"/>
  <c r="R98" i="6"/>
  <c r="S98" i="6"/>
  <c r="T98" i="6"/>
  <c r="N99" i="6"/>
  <c r="O99" i="6"/>
  <c r="P99" i="6"/>
  <c r="Q99" i="6"/>
  <c r="R99" i="6"/>
  <c r="S99" i="6"/>
  <c r="T99" i="6"/>
  <c r="N100" i="6"/>
  <c r="O100" i="6"/>
  <c r="P100" i="6"/>
  <c r="Q100" i="6"/>
  <c r="R100" i="6"/>
  <c r="S100" i="6"/>
  <c r="T100" i="6"/>
  <c r="N101" i="6"/>
  <c r="O101" i="6"/>
  <c r="P101" i="6"/>
  <c r="Q101" i="6"/>
  <c r="R101" i="6"/>
  <c r="S101" i="6"/>
  <c r="T101" i="6"/>
  <c r="N102" i="6"/>
  <c r="O102" i="6"/>
  <c r="P102" i="6"/>
  <c r="Q102" i="6"/>
  <c r="R102" i="6"/>
  <c r="S102" i="6"/>
  <c r="T102" i="6"/>
  <c r="N103" i="6"/>
  <c r="O103" i="6"/>
  <c r="P103" i="6"/>
  <c r="Q103" i="6"/>
  <c r="R103" i="6"/>
  <c r="S103" i="6"/>
  <c r="T103" i="6"/>
  <c r="N104" i="6"/>
  <c r="O104" i="6"/>
  <c r="P104" i="6"/>
  <c r="Q104" i="6"/>
  <c r="R104" i="6"/>
  <c r="S104" i="6"/>
  <c r="T104" i="6"/>
  <c r="N105" i="6"/>
  <c r="O105" i="6"/>
  <c r="P105" i="6"/>
  <c r="Q105" i="6"/>
  <c r="R105" i="6"/>
  <c r="S105" i="6"/>
  <c r="T105" i="6"/>
  <c r="N106" i="6"/>
  <c r="O106" i="6"/>
  <c r="P106" i="6"/>
  <c r="Q106" i="6"/>
  <c r="R106" i="6"/>
  <c r="S106" i="6"/>
  <c r="T106" i="6"/>
  <c r="N107" i="6"/>
  <c r="O107" i="6"/>
  <c r="P107" i="6"/>
  <c r="Q107" i="6"/>
  <c r="R107" i="6"/>
  <c r="S107" i="6"/>
  <c r="T107" i="6"/>
  <c r="N108" i="6"/>
  <c r="O108" i="6"/>
  <c r="P108" i="6"/>
  <c r="Q108" i="6"/>
  <c r="R108" i="6"/>
  <c r="S108" i="6"/>
  <c r="T108" i="6"/>
  <c r="N109" i="6"/>
  <c r="O109" i="6"/>
  <c r="P109" i="6"/>
  <c r="Q109" i="6"/>
  <c r="R109" i="6"/>
  <c r="S109" i="6"/>
  <c r="T109" i="6"/>
  <c r="N110" i="6"/>
  <c r="O110" i="6"/>
  <c r="P110" i="6"/>
  <c r="Q110" i="6"/>
  <c r="R110" i="6"/>
  <c r="S110" i="6"/>
  <c r="T110" i="6"/>
  <c r="N111" i="6"/>
  <c r="O111" i="6"/>
  <c r="P111" i="6"/>
  <c r="Q111" i="6"/>
  <c r="R111" i="6"/>
  <c r="S111" i="6"/>
  <c r="T111" i="6"/>
  <c r="N112" i="6"/>
  <c r="O112" i="6"/>
  <c r="P112" i="6"/>
  <c r="Q112" i="6"/>
  <c r="R112" i="6"/>
  <c r="S112" i="6"/>
  <c r="T112" i="6"/>
  <c r="N113" i="6"/>
  <c r="O113" i="6"/>
  <c r="P113" i="6"/>
  <c r="Q113" i="6"/>
  <c r="R113" i="6"/>
  <c r="S113" i="6"/>
  <c r="T113" i="6"/>
  <c r="N114" i="6"/>
  <c r="O114" i="6"/>
  <c r="P114" i="6"/>
  <c r="Q114" i="6"/>
  <c r="R114" i="6"/>
  <c r="S114" i="6"/>
  <c r="T114" i="6"/>
  <c r="N115" i="6"/>
  <c r="O115" i="6"/>
  <c r="P115" i="6"/>
  <c r="Q115" i="6"/>
  <c r="R115" i="6"/>
  <c r="S115" i="6"/>
  <c r="T115" i="6"/>
  <c r="N116" i="6"/>
  <c r="O116" i="6"/>
  <c r="P116" i="6"/>
  <c r="Q116" i="6"/>
  <c r="R116" i="6"/>
  <c r="S116" i="6"/>
  <c r="T116" i="6"/>
  <c r="N117" i="6"/>
  <c r="O117" i="6"/>
  <c r="P117" i="6"/>
  <c r="Q117" i="6"/>
  <c r="R117" i="6"/>
  <c r="S117" i="6"/>
  <c r="T117" i="6"/>
  <c r="N118" i="6"/>
  <c r="O118" i="6"/>
  <c r="P118" i="6"/>
  <c r="Q118" i="6"/>
  <c r="R118" i="6"/>
  <c r="S118" i="6"/>
  <c r="T118" i="6"/>
  <c r="N119" i="6"/>
  <c r="O119" i="6"/>
  <c r="P119" i="6"/>
  <c r="Q119" i="6"/>
  <c r="R119" i="6"/>
  <c r="S119" i="6"/>
  <c r="T119" i="6"/>
  <c r="N120" i="6"/>
  <c r="O120" i="6"/>
  <c r="P120" i="6"/>
  <c r="Q120" i="6"/>
  <c r="R120" i="6"/>
  <c r="S120" i="6"/>
  <c r="T120" i="6"/>
  <c r="N121" i="6"/>
  <c r="O121" i="6"/>
  <c r="P121" i="6"/>
  <c r="Q121" i="6"/>
  <c r="R121" i="6"/>
  <c r="S121" i="6"/>
  <c r="T121" i="6"/>
  <c r="N122" i="6"/>
  <c r="O122" i="6"/>
  <c r="P122" i="6"/>
  <c r="Q122" i="6"/>
  <c r="R122" i="6"/>
  <c r="S122" i="6"/>
  <c r="T122" i="6"/>
  <c r="N123" i="6"/>
  <c r="O123" i="6"/>
  <c r="P123" i="6"/>
  <c r="Q123" i="6"/>
  <c r="R123" i="6"/>
  <c r="S123" i="6"/>
  <c r="T123" i="6"/>
  <c r="N124" i="6"/>
  <c r="O124" i="6"/>
  <c r="P124" i="6"/>
  <c r="Q124" i="6"/>
  <c r="R124" i="6"/>
  <c r="S124" i="6"/>
  <c r="T124" i="6"/>
  <c r="N125" i="6"/>
  <c r="O125" i="6"/>
  <c r="P125" i="6"/>
  <c r="Q125" i="6"/>
  <c r="R125" i="6"/>
  <c r="S125" i="6"/>
  <c r="T125" i="6"/>
  <c r="N126" i="6"/>
  <c r="O126" i="6"/>
  <c r="P126" i="6"/>
  <c r="Q126" i="6"/>
  <c r="R126" i="6"/>
  <c r="S126" i="6"/>
  <c r="T126" i="6"/>
  <c r="N127" i="6"/>
  <c r="O127" i="6"/>
  <c r="P127" i="6"/>
  <c r="Q127" i="6"/>
  <c r="R127" i="6"/>
  <c r="S127" i="6"/>
  <c r="T127" i="6"/>
  <c r="N128" i="6"/>
  <c r="O128" i="6"/>
  <c r="P128" i="6"/>
  <c r="Q128" i="6"/>
  <c r="R128" i="6"/>
  <c r="S128" i="6"/>
  <c r="T128" i="6"/>
  <c r="N129" i="6"/>
  <c r="O129" i="6"/>
  <c r="P129" i="6"/>
  <c r="Q129" i="6"/>
  <c r="R129" i="6"/>
  <c r="S129" i="6"/>
  <c r="T129" i="6"/>
  <c r="N130" i="6"/>
  <c r="O130" i="6"/>
  <c r="P130" i="6"/>
  <c r="Q130" i="6"/>
  <c r="R130" i="6"/>
  <c r="S130" i="6"/>
  <c r="T130" i="6"/>
  <c r="N131" i="6"/>
  <c r="O131" i="6"/>
  <c r="P131" i="6"/>
  <c r="Q131" i="6"/>
  <c r="R131" i="6"/>
  <c r="S131" i="6"/>
  <c r="T131" i="6"/>
  <c r="N132" i="6"/>
  <c r="O132" i="6"/>
  <c r="P132" i="6"/>
  <c r="Q132" i="6"/>
  <c r="R132" i="6"/>
  <c r="S132" i="6"/>
  <c r="T132" i="6"/>
  <c r="N133" i="6"/>
  <c r="O133" i="6"/>
  <c r="P133" i="6"/>
  <c r="Q133" i="6"/>
  <c r="R133" i="6"/>
  <c r="S133" i="6"/>
  <c r="T133" i="6"/>
  <c r="N134" i="6"/>
  <c r="O134" i="6"/>
  <c r="P134" i="6"/>
  <c r="Q134" i="6"/>
  <c r="R134" i="6"/>
  <c r="S134" i="6"/>
  <c r="T134" i="6"/>
  <c r="N135" i="6"/>
  <c r="O135" i="6"/>
  <c r="P135" i="6"/>
  <c r="Q135" i="6"/>
  <c r="R135" i="6"/>
  <c r="S135" i="6"/>
  <c r="T135" i="6"/>
  <c r="N136" i="6"/>
  <c r="O136" i="6"/>
  <c r="P136" i="6"/>
  <c r="Q136" i="6"/>
  <c r="R136" i="6"/>
  <c r="S136" i="6"/>
  <c r="T136" i="6"/>
  <c r="N137" i="6"/>
  <c r="O137" i="6"/>
  <c r="P137" i="6"/>
  <c r="Q137" i="6"/>
  <c r="R137" i="6"/>
  <c r="S137" i="6"/>
  <c r="T137" i="6"/>
  <c r="N138" i="6"/>
  <c r="O138" i="6"/>
  <c r="P138" i="6"/>
  <c r="Q138" i="6"/>
  <c r="R138" i="6"/>
  <c r="S138" i="6"/>
  <c r="T138" i="6"/>
  <c r="N139" i="6"/>
  <c r="O139" i="6"/>
  <c r="P139" i="6"/>
  <c r="Q139" i="6"/>
  <c r="R139" i="6"/>
  <c r="S139" i="6"/>
  <c r="T139" i="6"/>
  <c r="N140" i="6"/>
  <c r="O140" i="6"/>
  <c r="P140" i="6"/>
  <c r="Q140" i="6"/>
  <c r="R140" i="6"/>
  <c r="S140" i="6"/>
  <c r="T140" i="6"/>
  <c r="N141" i="6"/>
  <c r="O141" i="6"/>
  <c r="P141" i="6"/>
  <c r="Q141" i="6"/>
  <c r="R141" i="6"/>
  <c r="S141" i="6"/>
  <c r="T141" i="6"/>
  <c r="N142" i="6"/>
  <c r="O142" i="6"/>
  <c r="P142" i="6"/>
  <c r="Q142" i="6"/>
  <c r="R142" i="6"/>
  <c r="S142" i="6"/>
  <c r="T142" i="6"/>
  <c r="N143" i="6"/>
  <c r="O143" i="6"/>
  <c r="P143" i="6"/>
  <c r="Q143" i="6"/>
  <c r="R143" i="6"/>
  <c r="S143" i="6"/>
  <c r="T143" i="6"/>
  <c r="N144" i="6"/>
  <c r="O144" i="6"/>
  <c r="P144" i="6"/>
  <c r="Q144" i="6"/>
  <c r="R144" i="6"/>
  <c r="S144" i="6"/>
  <c r="T144" i="6"/>
  <c r="N145" i="6"/>
  <c r="O145" i="6"/>
  <c r="P145" i="6"/>
  <c r="Q145" i="6"/>
  <c r="R145" i="6"/>
  <c r="S145" i="6"/>
  <c r="T145" i="6"/>
  <c r="N146" i="6"/>
  <c r="O146" i="6"/>
  <c r="P146" i="6"/>
  <c r="Q146" i="6"/>
  <c r="R146" i="6"/>
  <c r="S146" i="6"/>
  <c r="T146" i="6"/>
  <c r="N147" i="6"/>
  <c r="O147" i="6"/>
  <c r="P147" i="6"/>
  <c r="Q147" i="6"/>
  <c r="R147" i="6"/>
  <c r="S147" i="6"/>
  <c r="T147" i="6"/>
  <c r="N148" i="6"/>
  <c r="O148" i="6"/>
  <c r="P148" i="6"/>
  <c r="Q148" i="6"/>
  <c r="R148" i="6"/>
  <c r="S148" i="6"/>
  <c r="T148" i="6"/>
  <c r="N149" i="6"/>
  <c r="O149" i="6"/>
  <c r="P149" i="6"/>
  <c r="Q149" i="6"/>
  <c r="R149" i="6"/>
  <c r="S149" i="6"/>
  <c r="T149" i="6"/>
  <c r="N150" i="6"/>
  <c r="O150" i="6"/>
  <c r="P150" i="6"/>
  <c r="Q150" i="6"/>
  <c r="R150" i="6"/>
  <c r="S150" i="6"/>
  <c r="T150" i="6"/>
  <c r="N151" i="6"/>
  <c r="O151" i="6"/>
  <c r="P151" i="6"/>
  <c r="Q151" i="6"/>
  <c r="R151" i="6"/>
  <c r="S151" i="6"/>
  <c r="T151" i="6"/>
  <c r="N152" i="6"/>
  <c r="O152" i="6"/>
  <c r="P152" i="6"/>
  <c r="Q152" i="6"/>
  <c r="R152" i="6"/>
  <c r="S152" i="6"/>
  <c r="T152" i="6"/>
  <c r="N153" i="6"/>
  <c r="O153" i="6"/>
  <c r="P153" i="6"/>
  <c r="Q153" i="6"/>
  <c r="R153" i="6"/>
  <c r="S153" i="6"/>
  <c r="T153" i="6"/>
  <c r="N154" i="6"/>
  <c r="O154" i="6"/>
  <c r="P154" i="6"/>
  <c r="Q154" i="6"/>
  <c r="R154" i="6"/>
  <c r="S154" i="6"/>
  <c r="T154" i="6"/>
  <c r="N155" i="6"/>
  <c r="O155" i="6"/>
  <c r="P155" i="6"/>
  <c r="Q155" i="6"/>
  <c r="R155" i="6"/>
  <c r="S155" i="6"/>
  <c r="T155" i="6"/>
  <c r="N156" i="6"/>
  <c r="O156" i="6"/>
  <c r="P156" i="6"/>
  <c r="Q156" i="6"/>
  <c r="R156" i="6"/>
  <c r="S156" i="6"/>
  <c r="T156" i="6"/>
  <c r="N157" i="6"/>
  <c r="O157" i="6"/>
  <c r="P157" i="6"/>
  <c r="Q157" i="6"/>
  <c r="R157" i="6"/>
  <c r="S157" i="6"/>
  <c r="T157" i="6"/>
  <c r="N158" i="6"/>
  <c r="O158" i="6"/>
  <c r="P158" i="6"/>
  <c r="Q158" i="6"/>
  <c r="R158" i="6"/>
  <c r="S158" i="6"/>
  <c r="T158" i="6"/>
  <c r="N159" i="6"/>
  <c r="O159" i="6"/>
  <c r="P159" i="6"/>
  <c r="Q159" i="6"/>
  <c r="R159" i="6"/>
  <c r="S159" i="6"/>
  <c r="T159" i="6"/>
  <c r="N160" i="6"/>
  <c r="O160" i="6"/>
  <c r="P160" i="6"/>
  <c r="Q160" i="6"/>
  <c r="R160" i="6"/>
  <c r="S160" i="6"/>
  <c r="T160" i="6"/>
  <c r="N161" i="6"/>
  <c r="O161" i="6"/>
  <c r="P161" i="6"/>
  <c r="Q161" i="6"/>
  <c r="R161" i="6"/>
  <c r="S161" i="6"/>
  <c r="T161" i="6"/>
  <c r="N162" i="6"/>
  <c r="O162" i="6"/>
  <c r="P162" i="6"/>
  <c r="Q162" i="6"/>
  <c r="R162" i="6"/>
  <c r="S162" i="6"/>
  <c r="T162" i="6"/>
  <c r="N163" i="6"/>
  <c r="O163" i="6"/>
  <c r="P163" i="6"/>
  <c r="Q163" i="6"/>
  <c r="R163" i="6"/>
  <c r="S163" i="6"/>
  <c r="T163" i="6"/>
  <c r="N164" i="6"/>
  <c r="O164" i="6"/>
  <c r="P164" i="6"/>
  <c r="Q164" i="6"/>
  <c r="R164" i="6"/>
  <c r="S164" i="6"/>
  <c r="T164" i="6"/>
  <c r="N165" i="6"/>
  <c r="O165" i="6"/>
  <c r="P165" i="6"/>
  <c r="Q165" i="6"/>
  <c r="R165" i="6"/>
  <c r="S165" i="6"/>
  <c r="T165" i="6"/>
  <c r="N166" i="6"/>
  <c r="O166" i="6"/>
  <c r="P166" i="6"/>
  <c r="Q166" i="6"/>
  <c r="R166" i="6"/>
  <c r="S166" i="6"/>
  <c r="T166" i="6"/>
  <c r="N167" i="6"/>
  <c r="O167" i="6"/>
  <c r="P167" i="6"/>
  <c r="Q167" i="6"/>
  <c r="R167" i="6"/>
  <c r="S167" i="6"/>
  <c r="T167" i="6"/>
  <c r="N168" i="6"/>
  <c r="O168" i="6"/>
  <c r="P168" i="6"/>
  <c r="Q168" i="6"/>
  <c r="R168" i="6"/>
  <c r="S168" i="6"/>
  <c r="T168" i="6"/>
  <c r="N169" i="6"/>
  <c r="O169" i="6"/>
  <c r="P169" i="6"/>
  <c r="Q169" i="6"/>
  <c r="R169" i="6"/>
  <c r="S169" i="6"/>
  <c r="T169" i="6"/>
  <c r="N170" i="6"/>
  <c r="O170" i="6"/>
  <c r="P170" i="6"/>
  <c r="Q170" i="6"/>
  <c r="R170" i="6"/>
  <c r="S170" i="6"/>
  <c r="T170" i="6"/>
  <c r="N171" i="6"/>
  <c r="O171" i="6"/>
  <c r="P171" i="6"/>
  <c r="Q171" i="6"/>
  <c r="R171" i="6"/>
  <c r="S171" i="6"/>
  <c r="T171" i="6"/>
  <c r="N172" i="6"/>
  <c r="O172" i="6"/>
  <c r="P172" i="6"/>
  <c r="Q172" i="6"/>
  <c r="R172" i="6"/>
  <c r="S172" i="6"/>
  <c r="T172" i="6"/>
  <c r="N173" i="6"/>
  <c r="O173" i="6"/>
  <c r="P173" i="6"/>
  <c r="Q173" i="6"/>
  <c r="R173" i="6"/>
  <c r="S173" i="6"/>
  <c r="T173" i="6"/>
  <c r="N174" i="6"/>
  <c r="O174" i="6"/>
  <c r="P174" i="6"/>
  <c r="Q174" i="6"/>
  <c r="R174" i="6"/>
  <c r="S174" i="6"/>
  <c r="T174" i="6"/>
  <c r="N175" i="6"/>
  <c r="O175" i="6"/>
  <c r="P175" i="6"/>
  <c r="Q175" i="6"/>
  <c r="R175" i="6"/>
  <c r="S175" i="6"/>
  <c r="T175" i="6"/>
  <c r="N176" i="6"/>
  <c r="O176" i="6"/>
  <c r="P176" i="6"/>
  <c r="Q176" i="6"/>
  <c r="R176" i="6"/>
  <c r="S176" i="6"/>
  <c r="T176" i="6"/>
  <c r="N177" i="6"/>
  <c r="O177" i="6"/>
  <c r="P177" i="6"/>
  <c r="Q177" i="6"/>
  <c r="R177" i="6"/>
  <c r="S177" i="6"/>
  <c r="T177" i="6"/>
  <c r="N178" i="6"/>
  <c r="O178" i="6"/>
  <c r="P178" i="6"/>
  <c r="Q178" i="6"/>
  <c r="R178" i="6"/>
  <c r="S178" i="6"/>
  <c r="T178" i="6"/>
  <c r="N179" i="6"/>
  <c r="O179" i="6"/>
  <c r="P179" i="6"/>
  <c r="Q179" i="6"/>
  <c r="R179" i="6"/>
  <c r="S179" i="6"/>
  <c r="T179" i="6"/>
  <c r="N180" i="6"/>
  <c r="O180" i="6"/>
  <c r="P180" i="6"/>
  <c r="Q180" i="6"/>
  <c r="R180" i="6"/>
  <c r="S180" i="6"/>
  <c r="T180" i="6"/>
  <c r="N181" i="6"/>
  <c r="O181" i="6"/>
  <c r="P181" i="6"/>
  <c r="Q181" i="6"/>
  <c r="R181" i="6"/>
  <c r="S181" i="6"/>
  <c r="T181" i="6"/>
  <c r="N182" i="6"/>
  <c r="O182" i="6"/>
  <c r="P182" i="6"/>
  <c r="Q182" i="6"/>
  <c r="R182" i="6"/>
  <c r="S182" i="6"/>
  <c r="T182" i="6"/>
  <c r="N183" i="6"/>
  <c r="O183" i="6"/>
  <c r="P183" i="6"/>
  <c r="Q183" i="6"/>
  <c r="R183" i="6"/>
  <c r="S183" i="6"/>
  <c r="T183" i="6"/>
  <c r="N184" i="6"/>
  <c r="O184" i="6"/>
  <c r="P184" i="6"/>
  <c r="Q184" i="6"/>
  <c r="R184" i="6"/>
  <c r="S184" i="6"/>
  <c r="T184" i="6"/>
  <c r="N185" i="6"/>
  <c r="O185" i="6"/>
  <c r="P185" i="6"/>
  <c r="Q185" i="6"/>
  <c r="R185" i="6"/>
  <c r="S185" i="6"/>
  <c r="T185" i="6"/>
  <c r="N186" i="6"/>
  <c r="O186" i="6"/>
  <c r="P186" i="6"/>
  <c r="Q186" i="6"/>
  <c r="R186" i="6"/>
  <c r="S186" i="6"/>
  <c r="T186" i="6"/>
  <c r="N187" i="6"/>
  <c r="O187" i="6"/>
  <c r="P187" i="6"/>
  <c r="Q187" i="6"/>
  <c r="R187" i="6"/>
  <c r="S187" i="6"/>
  <c r="T187" i="6"/>
  <c r="N188" i="6"/>
  <c r="O188" i="6"/>
  <c r="P188" i="6"/>
  <c r="Q188" i="6"/>
  <c r="R188" i="6"/>
  <c r="S188" i="6"/>
  <c r="T188" i="6"/>
  <c r="N189" i="6"/>
  <c r="O189" i="6"/>
  <c r="P189" i="6"/>
  <c r="Q189" i="6"/>
  <c r="R189" i="6"/>
  <c r="S189" i="6"/>
  <c r="T189" i="6"/>
  <c r="N190" i="6"/>
  <c r="O190" i="6"/>
  <c r="P190" i="6"/>
  <c r="Q190" i="6"/>
  <c r="R190" i="6"/>
  <c r="S190" i="6"/>
  <c r="T190" i="6"/>
  <c r="N191" i="6"/>
  <c r="O191" i="6"/>
  <c r="P191" i="6"/>
  <c r="Q191" i="6"/>
  <c r="R191" i="6"/>
  <c r="S191" i="6"/>
  <c r="T191" i="6"/>
  <c r="N192" i="6"/>
  <c r="O192" i="6"/>
  <c r="P192" i="6"/>
  <c r="Q192" i="6"/>
  <c r="R192" i="6"/>
  <c r="S192" i="6"/>
  <c r="T192" i="6"/>
  <c r="N193" i="6"/>
  <c r="O193" i="6"/>
  <c r="P193" i="6"/>
  <c r="Q193" i="6"/>
  <c r="R193" i="6"/>
  <c r="S193" i="6"/>
  <c r="T193" i="6"/>
  <c r="N194" i="6"/>
  <c r="O194" i="6"/>
  <c r="P194" i="6"/>
  <c r="Q194" i="6"/>
  <c r="R194" i="6"/>
  <c r="S194" i="6"/>
  <c r="T194" i="6"/>
  <c r="N195" i="6"/>
  <c r="O195" i="6"/>
  <c r="P195" i="6"/>
  <c r="Q195" i="6"/>
  <c r="R195" i="6"/>
  <c r="S195" i="6"/>
  <c r="T195" i="6"/>
  <c r="N196" i="6"/>
  <c r="O196" i="6"/>
  <c r="P196" i="6"/>
  <c r="Q196" i="6"/>
  <c r="R196" i="6"/>
  <c r="S196" i="6"/>
  <c r="T196" i="6"/>
  <c r="N197" i="6"/>
  <c r="O197" i="6"/>
  <c r="P197" i="6"/>
  <c r="Q197" i="6"/>
  <c r="R197" i="6"/>
  <c r="S197" i="6"/>
  <c r="T197" i="6"/>
  <c r="N198" i="6"/>
  <c r="O198" i="6"/>
  <c r="P198" i="6"/>
  <c r="Q198" i="6"/>
  <c r="R198" i="6"/>
  <c r="S198" i="6"/>
  <c r="T198" i="6"/>
  <c r="N199" i="6"/>
  <c r="O199" i="6"/>
  <c r="P199" i="6"/>
  <c r="Q199" i="6"/>
  <c r="R199" i="6"/>
  <c r="S199" i="6"/>
  <c r="T199" i="6"/>
  <c r="N200" i="6"/>
  <c r="O200" i="6"/>
  <c r="P200" i="6"/>
  <c r="Q200" i="6"/>
  <c r="R200" i="6"/>
  <c r="S200" i="6"/>
  <c r="T200" i="6"/>
  <c r="O6" i="6"/>
  <c r="P6" i="6"/>
  <c r="Q6" i="6"/>
  <c r="R6" i="6"/>
  <c r="S6" i="6"/>
  <c r="T6" i="6"/>
  <c r="N6" i="6"/>
  <c r="F202" i="6"/>
  <c r="G202" i="6"/>
  <c r="H202" i="6"/>
  <c r="I202" i="6"/>
  <c r="J202" i="6"/>
  <c r="K202" i="6"/>
  <c r="E202" i="6"/>
  <c r="E7" i="6"/>
  <c r="F7" i="6"/>
  <c r="G7" i="6"/>
  <c r="H7" i="6"/>
  <c r="I7" i="6"/>
  <c r="J7" i="6"/>
  <c r="K7" i="6"/>
  <c r="E8" i="6"/>
  <c r="F8" i="6"/>
  <c r="G8" i="6"/>
  <c r="H8" i="6"/>
  <c r="I8" i="6"/>
  <c r="J8" i="6"/>
  <c r="K8" i="6"/>
  <c r="E9" i="6"/>
  <c r="F9" i="6"/>
  <c r="G9" i="6"/>
  <c r="H9" i="6"/>
  <c r="I9" i="6"/>
  <c r="J9" i="6"/>
  <c r="K9" i="6"/>
  <c r="E10" i="6"/>
  <c r="F10" i="6"/>
  <c r="G10" i="6"/>
  <c r="H10" i="6"/>
  <c r="I10" i="6"/>
  <c r="J10" i="6"/>
  <c r="K10" i="6"/>
  <c r="E11" i="6"/>
  <c r="F11" i="6"/>
  <c r="G11" i="6"/>
  <c r="H11" i="6"/>
  <c r="I11" i="6"/>
  <c r="J11" i="6"/>
  <c r="K11" i="6"/>
  <c r="E12" i="6"/>
  <c r="F12" i="6"/>
  <c r="G12" i="6"/>
  <c r="H12" i="6"/>
  <c r="I12" i="6"/>
  <c r="J12" i="6"/>
  <c r="K12" i="6"/>
  <c r="E13" i="6"/>
  <c r="F13" i="6"/>
  <c r="G13" i="6"/>
  <c r="H13" i="6"/>
  <c r="I13" i="6"/>
  <c r="J13" i="6"/>
  <c r="K13" i="6"/>
  <c r="E14" i="6"/>
  <c r="F14" i="6"/>
  <c r="G14" i="6"/>
  <c r="H14" i="6"/>
  <c r="I14" i="6"/>
  <c r="J14" i="6"/>
  <c r="K14" i="6"/>
  <c r="E15" i="6"/>
  <c r="F15" i="6"/>
  <c r="G15" i="6"/>
  <c r="H15" i="6"/>
  <c r="I15" i="6"/>
  <c r="J15" i="6"/>
  <c r="K15" i="6"/>
  <c r="E16" i="6"/>
  <c r="F16" i="6"/>
  <c r="G16" i="6"/>
  <c r="H16" i="6"/>
  <c r="I16" i="6"/>
  <c r="J16" i="6"/>
  <c r="K16" i="6"/>
  <c r="E17" i="6"/>
  <c r="F17" i="6"/>
  <c r="G17" i="6"/>
  <c r="H17" i="6"/>
  <c r="I17" i="6"/>
  <c r="J17" i="6"/>
  <c r="K17" i="6"/>
  <c r="E18" i="6"/>
  <c r="F18" i="6"/>
  <c r="G18" i="6"/>
  <c r="H18" i="6"/>
  <c r="I18" i="6"/>
  <c r="J18" i="6"/>
  <c r="K18" i="6"/>
  <c r="E19" i="6"/>
  <c r="F19" i="6"/>
  <c r="G19" i="6"/>
  <c r="H19" i="6"/>
  <c r="I19" i="6"/>
  <c r="J19" i="6"/>
  <c r="K19" i="6"/>
  <c r="E20" i="6"/>
  <c r="F20" i="6"/>
  <c r="G20" i="6"/>
  <c r="H20" i="6"/>
  <c r="I20" i="6"/>
  <c r="J20" i="6"/>
  <c r="K20" i="6"/>
  <c r="E21" i="6"/>
  <c r="F21" i="6"/>
  <c r="G21" i="6"/>
  <c r="H21" i="6"/>
  <c r="I21" i="6"/>
  <c r="J21" i="6"/>
  <c r="K21" i="6"/>
  <c r="E22" i="6"/>
  <c r="F22" i="6"/>
  <c r="G22" i="6"/>
  <c r="H22" i="6"/>
  <c r="I22" i="6"/>
  <c r="J22" i="6"/>
  <c r="K22" i="6"/>
  <c r="E23" i="6"/>
  <c r="F23" i="6"/>
  <c r="G23" i="6"/>
  <c r="H23" i="6"/>
  <c r="I23" i="6"/>
  <c r="J23" i="6"/>
  <c r="K23" i="6"/>
  <c r="E24" i="6"/>
  <c r="F24" i="6"/>
  <c r="G24" i="6"/>
  <c r="H24" i="6"/>
  <c r="I24" i="6"/>
  <c r="J24" i="6"/>
  <c r="K24" i="6"/>
  <c r="E25" i="6"/>
  <c r="F25" i="6"/>
  <c r="G25" i="6"/>
  <c r="H25" i="6"/>
  <c r="I25" i="6"/>
  <c r="J25" i="6"/>
  <c r="K25" i="6"/>
  <c r="E26" i="6"/>
  <c r="F26" i="6"/>
  <c r="G26" i="6"/>
  <c r="H26" i="6"/>
  <c r="I26" i="6"/>
  <c r="J26" i="6"/>
  <c r="K26" i="6"/>
  <c r="E27" i="6"/>
  <c r="F27" i="6"/>
  <c r="G27" i="6"/>
  <c r="H27" i="6"/>
  <c r="I27" i="6"/>
  <c r="J27" i="6"/>
  <c r="K27" i="6"/>
  <c r="E28" i="6"/>
  <c r="F28" i="6"/>
  <c r="G28" i="6"/>
  <c r="H28" i="6"/>
  <c r="I28" i="6"/>
  <c r="J28" i="6"/>
  <c r="K28" i="6"/>
  <c r="E29" i="6"/>
  <c r="F29" i="6"/>
  <c r="G29" i="6"/>
  <c r="H29" i="6"/>
  <c r="I29" i="6"/>
  <c r="J29" i="6"/>
  <c r="K29" i="6"/>
  <c r="E30" i="6"/>
  <c r="F30" i="6"/>
  <c r="G30" i="6"/>
  <c r="H30" i="6"/>
  <c r="I30" i="6"/>
  <c r="J30" i="6"/>
  <c r="K30" i="6"/>
  <c r="E31" i="6"/>
  <c r="F31" i="6"/>
  <c r="G31" i="6"/>
  <c r="H31" i="6"/>
  <c r="I31" i="6"/>
  <c r="J31" i="6"/>
  <c r="K31" i="6"/>
  <c r="E32" i="6"/>
  <c r="F32" i="6"/>
  <c r="G32" i="6"/>
  <c r="H32" i="6"/>
  <c r="I32" i="6"/>
  <c r="J32" i="6"/>
  <c r="K32" i="6"/>
  <c r="E33" i="6"/>
  <c r="F33" i="6"/>
  <c r="G33" i="6"/>
  <c r="H33" i="6"/>
  <c r="I33" i="6"/>
  <c r="J33" i="6"/>
  <c r="K33" i="6"/>
  <c r="E34" i="6"/>
  <c r="F34" i="6"/>
  <c r="G34" i="6"/>
  <c r="H34" i="6"/>
  <c r="I34" i="6"/>
  <c r="J34" i="6"/>
  <c r="K34" i="6"/>
  <c r="E35" i="6"/>
  <c r="F35" i="6"/>
  <c r="G35" i="6"/>
  <c r="H35" i="6"/>
  <c r="I35" i="6"/>
  <c r="J35" i="6"/>
  <c r="K35" i="6"/>
  <c r="E36" i="6"/>
  <c r="F36" i="6"/>
  <c r="G36" i="6"/>
  <c r="H36" i="6"/>
  <c r="I36" i="6"/>
  <c r="J36" i="6"/>
  <c r="K36" i="6"/>
  <c r="E37" i="6"/>
  <c r="F37" i="6"/>
  <c r="G37" i="6"/>
  <c r="H37" i="6"/>
  <c r="I37" i="6"/>
  <c r="J37" i="6"/>
  <c r="K37" i="6"/>
  <c r="E38" i="6"/>
  <c r="F38" i="6"/>
  <c r="G38" i="6"/>
  <c r="H38" i="6"/>
  <c r="I38" i="6"/>
  <c r="J38" i="6"/>
  <c r="K38" i="6"/>
  <c r="E39" i="6"/>
  <c r="F39" i="6"/>
  <c r="G39" i="6"/>
  <c r="H39" i="6"/>
  <c r="I39" i="6"/>
  <c r="J39" i="6"/>
  <c r="K39" i="6"/>
  <c r="E40" i="6"/>
  <c r="F40" i="6"/>
  <c r="G40" i="6"/>
  <c r="H40" i="6"/>
  <c r="I40" i="6"/>
  <c r="J40" i="6"/>
  <c r="K40" i="6"/>
  <c r="E41" i="6"/>
  <c r="F41" i="6"/>
  <c r="G41" i="6"/>
  <c r="H41" i="6"/>
  <c r="I41" i="6"/>
  <c r="J41" i="6"/>
  <c r="K41" i="6"/>
  <c r="E42" i="6"/>
  <c r="F42" i="6"/>
  <c r="G42" i="6"/>
  <c r="H42" i="6"/>
  <c r="I42" i="6"/>
  <c r="J42" i="6"/>
  <c r="K42" i="6"/>
  <c r="E43" i="6"/>
  <c r="F43" i="6"/>
  <c r="G43" i="6"/>
  <c r="H43" i="6"/>
  <c r="I43" i="6"/>
  <c r="J43" i="6"/>
  <c r="K43" i="6"/>
  <c r="E44" i="6"/>
  <c r="F44" i="6"/>
  <c r="G44" i="6"/>
  <c r="H44" i="6"/>
  <c r="I44" i="6"/>
  <c r="J44" i="6"/>
  <c r="K44" i="6"/>
  <c r="E45" i="6"/>
  <c r="F45" i="6"/>
  <c r="G45" i="6"/>
  <c r="H45" i="6"/>
  <c r="I45" i="6"/>
  <c r="J45" i="6"/>
  <c r="K45" i="6"/>
  <c r="E46" i="6"/>
  <c r="F46" i="6"/>
  <c r="G46" i="6"/>
  <c r="H46" i="6"/>
  <c r="I46" i="6"/>
  <c r="J46" i="6"/>
  <c r="K46" i="6"/>
  <c r="E47" i="6"/>
  <c r="F47" i="6"/>
  <c r="G47" i="6"/>
  <c r="H47" i="6"/>
  <c r="I47" i="6"/>
  <c r="J47" i="6"/>
  <c r="K47" i="6"/>
  <c r="E48" i="6"/>
  <c r="F48" i="6"/>
  <c r="G48" i="6"/>
  <c r="H48" i="6"/>
  <c r="I48" i="6"/>
  <c r="J48" i="6"/>
  <c r="K48" i="6"/>
  <c r="E49" i="6"/>
  <c r="F49" i="6"/>
  <c r="G49" i="6"/>
  <c r="H49" i="6"/>
  <c r="I49" i="6"/>
  <c r="J49" i="6"/>
  <c r="K49" i="6"/>
  <c r="E50" i="6"/>
  <c r="F50" i="6"/>
  <c r="G50" i="6"/>
  <c r="H50" i="6"/>
  <c r="I50" i="6"/>
  <c r="J50" i="6"/>
  <c r="K50" i="6"/>
  <c r="E51" i="6"/>
  <c r="F51" i="6"/>
  <c r="G51" i="6"/>
  <c r="H51" i="6"/>
  <c r="I51" i="6"/>
  <c r="J51" i="6"/>
  <c r="K51" i="6"/>
  <c r="E52" i="6"/>
  <c r="F52" i="6"/>
  <c r="G52" i="6"/>
  <c r="H52" i="6"/>
  <c r="I52" i="6"/>
  <c r="J52" i="6"/>
  <c r="K52" i="6"/>
  <c r="E53" i="6"/>
  <c r="F53" i="6"/>
  <c r="G53" i="6"/>
  <c r="H53" i="6"/>
  <c r="I53" i="6"/>
  <c r="J53" i="6"/>
  <c r="K53" i="6"/>
  <c r="E54" i="6"/>
  <c r="F54" i="6"/>
  <c r="G54" i="6"/>
  <c r="H54" i="6"/>
  <c r="I54" i="6"/>
  <c r="J54" i="6"/>
  <c r="K54" i="6"/>
  <c r="E55" i="6"/>
  <c r="F55" i="6"/>
  <c r="G55" i="6"/>
  <c r="H55" i="6"/>
  <c r="I55" i="6"/>
  <c r="J55" i="6"/>
  <c r="K55" i="6"/>
  <c r="E56" i="6"/>
  <c r="F56" i="6"/>
  <c r="G56" i="6"/>
  <c r="H56" i="6"/>
  <c r="I56" i="6"/>
  <c r="J56" i="6"/>
  <c r="K56" i="6"/>
  <c r="E57" i="6"/>
  <c r="F57" i="6"/>
  <c r="G57" i="6"/>
  <c r="H57" i="6"/>
  <c r="I57" i="6"/>
  <c r="J57" i="6"/>
  <c r="K57" i="6"/>
  <c r="E58" i="6"/>
  <c r="F58" i="6"/>
  <c r="G58" i="6"/>
  <c r="H58" i="6"/>
  <c r="I58" i="6"/>
  <c r="J58" i="6"/>
  <c r="K58" i="6"/>
  <c r="E59" i="6"/>
  <c r="F59" i="6"/>
  <c r="G59" i="6"/>
  <c r="H59" i="6"/>
  <c r="I59" i="6"/>
  <c r="J59" i="6"/>
  <c r="K59" i="6"/>
  <c r="E60" i="6"/>
  <c r="F60" i="6"/>
  <c r="G60" i="6"/>
  <c r="H60" i="6"/>
  <c r="I60" i="6"/>
  <c r="J60" i="6"/>
  <c r="K60" i="6"/>
  <c r="E61" i="6"/>
  <c r="F61" i="6"/>
  <c r="G61" i="6"/>
  <c r="H61" i="6"/>
  <c r="I61" i="6"/>
  <c r="J61" i="6"/>
  <c r="K61" i="6"/>
  <c r="E62" i="6"/>
  <c r="F62" i="6"/>
  <c r="G62" i="6"/>
  <c r="H62" i="6"/>
  <c r="I62" i="6"/>
  <c r="J62" i="6"/>
  <c r="K62" i="6"/>
  <c r="E63" i="6"/>
  <c r="F63" i="6"/>
  <c r="G63" i="6"/>
  <c r="H63" i="6"/>
  <c r="I63" i="6"/>
  <c r="J63" i="6"/>
  <c r="K63" i="6"/>
  <c r="E64" i="6"/>
  <c r="F64" i="6"/>
  <c r="G64" i="6"/>
  <c r="H64" i="6"/>
  <c r="I64" i="6"/>
  <c r="J64" i="6"/>
  <c r="K64" i="6"/>
  <c r="E65" i="6"/>
  <c r="F65" i="6"/>
  <c r="G65" i="6"/>
  <c r="H65" i="6"/>
  <c r="I65" i="6"/>
  <c r="J65" i="6"/>
  <c r="K65" i="6"/>
  <c r="E66" i="6"/>
  <c r="F66" i="6"/>
  <c r="G66" i="6"/>
  <c r="H66" i="6"/>
  <c r="I66" i="6"/>
  <c r="J66" i="6"/>
  <c r="K66" i="6"/>
  <c r="E67" i="6"/>
  <c r="F67" i="6"/>
  <c r="G67" i="6"/>
  <c r="H67" i="6"/>
  <c r="I67" i="6"/>
  <c r="J67" i="6"/>
  <c r="K67" i="6"/>
  <c r="E68" i="6"/>
  <c r="F68" i="6"/>
  <c r="G68" i="6"/>
  <c r="H68" i="6"/>
  <c r="I68" i="6"/>
  <c r="J68" i="6"/>
  <c r="K68" i="6"/>
  <c r="E69" i="6"/>
  <c r="F69" i="6"/>
  <c r="G69" i="6"/>
  <c r="H69" i="6"/>
  <c r="I69" i="6"/>
  <c r="J69" i="6"/>
  <c r="K69" i="6"/>
  <c r="E70" i="6"/>
  <c r="F70" i="6"/>
  <c r="G70" i="6"/>
  <c r="H70" i="6"/>
  <c r="I70" i="6"/>
  <c r="J70" i="6"/>
  <c r="K70" i="6"/>
  <c r="E71" i="6"/>
  <c r="F71" i="6"/>
  <c r="G71" i="6"/>
  <c r="H71" i="6"/>
  <c r="I71" i="6"/>
  <c r="J71" i="6"/>
  <c r="K71" i="6"/>
  <c r="E72" i="6"/>
  <c r="F72" i="6"/>
  <c r="G72" i="6"/>
  <c r="H72" i="6"/>
  <c r="I72" i="6"/>
  <c r="J72" i="6"/>
  <c r="K72" i="6"/>
  <c r="E73" i="6"/>
  <c r="F73" i="6"/>
  <c r="G73" i="6"/>
  <c r="H73" i="6"/>
  <c r="I73" i="6"/>
  <c r="J73" i="6"/>
  <c r="K73" i="6"/>
  <c r="E74" i="6"/>
  <c r="F74" i="6"/>
  <c r="G74" i="6"/>
  <c r="H74" i="6"/>
  <c r="I74" i="6"/>
  <c r="J74" i="6"/>
  <c r="K74" i="6"/>
  <c r="E75" i="6"/>
  <c r="F75" i="6"/>
  <c r="G75" i="6"/>
  <c r="H75" i="6"/>
  <c r="I75" i="6"/>
  <c r="J75" i="6"/>
  <c r="K75" i="6"/>
  <c r="E76" i="6"/>
  <c r="F76" i="6"/>
  <c r="G76" i="6"/>
  <c r="H76" i="6"/>
  <c r="I76" i="6"/>
  <c r="J76" i="6"/>
  <c r="K76" i="6"/>
  <c r="E77" i="6"/>
  <c r="F77" i="6"/>
  <c r="G77" i="6"/>
  <c r="H77" i="6"/>
  <c r="I77" i="6"/>
  <c r="J77" i="6"/>
  <c r="K77" i="6"/>
  <c r="E78" i="6"/>
  <c r="F78" i="6"/>
  <c r="G78" i="6"/>
  <c r="H78" i="6"/>
  <c r="I78" i="6"/>
  <c r="J78" i="6"/>
  <c r="K78" i="6"/>
  <c r="E79" i="6"/>
  <c r="F79" i="6"/>
  <c r="G79" i="6"/>
  <c r="H79" i="6"/>
  <c r="I79" i="6"/>
  <c r="J79" i="6"/>
  <c r="K79" i="6"/>
  <c r="E80" i="6"/>
  <c r="F80" i="6"/>
  <c r="G80" i="6"/>
  <c r="H80" i="6"/>
  <c r="I80" i="6"/>
  <c r="J80" i="6"/>
  <c r="K80" i="6"/>
  <c r="E81" i="6"/>
  <c r="F81" i="6"/>
  <c r="G81" i="6"/>
  <c r="H81" i="6"/>
  <c r="I81" i="6"/>
  <c r="J81" i="6"/>
  <c r="K81" i="6"/>
  <c r="E82" i="6"/>
  <c r="F82" i="6"/>
  <c r="G82" i="6"/>
  <c r="H82" i="6"/>
  <c r="I82" i="6"/>
  <c r="J82" i="6"/>
  <c r="K82" i="6"/>
  <c r="E83" i="6"/>
  <c r="F83" i="6"/>
  <c r="G83" i="6"/>
  <c r="H83" i="6"/>
  <c r="I83" i="6"/>
  <c r="J83" i="6"/>
  <c r="K83" i="6"/>
  <c r="E84" i="6"/>
  <c r="F84" i="6"/>
  <c r="G84" i="6"/>
  <c r="H84" i="6"/>
  <c r="I84" i="6"/>
  <c r="J84" i="6"/>
  <c r="K84" i="6"/>
  <c r="E85" i="6"/>
  <c r="F85" i="6"/>
  <c r="G85" i="6"/>
  <c r="H85" i="6"/>
  <c r="I85" i="6"/>
  <c r="J85" i="6"/>
  <c r="K85" i="6"/>
  <c r="E86" i="6"/>
  <c r="F86" i="6"/>
  <c r="G86" i="6"/>
  <c r="H86" i="6"/>
  <c r="I86" i="6"/>
  <c r="J86" i="6"/>
  <c r="K86" i="6"/>
  <c r="E87" i="6"/>
  <c r="F87" i="6"/>
  <c r="G87" i="6"/>
  <c r="H87" i="6"/>
  <c r="I87" i="6"/>
  <c r="J87" i="6"/>
  <c r="K87" i="6"/>
  <c r="E88" i="6"/>
  <c r="F88" i="6"/>
  <c r="G88" i="6"/>
  <c r="H88" i="6"/>
  <c r="I88" i="6"/>
  <c r="J88" i="6"/>
  <c r="K88" i="6"/>
  <c r="E89" i="6"/>
  <c r="F89" i="6"/>
  <c r="G89" i="6"/>
  <c r="H89" i="6"/>
  <c r="I89" i="6"/>
  <c r="J89" i="6"/>
  <c r="K89" i="6"/>
  <c r="E90" i="6"/>
  <c r="F90" i="6"/>
  <c r="G90" i="6"/>
  <c r="H90" i="6"/>
  <c r="I90" i="6"/>
  <c r="J90" i="6"/>
  <c r="K90" i="6"/>
  <c r="E91" i="6"/>
  <c r="F91" i="6"/>
  <c r="G91" i="6"/>
  <c r="H91" i="6"/>
  <c r="I91" i="6"/>
  <c r="J91" i="6"/>
  <c r="K91" i="6"/>
  <c r="E92" i="6"/>
  <c r="F92" i="6"/>
  <c r="G92" i="6"/>
  <c r="H92" i="6"/>
  <c r="I92" i="6"/>
  <c r="J92" i="6"/>
  <c r="K92" i="6"/>
  <c r="E93" i="6"/>
  <c r="F93" i="6"/>
  <c r="G93" i="6"/>
  <c r="H93" i="6"/>
  <c r="I93" i="6"/>
  <c r="J93" i="6"/>
  <c r="K93" i="6"/>
  <c r="E94" i="6"/>
  <c r="F94" i="6"/>
  <c r="G94" i="6"/>
  <c r="H94" i="6"/>
  <c r="I94" i="6"/>
  <c r="J94" i="6"/>
  <c r="K94" i="6"/>
  <c r="E95" i="6"/>
  <c r="F95" i="6"/>
  <c r="G95" i="6"/>
  <c r="H95" i="6"/>
  <c r="I95" i="6"/>
  <c r="J95" i="6"/>
  <c r="K95" i="6"/>
  <c r="E96" i="6"/>
  <c r="F96" i="6"/>
  <c r="G96" i="6"/>
  <c r="H96" i="6"/>
  <c r="I96" i="6"/>
  <c r="J96" i="6"/>
  <c r="K96" i="6"/>
  <c r="E97" i="6"/>
  <c r="F97" i="6"/>
  <c r="G97" i="6"/>
  <c r="H97" i="6"/>
  <c r="I97" i="6"/>
  <c r="J97" i="6"/>
  <c r="K97" i="6"/>
  <c r="E98" i="6"/>
  <c r="F98" i="6"/>
  <c r="G98" i="6"/>
  <c r="H98" i="6"/>
  <c r="I98" i="6"/>
  <c r="J98" i="6"/>
  <c r="K98" i="6"/>
  <c r="E99" i="6"/>
  <c r="F99" i="6"/>
  <c r="G99" i="6"/>
  <c r="H99" i="6"/>
  <c r="I99" i="6"/>
  <c r="J99" i="6"/>
  <c r="K99" i="6"/>
  <c r="E100" i="6"/>
  <c r="F100" i="6"/>
  <c r="G100" i="6"/>
  <c r="H100" i="6"/>
  <c r="I100" i="6"/>
  <c r="J100" i="6"/>
  <c r="K100" i="6"/>
  <c r="E101" i="6"/>
  <c r="F101" i="6"/>
  <c r="G101" i="6"/>
  <c r="H101" i="6"/>
  <c r="I101" i="6"/>
  <c r="J101" i="6"/>
  <c r="K101" i="6"/>
  <c r="E102" i="6"/>
  <c r="F102" i="6"/>
  <c r="G102" i="6"/>
  <c r="H102" i="6"/>
  <c r="I102" i="6"/>
  <c r="J102" i="6"/>
  <c r="K102" i="6"/>
  <c r="E103" i="6"/>
  <c r="F103" i="6"/>
  <c r="G103" i="6"/>
  <c r="H103" i="6"/>
  <c r="I103" i="6"/>
  <c r="J103" i="6"/>
  <c r="K103" i="6"/>
  <c r="E104" i="6"/>
  <c r="F104" i="6"/>
  <c r="G104" i="6"/>
  <c r="H104" i="6"/>
  <c r="I104" i="6"/>
  <c r="J104" i="6"/>
  <c r="K104" i="6"/>
  <c r="E105" i="6"/>
  <c r="F105" i="6"/>
  <c r="G105" i="6"/>
  <c r="H105" i="6"/>
  <c r="I105" i="6"/>
  <c r="J105" i="6"/>
  <c r="K105" i="6"/>
  <c r="E106" i="6"/>
  <c r="F106" i="6"/>
  <c r="G106" i="6"/>
  <c r="H106" i="6"/>
  <c r="I106" i="6"/>
  <c r="J106" i="6"/>
  <c r="K106" i="6"/>
  <c r="E107" i="6"/>
  <c r="F107" i="6"/>
  <c r="G107" i="6"/>
  <c r="H107" i="6"/>
  <c r="I107" i="6"/>
  <c r="J107" i="6"/>
  <c r="K107" i="6"/>
  <c r="E108" i="6"/>
  <c r="F108" i="6"/>
  <c r="G108" i="6"/>
  <c r="H108" i="6"/>
  <c r="I108" i="6"/>
  <c r="J108" i="6"/>
  <c r="K108" i="6"/>
  <c r="E109" i="6"/>
  <c r="F109" i="6"/>
  <c r="G109" i="6"/>
  <c r="H109" i="6"/>
  <c r="I109" i="6"/>
  <c r="J109" i="6"/>
  <c r="K109" i="6"/>
  <c r="E110" i="6"/>
  <c r="F110" i="6"/>
  <c r="G110" i="6"/>
  <c r="H110" i="6"/>
  <c r="I110" i="6"/>
  <c r="J110" i="6"/>
  <c r="K110" i="6"/>
  <c r="E111" i="6"/>
  <c r="F111" i="6"/>
  <c r="G111" i="6"/>
  <c r="H111" i="6"/>
  <c r="I111" i="6"/>
  <c r="J111" i="6"/>
  <c r="K111" i="6"/>
  <c r="E112" i="6"/>
  <c r="F112" i="6"/>
  <c r="G112" i="6"/>
  <c r="H112" i="6"/>
  <c r="I112" i="6"/>
  <c r="J112" i="6"/>
  <c r="K112" i="6"/>
  <c r="E113" i="6"/>
  <c r="F113" i="6"/>
  <c r="G113" i="6"/>
  <c r="H113" i="6"/>
  <c r="I113" i="6"/>
  <c r="J113" i="6"/>
  <c r="K113" i="6"/>
  <c r="E114" i="6"/>
  <c r="F114" i="6"/>
  <c r="G114" i="6"/>
  <c r="H114" i="6"/>
  <c r="I114" i="6"/>
  <c r="J114" i="6"/>
  <c r="K114" i="6"/>
  <c r="E115" i="6"/>
  <c r="F115" i="6"/>
  <c r="G115" i="6"/>
  <c r="H115" i="6"/>
  <c r="I115" i="6"/>
  <c r="J115" i="6"/>
  <c r="K115" i="6"/>
  <c r="E116" i="6"/>
  <c r="F116" i="6"/>
  <c r="G116" i="6"/>
  <c r="H116" i="6"/>
  <c r="I116" i="6"/>
  <c r="J116" i="6"/>
  <c r="K116" i="6"/>
  <c r="E117" i="6"/>
  <c r="F117" i="6"/>
  <c r="G117" i="6"/>
  <c r="H117" i="6"/>
  <c r="I117" i="6"/>
  <c r="J117" i="6"/>
  <c r="K117" i="6"/>
  <c r="E118" i="6"/>
  <c r="F118" i="6"/>
  <c r="G118" i="6"/>
  <c r="H118" i="6"/>
  <c r="I118" i="6"/>
  <c r="J118" i="6"/>
  <c r="K118" i="6"/>
  <c r="E119" i="6"/>
  <c r="F119" i="6"/>
  <c r="G119" i="6"/>
  <c r="H119" i="6"/>
  <c r="I119" i="6"/>
  <c r="J119" i="6"/>
  <c r="K119" i="6"/>
  <c r="E120" i="6"/>
  <c r="F120" i="6"/>
  <c r="G120" i="6"/>
  <c r="H120" i="6"/>
  <c r="I120" i="6"/>
  <c r="J120" i="6"/>
  <c r="K120" i="6"/>
  <c r="E121" i="6"/>
  <c r="F121" i="6"/>
  <c r="G121" i="6"/>
  <c r="H121" i="6"/>
  <c r="I121" i="6"/>
  <c r="J121" i="6"/>
  <c r="K121" i="6"/>
  <c r="E122" i="6"/>
  <c r="F122" i="6"/>
  <c r="G122" i="6"/>
  <c r="H122" i="6"/>
  <c r="I122" i="6"/>
  <c r="J122" i="6"/>
  <c r="K122" i="6"/>
  <c r="E123" i="6"/>
  <c r="F123" i="6"/>
  <c r="G123" i="6"/>
  <c r="H123" i="6"/>
  <c r="I123" i="6"/>
  <c r="J123" i="6"/>
  <c r="K123" i="6"/>
  <c r="E124" i="6"/>
  <c r="F124" i="6"/>
  <c r="G124" i="6"/>
  <c r="H124" i="6"/>
  <c r="I124" i="6"/>
  <c r="J124" i="6"/>
  <c r="K124" i="6"/>
  <c r="E125" i="6"/>
  <c r="F125" i="6"/>
  <c r="G125" i="6"/>
  <c r="H125" i="6"/>
  <c r="I125" i="6"/>
  <c r="J125" i="6"/>
  <c r="K125" i="6"/>
  <c r="E126" i="6"/>
  <c r="F126" i="6"/>
  <c r="G126" i="6"/>
  <c r="H126" i="6"/>
  <c r="I126" i="6"/>
  <c r="J126" i="6"/>
  <c r="K126" i="6"/>
  <c r="E127" i="6"/>
  <c r="F127" i="6"/>
  <c r="G127" i="6"/>
  <c r="H127" i="6"/>
  <c r="I127" i="6"/>
  <c r="J127" i="6"/>
  <c r="K127" i="6"/>
  <c r="E128" i="6"/>
  <c r="F128" i="6"/>
  <c r="G128" i="6"/>
  <c r="H128" i="6"/>
  <c r="I128" i="6"/>
  <c r="J128" i="6"/>
  <c r="K128" i="6"/>
  <c r="E129" i="6"/>
  <c r="F129" i="6"/>
  <c r="G129" i="6"/>
  <c r="H129" i="6"/>
  <c r="I129" i="6"/>
  <c r="J129" i="6"/>
  <c r="K129" i="6"/>
  <c r="E130" i="6"/>
  <c r="F130" i="6"/>
  <c r="G130" i="6"/>
  <c r="H130" i="6"/>
  <c r="I130" i="6"/>
  <c r="J130" i="6"/>
  <c r="K130" i="6"/>
  <c r="E131" i="6"/>
  <c r="F131" i="6"/>
  <c r="G131" i="6"/>
  <c r="H131" i="6"/>
  <c r="I131" i="6"/>
  <c r="J131" i="6"/>
  <c r="K131" i="6"/>
  <c r="E132" i="6"/>
  <c r="F132" i="6"/>
  <c r="G132" i="6"/>
  <c r="H132" i="6"/>
  <c r="I132" i="6"/>
  <c r="J132" i="6"/>
  <c r="K132" i="6"/>
  <c r="E133" i="6"/>
  <c r="F133" i="6"/>
  <c r="G133" i="6"/>
  <c r="H133" i="6"/>
  <c r="I133" i="6"/>
  <c r="J133" i="6"/>
  <c r="K133" i="6"/>
  <c r="E134" i="6"/>
  <c r="F134" i="6"/>
  <c r="G134" i="6"/>
  <c r="H134" i="6"/>
  <c r="I134" i="6"/>
  <c r="J134" i="6"/>
  <c r="K134" i="6"/>
  <c r="E135" i="6"/>
  <c r="F135" i="6"/>
  <c r="G135" i="6"/>
  <c r="H135" i="6"/>
  <c r="I135" i="6"/>
  <c r="J135" i="6"/>
  <c r="K135" i="6"/>
  <c r="E136" i="6"/>
  <c r="F136" i="6"/>
  <c r="G136" i="6"/>
  <c r="H136" i="6"/>
  <c r="I136" i="6"/>
  <c r="J136" i="6"/>
  <c r="K136" i="6"/>
  <c r="E137" i="6"/>
  <c r="F137" i="6"/>
  <c r="G137" i="6"/>
  <c r="H137" i="6"/>
  <c r="I137" i="6"/>
  <c r="J137" i="6"/>
  <c r="K137" i="6"/>
  <c r="E138" i="6"/>
  <c r="F138" i="6"/>
  <c r="G138" i="6"/>
  <c r="H138" i="6"/>
  <c r="I138" i="6"/>
  <c r="J138" i="6"/>
  <c r="K138" i="6"/>
  <c r="E139" i="6"/>
  <c r="F139" i="6"/>
  <c r="G139" i="6"/>
  <c r="H139" i="6"/>
  <c r="I139" i="6"/>
  <c r="J139" i="6"/>
  <c r="K139" i="6"/>
  <c r="E140" i="6"/>
  <c r="F140" i="6"/>
  <c r="G140" i="6"/>
  <c r="H140" i="6"/>
  <c r="I140" i="6"/>
  <c r="J140" i="6"/>
  <c r="K140" i="6"/>
  <c r="E141" i="6"/>
  <c r="F141" i="6"/>
  <c r="G141" i="6"/>
  <c r="H141" i="6"/>
  <c r="I141" i="6"/>
  <c r="J141" i="6"/>
  <c r="K141" i="6"/>
  <c r="E142" i="6"/>
  <c r="F142" i="6"/>
  <c r="G142" i="6"/>
  <c r="H142" i="6"/>
  <c r="I142" i="6"/>
  <c r="J142" i="6"/>
  <c r="K142" i="6"/>
  <c r="E143" i="6"/>
  <c r="F143" i="6"/>
  <c r="G143" i="6"/>
  <c r="H143" i="6"/>
  <c r="I143" i="6"/>
  <c r="J143" i="6"/>
  <c r="K143" i="6"/>
  <c r="E144" i="6"/>
  <c r="F144" i="6"/>
  <c r="G144" i="6"/>
  <c r="H144" i="6"/>
  <c r="I144" i="6"/>
  <c r="J144" i="6"/>
  <c r="K144" i="6"/>
  <c r="E145" i="6"/>
  <c r="F145" i="6"/>
  <c r="G145" i="6"/>
  <c r="H145" i="6"/>
  <c r="I145" i="6"/>
  <c r="J145" i="6"/>
  <c r="K145" i="6"/>
  <c r="E146" i="6"/>
  <c r="F146" i="6"/>
  <c r="G146" i="6"/>
  <c r="H146" i="6"/>
  <c r="I146" i="6"/>
  <c r="J146" i="6"/>
  <c r="K146" i="6"/>
  <c r="E147" i="6"/>
  <c r="F147" i="6"/>
  <c r="G147" i="6"/>
  <c r="H147" i="6"/>
  <c r="I147" i="6"/>
  <c r="J147" i="6"/>
  <c r="K147" i="6"/>
  <c r="E148" i="6"/>
  <c r="F148" i="6"/>
  <c r="G148" i="6"/>
  <c r="H148" i="6"/>
  <c r="I148" i="6"/>
  <c r="J148" i="6"/>
  <c r="K148" i="6"/>
  <c r="E149" i="6"/>
  <c r="F149" i="6"/>
  <c r="G149" i="6"/>
  <c r="H149" i="6"/>
  <c r="I149" i="6"/>
  <c r="J149" i="6"/>
  <c r="K149" i="6"/>
  <c r="E150" i="6"/>
  <c r="F150" i="6"/>
  <c r="G150" i="6"/>
  <c r="H150" i="6"/>
  <c r="I150" i="6"/>
  <c r="J150" i="6"/>
  <c r="K150" i="6"/>
  <c r="E151" i="6"/>
  <c r="F151" i="6"/>
  <c r="G151" i="6"/>
  <c r="H151" i="6"/>
  <c r="I151" i="6"/>
  <c r="J151" i="6"/>
  <c r="K151" i="6"/>
  <c r="E152" i="6"/>
  <c r="F152" i="6"/>
  <c r="G152" i="6"/>
  <c r="H152" i="6"/>
  <c r="I152" i="6"/>
  <c r="J152" i="6"/>
  <c r="K152" i="6"/>
  <c r="E153" i="6"/>
  <c r="F153" i="6"/>
  <c r="G153" i="6"/>
  <c r="H153" i="6"/>
  <c r="I153" i="6"/>
  <c r="J153" i="6"/>
  <c r="K153" i="6"/>
  <c r="E154" i="6"/>
  <c r="F154" i="6"/>
  <c r="G154" i="6"/>
  <c r="H154" i="6"/>
  <c r="I154" i="6"/>
  <c r="J154" i="6"/>
  <c r="K154" i="6"/>
  <c r="E155" i="6"/>
  <c r="F155" i="6"/>
  <c r="G155" i="6"/>
  <c r="H155" i="6"/>
  <c r="I155" i="6"/>
  <c r="J155" i="6"/>
  <c r="K155" i="6"/>
  <c r="E156" i="6"/>
  <c r="F156" i="6"/>
  <c r="G156" i="6"/>
  <c r="H156" i="6"/>
  <c r="I156" i="6"/>
  <c r="J156" i="6"/>
  <c r="K156" i="6"/>
  <c r="E157" i="6"/>
  <c r="F157" i="6"/>
  <c r="G157" i="6"/>
  <c r="H157" i="6"/>
  <c r="I157" i="6"/>
  <c r="J157" i="6"/>
  <c r="K157" i="6"/>
  <c r="E158" i="6"/>
  <c r="F158" i="6"/>
  <c r="G158" i="6"/>
  <c r="H158" i="6"/>
  <c r="I158" i="6"/>
  <c r="J158" i="6"/>
  <c r="K158" i="6"/>
  <c r="E159" i="6"/>
  <c r="F159" i="6"/>
  <c r="G159" i="6"/>
  <c r="H159" i="6"/>
  <c r="I159" i="6"/>
  <c r="J159" i="6"/>
  <c r="K159" i="6"/>
  <c r="E160" i="6"/>
  <c r="F160" i="6"/>
  <c r="G160" i="6"/>
  <c r="H160" i="6"/>
  <c r="I160" i="6"/>
  <c r="J160" i="6"/>
  <c r="K160" i="6"/>
  <c r="E161" i="6"/>
  <c r="F161" i="6"/>
  <c r="G161" i="6"/>
  <c r="H161" i="6"/>
  <c r="I161" i="6"/>
  <c r="J161" i="6"/>
  <c r="K161" i="6"/>
  <c r="E162" i="6"/>
  <c r="F162" i="6"/>
  <c r="G162" i="6"/>
  <c r="H162" i="6"/>
  <c r="I162" i="6"/>
  <c r="J162" i="6"/>
  <c r="K162" i="6"/>
  <c r="E163" i="6"/>
  <c r="F163" i="6"/>
  <c r="G163" i="6"/>
  <c r="H163" i="6"/>
  <c r="I163" i="6"/>
  <c r="J163" i="6"/>
  <c r="K163" i="6"/>
  <c r="E164" i="6"/>
  <c r="F164" i="6"/>
  <c r="G164" i="6"/>
  <c r="H164" i="6"/>
  <c r="I164" i="6"/>
  <c r="J164" i="6"/>
  <c r="K164" i="6"/>
  <c r="E165" i="6"/>
  <c r="F165" i="6"/>
  <c r="G165" i="6"/>
  <c r="H165" i="6"/>
  <c r="I165" i="6"/>
  <c r="J165" i="6"/>
  <c r="K165" i="6"/>
  <c r="E166" i="6"/>
  <c r="F166" i="6"/>
  <c r="G166" i="6"/>
  <c r="H166" i="6"/>
  <c r="I166" i="6"/>
  <c r="J166" i="6"/>
  <c r="K166" i="6"/>
  <c r="E167" i="6"/>
  <c r="F167" i="6"/>
  <c r="G167" i="6"/>
  <c r="H167" i="6"/>
  <c r="I167" i="6"/>
  <c r="J167" i="6"/>
  <c r="K167" i="6"/>
  <c r="E168" i="6"/>
  <c r="F168" i="6"/>
  <c r="G168" i="6"/>
  <c r="H168" i="6"/>
  <c r="I168" i="6"/>
  <c r="J168" i="6"/>
  <c r="K168" i="6"/>
  <c r="E169" i="6"/>
  <c r="F169" i="6"/>
  <c r="G169" i="6"/>
  <c r="H169" i="6"/>
  <c r="I169" i="6"/>
  <c r="J169" i="6"/>
  <c r="K169" i="6"/>
  <c r="E170" i="6"/>
  <c r="F170" i="6"/>
  <c r="G170" i="6"/>
  <c r="H170" i="6"/>
  <c r="I170" i="6"/>
  <c r="J170" i="6"/>
  <c r="K170" i="6"/>
  <c r="E171" i="6"/>
  <c r="F171" i="6"/>
  <c r="G171" i="6"/>
  <c r="H171" i="6"/>
  <c r="I171" i="6"/>
  <c r="J171" i="6"/>
  <c r="K171" i="6"/>
  <c r="E172" i="6"/>
  <c r="F172" i="6"/>
  <c r="G172" i="6"/>
  <c r="H172" i="6"/>
  <c r="I172" i="6"/>
  <c r="J172" i="6"/>
  <c r="K172" i="6"/>
  <c r="E173" i="6"/>
  <c r="F173" i="6"/>
  <c r="G173" i="6"/>
  <c r="H173" i="6"/>
  <c r="I173" i="6"/>
  <c r="J173" i="6"/>
  <c r="K173" i="6"/>
  <c r="E174" i="6"/>
  <c r="F174" i="6"/>
  <c r="G174" i="6"/>
  <c r="H174" i="6"/>
  <c r="I174" i="6"/>
  <c r="J174" i="6"/>
  <c r="K174" i="6"/>
  <c r="E175" i="6"/>
  <c r="F175" i="6"/>
  <c r="G175" i="6"/>
  <c r="H175" i="6"/>
  <c r="I175" i="6"/>
  <c r="J175" i="6"/>
  <c r="K175" i="6"/>
  <c r="E176" i="6"/>
  <c r="F176" i="6"/>
  <c r="G176" i="6"/>
  <c r="H176" i="6"/>
  <c r="I176" i="6"/>
  <c r="J176" i="6"/>
  <c r="K176" i="6"/>
  <c r="E177" i="6"/>
  <c r="F177" i="6"/>
  <c r="G177" i="6"/>
  <c r="H177" i="6"/>
  <c r="I177" i="6"/>
  <c r="J177" i="6"/>
  <c r="K177" i="6"/>
  <c r="E178" i="6"/>
  <c r="F178" i="6"/>
  <c r="G178" i="6"/>
  <c r="H178" i="6"/>
  <c r="I178" i="6"/>
  <c r="J178" i="6"/>
  <c r="K178" i="6"/>
  <c r="E179" i="6"/>
  <c r="F179" i="6"/>
  <c r="G179" i="6"/>
  <c r="H179" i="6"/>
  <c r="I179" i="6"/>
  <c r="J179" i="6"/>
  <c r="K179" i="6"/>
  <c r="E180" i="6"/>
  <c r="F180" i="6"/>
  <c r="G180" i="6"/>
  <c r="H180" i="6"/>
  <c r="I180" i="6"/>
  <c r="J180" i="6"/>
  <c r="K180" i="6"/>
  <c r="E181" i="6"/>
  <c r="F181" i="6"/>
  <c r="G181" i="6"/>
  <c r="H181" i="6"/>
  <c r="I181" i="6"/>
  <c r="J181" i="6"/>
  <c r="K181" i="6"/>
  <c r="E182" i="6"/>
  <c r="F182" i="6"/>
  <c r="G182" i="6"/>
  <c r="H182" i="6"/>
  <c r="I182" i="6"/>
  <c r="J182" i="6"/>
  <c r="K182" i="6"/>
  <c r="E183" i="6"/>
  <c r="F183" i="6"/>
  <c r="G183" i="6"/>
  <c r="H183" i="6"/>
  <c r="I183" i="6"/>
  <c r="J183" i="6"/>
  <c r="K183" i="6"/>
  <c r="E184" i="6"/>
  <c r="F184" i="6"/>
  <c r="G184" i="6"/>
  <c r="H184" i="6"/>
  <c r="I184" i="6"/>
  <c r="J184" i="6"/>
  <c r="K184" i="6"/>
  <c r="E185" i="6"/>
  <c r="F185" i="6"/>
  <c r="G185" i="6"/>
  <c r="H185" i="6"/>
  <c r="I185" i="6"/>
  <c r="J185" i="6"/>
  <c r="K185" i="6"/>
  <c r="E186" i="6"/>
  <c r="F186" i="6"/>
  <c r="G186" i="6"/>
  <c r="H186" i="6"/>
  <c r="I186" i="6"/>
  <c r="J186" i="6"/>
  <c r="K186" i="6"/>
  <c r="E187" i="6"/>
  <c r="F187" i="6"/>
  <c r="G187" i="6"/>
  <c r="H187" i="6"/>
  <c r="I187" i="6"/>
  <c r="J187" i="6"/>
  <c r="K187" i="6"/>
  <c r="E188" i="6"/>
  <c r="F188" i="6"/>
  <c r="G188" i="6"/>
  <c r="H188" i="6"/>
  <c r="I188" i="6"/>
  <c r="J188" i="6"/>
  <c r="K188" i="6"/>
  <c r="E189" i="6"/>
  <c r="F189" i="6"/>
  <c r="G189" i="6"/>
  <c r="H189" i="6"/>
  <c r="I189" i="6"/>
  <c r="J189" i="6"/>
  <c r="K189" i="6"/>
  <c r="E190" i="6"/>
  <c r="F190" i="6"/>
  <c r="G190" i="6"/>
  <c r="H190" i="6"/>
  <c r="I190" i="6"/>
  <c r="J190" i="6"/>
  <c r="K190" i="6"/>
  <c r="E191" i="6"/>
  <c r="F191" i="6"/>
  <c r="G191" i="6"/>
  <c r="H191" i="6"/>
  <c r="I191" i="6"/>
  <c r="J191" i="6"/>
  <c r="K191" i="6"/>
  <c r="E192" i="6"/>
  <c r="F192" i="6"/>
  <c r="G192" i="6"/>
  <c r="H192" i="6"/>
  <c r="I192" i="6"/>
  <c r="J192" i="6"/>
  <c r="K192" i="6"/>
  <c r="E193" i="6"/>
  <c r="F193" i="6"/>
  <c r="G193" i="6"/>
  <c r="H193" i="6"/>
  <c r="I193" i="6"/>
  <c r="J193" i="6"/>
  <c r="K193" i="6"/>
  <c r="E194" i="6"/>
  <c r="F194" i="6"/>
  <c r="G194" i="6"/>
  <c r="H194" i="6"/>
  <c r="I194" i="6"/>
  <c r="J194" i="6"/>
  <c r="K194" i="6"/>
  <c r="E195" i="6"/>
  <c r="F195" i="6"/>
  <c r="G195" i="6"/>
  <c r="H195" i="6"/>
  <c r="I195" i="6"/>
  <c r="J195" i="6"/>
  <c r="K195" i="6"/>
  <c r="E196" i="6"/>
  <c r="F196" i="6"/>
  <c r="G196" i="6"/>
  <c r="H196" i="6"/>
  <c r="I196" i="6"/>
  <c r="J196" i="6"/>
  <c r="K196" i="6"/>
  <c r="E197" i="6"/>
  <c r="F197" i="6"/>
  <c r="G197" i="6"/>
  <c r="H197" i="6"/>
  <c r="I197" i="6"/>
  <c r="J197" i="6"/>
  <c r="K197" i="6"/>
  <c r="E198" i="6"/>
  <c r="F198" i="6"/>
  <c r="G198" i="6"/>
  <c r="H198" i="6"/>
  <c r="I198" i="6"/>
  <c r="J198" i="6"/>
  <c r="K198" i="6"/>
  <c r="E199" i="6"/>
  <c r="F199" i="6"/>
  <c r="G199" i="6"/>
  <c r="H199" i="6"/>
  <c r="I199" i="6"/>
  <c r="J199" i="6"/>
  <c r="K199" i="6"/>
  <c r="E200" i="6"/>
  <c r="F200" i="6"/>
  <c r="G200" i="6"/>
  <c r="H200" i="6"/>
  <c r="I200" i="6"/>
  <c r="J200" i="6"/>
  <c r="K200" i="6"/>
  <c r="F6" i="6"/>
  <c r="G6" i="6"/>
  <c r="H6" i="6"/>
  <c r="I6" i="6"/>
  <c r="J6" i="6"/>
  <c r="K6" i="6"/>
  <c r="E6" i="6"/>
  <c r="O5" i="7" l="1" a="1"/>
  <c r="E7" i="4"/>
  <c r="N7" i="4" s="1"/>
  <c r="F7" i="4"/>
  <c r="O7" i="4" s="1"/>
  <c r="G7" i="4"/>
  <c r="P7" i="4" s="1"/>
  <c r="H7" i="4"/>
  <c r="Q7" i="4" s="1"/>
  <c r="I7" i="4"/>
  <c r="R7" i="4" s="1"/>
  <c r="J7" i="4"/>
  <c r="S7" i="4" s="1"/>
  <c r="K7" i="4"/>
  <c r="T7" i="4" s="1"/>
  <c r="E8" i="4"/>
  <c r="N8" i="4" s="1"/>
  <c r="F8" i="4"/>
  <c r="O8" i="4" s="1"/>
  <c r="G8" i="4"/>
  <c r="P8" i="4" s="1"/>
  <c r="H8" i="4"/>
  <c r="Q8" i="4" s="1"/>
  <c r="I8" i="4"/>
  <c r="R8" i="4" s="1"/>
  <c r="J8" i="4"/>
  <c r="S8" i="4" s="1"/>
  <c r="K8" i="4"/>
  <c r="T8" i="4" s="1"/>
  <c r="E9" i="4"/>
  <c r="N9" i="4" s="1"/>
  <c r="F9" i="4"/>
  <c r="O9" i="4" s="1"/>
  <c r="G9" i="4"/>
  <c r="P9" i="4" s="1"/>
  <c r="H9" i="4"/>
  <c r="Q9" i="4" s="1"/>
  <c r="I9" i="4"/>
  <c r="R9" i="4" s="1"/>
  <c r="J9" i="4"/>
  <c r="S9" i="4" s="1"/>
  <c r="K9" i="4"/>
  <c r="T9" i="4" s="1"/>
  <c r="E10" i="4"/>
  <c r="N10" i="4" s="1"/>
  <c r="F10" i="4"/>
  <c r="O10" i="4" s="1"/>
  <c r="G10" i="4"/>
  <c r="P10" i="4" s="1"/>
  <c r="H10" i="4"/>
  <c r="Q10" i="4" s="1"/>
  <c r="I10" i="4"/>
  <c r="R10" i="4" s="1"/>
  <c r="J10" i="4"/>
  <c r="S10" i="4" s="1"/>
  <c r="K10" i="4"/>
  <c r="T10" i="4" s="1"/>
  <c r="E11" i="4"/>
  <c r="N11" i="4" s="1"/>
  <c r="F11" i="4"/>
  <c r="O11" i="4" s="1"/>
  <c r="G11" i="4"/>
  <c r="P11" i="4" s="1"/>
  <c r="H11" i="4"/>
  <c r="Q11" i="4" s="1"/>
  <c r="I11" i="4"/>
  <c r="R11" i="4" s="1"/>
  <c r="J11" i="4"/>
  <c r="S11" i="4" s="1"/>
  <c r="K11" i="4"/>
  <c r="T11" i="4" s="1"/>
  <c r="E12" i="4"/>
  <c r="N12" i="4" s="1"/>
  <c r="F12" i="4"/>
  <c r="O12" i="4" s="1"/>
  <c r="G12" i="4"/>
  <c r="P12" i="4" s="1"/>
  <c r="H12" i="4"/>
  <c r="Q12" i="4" s="1"/>
  <c r="I12" i="4"/>
  <c r="R12" i="4" s="1"/>
  <c r="J12" i="4"/>
  <c r="S12" i="4" s="1"/>
  <c r="K12" i="4"/>
  <c r="T12" i="4" s="1"/>
  <c r="E13" i="4"/>
  <c r="N13" i="4" s="1"/>
  <c r="F13" i="4"/>
  <c r="O13" i="4" s="1"/>
  <c r="G13" i="4"/>
  <c r="P13" i="4" s="1"/>
  <c r="H13" i="4"/>
  <c r="Q13" i="4" s="1"/>
  <c r="I13" i="4"/>
  <c r="R13" i="4" s="1"/>
  <c r="J13" i="4"/>
  <c r="S13" i="4" s="1"/>
  <c r="K13" i="4"/>
  <c r="T13" i="4" s="1"/>
  <c r="E14" i="4"/>
  <c r="N14" i="4" s="1"/>
  <c r="F14" i="4"/>
  <c r="O14" i="4" s="1"/>
  <c r="G14" i="4"/>
  <c r="P14" i="4" s="1"/>
  <c r="H14" i="4"/>
  <c r="Q14" i="4" s="1"/>
  <c r="I14" i="4"/>
  <c r="R14" i="4" s="1"/>
  <c r="J14" i="4"/>
  <c r="S14" i="4" s="1"/>
  <c r="K14" i="4"/>
  <c r="T14" i="4" s="1"/>
  <c r="E15" i="4"/>
  <c r="N15" i="4" s="1"/>
  <c r="F15" i="4"/>
  <c r="O15" i="4" s="1"/>
  <c r="G15" i="4"/>
  <c r="P15" i="4" s="1"/>
  <c r="H15" i="4"/>
  <c r="Q15" i="4" s="1"/>
  <c r="I15" i="4"/>
  <c r="R15" i="4" s="1"/>
  <c r="J15" i="4"/>
  <c r="S15" i="4" s="1"/>
  <c r="K15" i="4"/>
  <c r="T15" i="4" s="1"/>
  <c r="E16" i="4"/>
  <c r="N16" i="4" s="1"/>
  <c r="F16" i="4"/>
  <c r="O16" i="4" s="1"/>
  <c r="G16" i="4"/>
  <c r="P16" i="4" s="1"/>
  <c r="H16" i="4"/>
  <c r="Q16" i="4" s="1"/>
  <c r="I16" i="4"/>
  <c r="R16" i="4" s="1"/>
  <c r="J16" i="4"/>
  <c r="S16" i="4" s="1"/>
  <c r="K16" i="4"/>
  <c r="T16" i="4" s="1"/>
  <c r="E17" i="4"/>
  <c r="N17" i="4" s="1"/>
  <c r="F17" i="4"/>
  <c r="O17" i="4" s="1"/>
  <c r="G17" i="4"/>
  <c r="P17" i="4" s="1"/>
  <c r="H17" i="4"/>
  <c r="Q17" i="4" s="1"/>
  <c r="I17" i="4"/>
  <c r="R17" i="4" s="1"/>
  <c r="J17" i="4"/>
  <c r="S17" i="4" s="1"/>
  <c r="K17" i="4"/>
  <c r="T17" i="4" s="1"/>
  <c r="E18" i="4"/>
  <c r="N18" i="4" s="1"/>
  <c r="F18" i="4"/>
  <c r="O18" i="4" s="1"/>
  <c r="G18" i="4"/>
  <c r="P18" i="4" s="1"/>
  <c r="H18" i="4"/>
  <c r="Q18" i="4" s="1"/>
  <c r="I18" i="4"/>
  <c r="R18" i="4" s="1"/>
  <c r="J18" i="4"/>
  <c r="S18" i="4" s="1"/>
  <c r="K18" i="4"/>
  <c r="T18" i="4" s="1"/>
  <c r="E19" i="4"/>
  <c r="N19" i="4" s="1"/>
  <c r="F19" i="4"/>
  <c r="O19" i="4" s="1"/>
  <c r="G19" i="4"/>
  <c r="P19" i="4" s="1"/>
  <c r="H19" i="4"/>
  <c r="Q19" i="4" s="1"/>
  <c r="I19" i="4"/>
  <c r="R19" i="4" s="1"/>
  <c r="J19" i="4"/>
  <c r="S19" i="4" s="1"/>
  <c r="K19" i="4"/>
  <c r="T19" i="4" s="1"/>
  <c r="E20" i="4"/>
  <c r="N20" i="4" s="1"/>
  <c r="F20" i="4"/>
  <c r="O20" i="4" s="1"/>
  <c r="G20" i="4"/>
  <c r="P20" i="4" s="1"/>
  <c r="H20" i="4"/>
  <c r="Q20" i="4" s="1"/>
  <c r="I20" i="4"/>
  <c r="R20" i="4" s="1"/>
  <c r="J20" i="4"/>
  <c r="S20" i="4" s="1"/>
  <c r="K20" i="4"/>
  <c r="T20" i="4" s="1"/>
  <c r="E21" i="4"/>
  <c r="N21" i="4" s="1"/>
  <c r="F21" i="4"/>
  <c r="O21" i="4" s="1"/>
  <c r="G21" i="4"/>
  <c r="P21" i="4" s="1"/>
  <c r="H21" i="4"/>
  <c r="Q21" i="4" s="1"/>
  <c r="I21" i="4"/>
  <c r="R21" i="4" s="1"/>
  <c r="J21" i="4"/>
  <c r="S21" i="4" s="1"/>
  <c r="K21" i="4"/>
  <c r="T21" i="4" s="1"/>
  <c r="E22" i="4"/>
  <c r="N22" i="4" s="1"/>
  <c r="F22" i="4"/>
  <c r="O22" i="4" s="1"/>
  <c r="G22" i="4"/>
  <c r="P22" i="4" s="1"/>
  <c r="H22" i="4"/>
  <c r="Q22" i="4" s="1"/>
  <c r="I22" i="4"/>
  <c r="R22" i="4" s="1"/>
  <c r="J22" i="4"/>
  <c r="S22" i="4" s="1"/>
  <c r="K22" i="4"/>
  <c r="T22" i="4" s="1"/>
  <c r="E23" i="4"/>
  <c r="N23" i="4" s="1"/>
  <c r="F23" i="4"/>
  <c r="O23" i="4" s="1"/>
  <c r="G23" i="4"/>
  <c r="P23" i="4" s="1"/>
  <c r="H23" i="4"/>
  <c r="Q23" i="4" s="1"/>
  <c r="I23" i="4"/>
  <c r="R23" i="4" s="1"/>
  <c r="J23" i="4"/>
  <c r="S23" i="4" s="1"/>
  <c r="K23" i="4"/>
  <c r="T23" i="4" s="1"/>
  <c r="E24" i="4"/>
  <c r="N24" i="4" s="1"/>
  <c r="F24" i="4"/>
  <c r="O24" i="4" s="1"/>
  <c r="G24" i="4"/>
  <c r="P24" i="4" s="1"/>
  <c r="H24" i="4"/>
  <c r="Q24" i="4" s="1"/>
  <c r="I24" i="4"/>
  <c r="R24" i="4" s="1"/>
  <c r="J24" i="4"/>
  <c r="S24" i="4" s="1"/>
  <c r="K24" i="4"/>
  <c r="T24" i="4" s="1"/>
  <c r="E25" i="4"/>
  <c r="N25" i="4" s="1"/>
  <c r="F25" i="4"/>
  <c r="O25" i="4" s="1"/>
  <c r="G25" i="4"/>
  <c r="P25" i="4" s="1"/>
  <c r="H25" i="4"/>
  <c r="Q25" i="4" s="1"/>
  <c r="I25" i="4"/>
  <c r="R25" i="4" s="1"/>
  <c r="J25" i="4"/>
  <c r="S25" i="4" s="1"/>
  <c r="K25" i="4"/>
  <c r="T25" i="4" s="1"/>
  <c r="E26" i="4"/>
  <c r="N26" i="4" s="1"/>
  <c r="F26" i="4"/>
  <c r="O26" i="4" s="1"/>
  <c r="G26" i="4"/>
  <c r="P26" i="4" s="1"/>
  <c r="H26" i="4"/>
  <c r="Q26" i="4" s="1"/>
  <c r="I26" i="4"/>
  <c r="R26" i="4" s="1"/>
  <c r="J26" i="4"/>
  <c r="S26" i="4" s="1"/>
  <c r="K26" i="4"/>
  <c r="T26" i="4" s="1"/>
  <c r="E27" i="4"/>
  <c r="N27" i="4" s="1"/>
  <c r="F27" i="4"/>
  <c r="O27" i="4" s="1"/>
  <c r="G27" i="4"/>
  <c r="P27" i="4" s="1"/>
  <c r="H27" i="4"/>
  <c r="Q27" i="4" s="1"/>
  <c r="I27" i="4"/>
  <c r="R27" i="4" s="1"/>
  <c r="J27" i="4"/>
  <c r="S27" i="4" s="1"/>
  <c r="K27" i="4"/>
  <c r="T27" i="4" s="1"/>
  <c r="E28" i="4"/>
  <c r="N28" i="4" s="1"/>
  <c r="F28" i="4"/>
  <c r="O28" i="4" s="1"/>
  <c r="G28" i="4"/>
  <c r="P28" i="4" s="1"/>
  <c r="H28" i="4"/>
  <c r="Q28" i="4" s="1"/>
  <c r="I28" i="4"/>
  <c r="R28" i="4" s="1"/>
  <c r="J28" i="4"/>
  <c r="S28" i="4" s="1"/>
  <c r="K28" i="4"/>
  <c r="T28" i="4" s="1"/>
  <c r="E29" i="4"/>
  <c r="N29" i="4" s="1"/>
  <c r="F29" i="4"/>
  <c r="O29" i="4" s="1"/>
  <c r="G29" i="4"/>
  <c r="P29" i="4" s="1"/>
  <c r="H29" i="4"/>
  <c r="Q29" i="4" s="1"/>
  <c r="I29" i="4"/>
  <c r="R29" i="4" s="1"/>
  <c r="J29" i="4"/>
  <c r="S29" i="4" s="1"/>
  <c r="K29" i="4"/>
  <c r="T29" i="4" s="1"/>
  <c r="E30" i="4"/>
  <c r="N30" i="4" s="1"/>
  <c r="F30" i="4"/>
  <c r="O30" i="4" s="1"/>
  <c r="G30" i="4"/>
  <c r="P30" i="4" s="1"/>
  <c r="H30" i="4"/>
  <c r="Q30" i="4" s="1"/>
  <c r="I30" i="4"/>
  <c r="R30" i="4" s="1"/>
  <c r="J30" i="4"/>
  <c r="S30" i="4" s="1"/>
  <c r="K30" i="4"/>
  <c r="T30" i="4" s="1"/>
  <c r="E31" i="4"/>
  <c r="N31" i="4" s="1"/>
  <c r="F31" i="4"/>
  <c r="O31" i="4" s="1"/>
  <c r="G31" i="4"/>
  <c r="P31" i="4" s="1"/>
  <c r="H31" i="4"/>
  <c r="Q31" i="4" s="1"/>
  <c r="I31" i="4"/>
  <c r="R31" i="4" s="1"/>
  <c r="J31" i="4"/>
  <c r="S31" i="4" s="1"/>
  <c r="K31" i="4"/>
  <c r="T31" i="4" s="1"/>
  <c r="E32" i="4"/>
  <c r="N32" i="4" s="1"/>
  <c r="F32" i="4"/>
  <c r="O32" i="4" s="1"/>
  <c r="G32" i="4"/>
  <c r="P32" i="4" s="1"/>
  <c r="H32" i="4"/>
  <c r="Q32" i="4" s="1"/>
  <c r="I32" i="4"/>
  <c r="R32" i="4" s="1"/>
  <c r="J32" i="4"/>
  <c r="S32" i="4" s="1"/>
  <c r="K32" i="4"/>
  <c r="T32" i="4" s="1"/>
  <c r="E33" i="4"/>
  <c r="N33" i="4" s="1"/>
  <c r="F33" i="4"/>
  <c r="O33" i="4" s="1"/>
  <c r="G33" i="4"/>
  <c r="P33" i="4" s="1"/>
  <c r="H33" i="4"/>
  <c r="Q33" i="4" s="1"/>
  <c r="I33" i="4"/>
  <c r="R33" i="4" s="1"/>
  <c r="J33" i="4"/>
  <c r="S33" i="4" s="1"/>
  <c r="K33" i="4"/>
  <c r="T33" i="4" s="1"/>
  <c r="E34" i="4"/>
  <c r="N34" i="4" s="1"/>
  <c r="F34" i="4"/>
  <c r="O34" i="4" s="1"/>
  <c r="G34" i="4"/>
  <c r="P34" i="4" s="1"/>
  <c r="H34" i="4"/>
  <c r="Q34" i="4" s="1"/>
  <c r="I34" i="4"/>
  <c r="R34" i="4" s="1"/>
  <c r="J34" i="4"/>
  <c r="S34" i="4" s="1"/>
  <c r="K34" i="4"/>
  <c r="T34" i="4" s="1"/>
  <c r="E35" i="4"/>
  <c r="N35" i="4" s="1"/>
  <c r="F35" i="4"/>
  <c r="O35" i="4" s="1"/>
  <c r="G35" i="4"/>
  <c r="P35" i="4" s="1"/>
  <c r="H35" i="4"/>
  <c r="Q35" i="4" s="1"/>
  <c r="I35" i="4"/>
  <c r="R35" i="4" s="1"/>
  <c r="J35" i="4"/>
  <c r="S35" i="4" s="1"/>
  <c r="K35" i="4"/>
  <c r="T35" i="4" s="1"/>
  <c r="E36" i="4"/>
  <c r="N36" i="4" s="1"/>
  <c r="F36" i="4"/>
  <c r="O36" i="4" s="1"/>
  <c r="G36" i="4"/>
  <c r="P36" i="4" s="1"/>
  <c r="H36" i="4"/>
  <c r="Q36" i="4" s="1"/>
  <c r="I36" i="4"/>
  <c r="R36" i="4" s="1"/>
  <c r="J36" i="4"/>
  <c r="S36" i="4" s="1"/>
  <c r="K36" i="4"/>
  <c r="T36" i="4" s="1"/>
  <c r="E37" i="4"/>
  <c r="N37" i="4" s="1"/>
  <c r="F37" i="4"/>
  <c r="O37" i="4" s="1"/>
  <c r="G37" i="4"/>
  <c r="P37" i="4" s="1"/>
  <c r="H37" i="4"/>
  <c r="Q37" i="4" s="1"/>
  <c r="I37" i="4"/>
  <c r="R37" i="4" s="1"/>
  <c r="J37" i="4"/>
  <c r="S37" i="4" s="1"/>
  <c r="K37" i="4"/>
  <c r="T37" i="4" s="1"/>
  <c r="E38" i="4"/>
  <c r="N38" i="4" s="1"/>
  <c r="F38" i="4"/>
  <c r="O38" i="4" s="1"/>
  <c r="G38" i="4"/>
  <c r="P38" i="4" s="1"/>
  <c r="H38" i="4"/>
  <c r="Q38" i="4" s="1"/>
  <c r="I38" i="4"/>
  <c r="R38" i="4" s="1"/>
  <c r="J38" i="4"/>
  <c r="S38" i="4" s="1"/>
  <c r="K38" i="4"/>
  <c r="T38" i="4" s="1"/>
  <c r="E39" i="4"/>
  <c r="N39" i="4" s="1"/>
  <c r="F39" i="4"/>
  <c r="O39" i="4" s="1"/>
  <c r="G39" i="4"/>
  <c r="P39" i="4" s="1"/>
  <c r="H39" i="4"/>
  <c r="Q39" i="4" s="1"/>
  <c r="I39" i="4"/>
  <c r="R39" i="4" s="1"/>
  <c r="J39" i="4"/>
  <c r="S39" i="4" s="1"/>
  <c r="K39" i="4"/>
  <c r="T39" i="4" s="1"/>
  <c r="E40" i="4"/>
  <c r="N40" i="4" s="1"/>
  <c r="F40" i="4"/>
  <c r="O40" i="4" s="1"/>
  <c r="G40" i="4"/>
  <c r="P40" i="4" s="1"/>
  <c r="H40" i="4"/>
  <c r="Q40" i="4" s="1"/>
  <c r="I40" i="4"/>
  <c r="R40" i="4" s="1"/>
  <c r="J40" i="4"/>
  <c r="S40" i="4" s="1"/>
  <c r="K40" i="4"/>
  <c r="T40" i="4" s="1"/>
  <c r="E41" i="4"/>
  <c r="N41" i="4" s="1"/>
  <c r="F41" i="4"/>
  <c r="O41" i="4" s="1"/>
  <c r="G41" i="4"/>
  <c r="P41" i="4" s="1"/>
  <c r="H41" i="4"/>
  <c r="Q41" i="4" s="1"/>
  <c r="I41" i="4"/>
  <c r="R41" i="4" s="1"/>
  <c r="J41" i="4"/>
  <c r="S41" i="4" s="1"/>
  <c r="K41" i="4"/>
  <c r="T41" i="4" s="1"/>
  <c r="E42" i="4"/>
  <c r="N42" i="4" s="1"/>
  <c r="F42" i="4"/>
  <c r="O42" i="4" s="1"/>
  <c r="G42" i="4"/>
  <c r="P42" i="4" s="1"/>
  <c r="H42" i="4"/>
  <c r="Q42" i="4" s="1"/>
  <c r="I42" i="4"/>
  <c r="R42" i="4" s="1"/>
  <c r="J42" i="4"/>
  <c r="S42" i="4" s="1"/>
  <c r="K42" i="4"/>
  <c r="T42" i="4" s="1"/>
  <c r="E43" i="4"/>
  <c r="N43" i="4" s="1"/>
  <c r="F43" i="4"/>
  <c r="O43" i="4" s="1"/>
  <c r="G43" i="4"/>
  <c r="P43" i="4" s="1"/>
  <c r="H43" i="4"/>
  <c r="Q43" i="4" s="1"/>
  <c r="I43" i="4"/>
  <c r="R43" i="4" s="1"/>
  <c r="J43" i="4"/>
  <c r="S43" i="4" s="1"/>
  <c r="K43" i="4"/>
  <c r="T43" i="4" s="1"/>
  <c r="E44" i="4"/>
  <c r="N44" i="4" s="1"/>
  <c r="F44" i="4"/>
  <c r="O44" i="4" s="1"/>
  <c r="G44" i="4"/>
  <c r="P44" i="4" s="1"/>
  <c r="H44" i="4"/>
  <c r="Q44" i="4" s="1"/>
  <c r="I44" i="4"/>
  <c r="R44" i="4" s="1"/>
  <c r="J44" i="4"/>
  <c r="S44" i="4" s="1"/>
  <c r="K44" i="4"/>
  <c r="T44" i="4" s="1"/>
  <c r="E45" i="4"/>
  <c r="N45" i="4" s="1"/>
  <c r="F45" i="4"/>
  <c r="O45" i="4" s="1"/>
  <c r="G45" i="4"/>
  <c r="P45" i="4" s="1"/>
  <c r="H45" i="4"/>
  <c r="Q45" i="4" s="1"/>
  <c r="I45" i="4"/>
  <c r="R45" i="4" s="1"/>
  <c r="J45" i="4"/>
  <c r="S45" i="4" s="1"/>
  <c r="K45" i="4"/>
  <c r="T45" i="4" s="1"/>
  <c r="E46" i="4"/>
  <c r="N46" i="4" s="1"/>
  <c r="F46" i="4"/>
  <c r="O46" i="4" s="1"/>
  <c r="G46" i="4"/>
  <c r="P46" i="4" s="1"/>
  <c r="H46" i="4"/>
  <c r="Q46" i="4" s="1"/>
  <c r="I46" i="4"/>
  <c r="R46" i="4" s="1"/>
  <c r="J46" i="4"/>
  <c r="S46" i="4" s="1"/>
  <c r="K46" i="4"/>
  <c r="T46" i="4" s="1"/>
  <c r="E47" i="4"/>
  <c r="N47" i="4" s="1"/>
  <c r="F47" i="4"/>
  <c r="O47" i="4" s="1"/>
  <c r="G47" i="4"/>
  <c r="P47" i="4" s="1"/>
  <c r="H47" i="4"/>
  <c r="Q47" i="4" s="1"/>
  <c r="I47" i="4"/>
  <c r="R47" i="4" s="1"/>
  <c r="J47" i="4"/>
  <c r="S47" i="4" s="1"/>
  <c r="K47" i="4"/>
  <c r="T47" i="4" s="1"/>
  <c r="E48" i="4"/>
  <c r="N48" i="4" s="1"/>
  <c r="F48" i="4"/>
  <c r="O48" i="4" s="1"/>
  <c r="G48" i="4"/>
  <c r="P48" i="4" s="1"/>
  <c r="H48" i="4"/>
  <c r="Q48" i="4" s="1"/>
  <c r="I48" i="4"/>
  <c r="R48" i="4" s="1"/>
  <c r="J48" i="4"/>
  <c r="S48" i="4" s="1"/>
  <c r="K48" i="4"/>
  <c r="T48" i="4" s="1"/>
  <c r="E49" i="4"/>
  <c r="N49" i="4" s="1"/>
  <c r="F49" i="4"/>
  <c r="O49" i="4" s="1"/>
  <c r="G49" i="4"/>
  <c r="P49" i="4" s="1"/>
  <c r="H49" i="4"/>
  <c r="Q49" i="4" s="1"/>
  <c r="I49" i="4"/>
  <c r="R49" i="4" s="1"/>
  <c r="J49" i="4"/>
  <c r="S49" i="4" s="1"/>
  <c r="K49" i="4"/>
  <c r="T49" i="4" s="1"/>
  <c r="E50" i="4"/>
  <c r="N50" i="4" s="1"/>
  <c r="F50" i="4"/>
  <c r="O50" i="4" s="1"/>
  <c r="G50" i="4"/>
  <c r="P50" i="4" s="1"/>
  <c r="H50" i="4"/>
  <c r="Q50" i="4" s="1"/>
  <c r="I50" i="4"/>
  <c r="R50" i="4" s="1"/>
  <c r="J50" i="4"/>
  <c r="S50" i="4" s="1"/>
  <c r="K50" i="4"/>
  <c r="T50" i="4" s="1"/>
  <c r="E51" i="4"/>
  <c r="N51" i="4" s="1"/>
  <c r="F51" i="4"/>
  <c r="O51" i="4" s="1"/>
  <c r="G51" i="4"/>
  <c r="P51" i="4" s="1"/>
  <c r="H51" i="4"/>
  <c r="Q51" i="4" s="1"/>
  <c r="I51" i="4"/>
  <c r="R51" i="4" s="1"/>
  <c r="J51" i="4"/>
  <c r="S51" i="4" s="1"/>
  <c r="K51" i="4"/>
  <c r="T51" i="4" s="1"/>
  <c r="E52" i="4"/>
  <c r="N52" i="4" s="1"/>
  <c r="F52" i="4"/>
  <c r="O52" i="4" s="1"/>
  <c r="G52" i="4"/>
  <c r="P52" i="4" s="1"/>
  <c r="H52" i="4"/>
  <c r="Q52" i="4" s="1"/>
  <c r="I52" i="4"/>
  <c r="R52" i="4" s="1"/>
  <c r="J52" i="4"/>
  <c r="S52" i="4" s="1"/>
  <c r="K52" i="4"/>
  <c r="T52" i="4" s="1"/>
  <c r="E53" i="4"/>
  <c r="N53" i="4" s="1"/>
  <c r="F53" i="4"/>
  <c r="O53" i="4" s="1"/>
  <c r="G53" i="4"/>
  <c r="P53" i="4" s="1"/>
  <c r="H53" i="4"/>
  <c r="Q53" i="4" s="1"/>
  <c r="I53" i="4"/>
  <c r="R53" i="4" s="1"/>
  <c r="J53" i="4"/>
  <c r="S53" i="4" s="1"/>
  <c r="K53" i="4"/>
  <c r="T53" i="4" s="1"/>
  <c r="E54" i="4"/>
  <c r="N54" i="4" s="1"/>
  <c r="F54" i="4"/>
  <c r="O54" i="4" s="1"/>
  <c r="G54" i="4"/>
  <c r="P54" i="4" s="1"/>
  <c r="H54" i="4"/>
  <c r="Q54" i="4" s="1"/>
  <c r="I54" i="4"/>
  <c r="R54" i="4" s="1"/>
  <c r="J54" i="4"/>
  <c r="S54" i="4" s="1"/>
  <c r="K54" i="4"/>
  <c r="T54" i="4" s="1"/>
  <c r="E55" i="4"/>
  <c r="N55" i="4" s="1"/>
  <c r="F55" i="4"/>
  <c r="O55" i="4" s="1"/>
  <c r="G55" i="4"/>
  <c r="P55" i="4" s="1"/>
  <c r="H55" i="4"/>
  <c r="Q55" i="4" s="1"/>
  <c r="I55" i="4"/>
  <c r="R55" i="4" s="1"/>
  <c r="J55" i="4"/>
  <c r="S55" i="4" s="1"/>
  <c r="K55" i="4"/>
  <c r="T55" i="4" s="1"/>
  <c r="E56" i="4"/>
  <c r="N56" i="4" s="1"/>
  <c r="F56" i="4"/>
  <c r="O56" i="4" s="1"/>
  <c r="G56" i="4"/>
  <c r="P56" i="4" s="1"/>
  <c r="H56" i="4"/>
  <c r="Q56" i="4" s="1"/>
  <c r="I56" i="4"/>
  <c r="R56" i="4" s="1"/>
  <c r="J56" i="4"/>
  <c r="S56" i="4" s="1"/>
  <c r="K56" i="4"/>
  <c r="T56" i="4" s="1"/>
  <c r="E57" i="4"/>
  <c r="N57" i="4" s="1"/>
  <c r="F57" i="4"/>
  <c r="O57" i="4" s="1"/>
  <c r="G57" i="4"/>
  <c r="P57" i="4" s="1"/>
  <c r="H57" i="4"/>
  <c r="Q57" i="4" s="1"/>
  <c r="I57" i="4"/>
  <c r="R57" i="4" s="1"/>
  <c r="J57" i="4"/>
  <c r="S57" i="4" s="1"/>
  <c r="K57" i="4"/>
  <c r="T57" i="4" s="1"/>
  <c r="E58" i="4"/>
  <c r="N58" i="4" s="1"/>
  <c r="F58" i="4"/>
  <c r="O58" i="4" s="1"/>
  <c r="G58" i="4"/>
  <c r="P58" i="4" s="1"/>
  <c r="H58" i="4"/>
  <c r="Q58" i="4" s="1"/>
  <c r="I58" i="4"/>
  <c r="R58" i="4" s="1"/>
  <c r="J58" i="4"/>
  <c r="S58" i="4" s="1"/>
  <c r="K58" i="4"/>
  <c r="T58" i="4" s="1"/>
  <c r="E59" i="4"/>
  <c r="N59" i="4" s="1"/>
  <c r="F59" i="4"/>
  <c r="O59" i="4" s="1"/>
  <c r="G59" i="4"/>
  <c r="P59" i="4" s="1"/>
  <c r="H59" i="4"/>
  <c r="Q59" i="4" s="1"/>
  <c r="I59" i="4"/>
  <c r="R59" i="4" s="1"/>
  <c r="J59" i="4"/>
  <c r="S59" i="4" s="1"/>
  <c r="K59" i="4"/>
  <c r="T59" i="4" s="1"/>
  <c r="E60" i="4"/>
  <c r="N60" i="4" s="1"/>
  <c r="F60" i="4"/>
  <c r="O60" i="4" s="1"/>
  <c r="G60" i="4"/>
  <c r="P60" i="4" s="1"/>
  <c r="H60" i="4"/>
  <c r="Q60" i="4" s="1"/>
  <c r="I60" i="4"/>
  <c r="R60" i="4" s="1"/>
  <c r="J60" i="4"/>
  <c r="S60" i="4" s="1"/>
  <c r="K60" i="4"/>
  <c r="T60" i="4" s="1"/>
  <c r="E61" i="4"/>
  <c r="N61" i="4" s="1"/>
  <c r="F61" i="4"/>
  <c r="O61" i="4" s="1"/>
  <c r="G61" i="4"/>
  <c r="P61" i="4" s="1"/>
  <c r="H61" i="4"/>
  <c r="Q61" i="4" s="1"/>
  <c r="I61" i="4"/>
  <c r="R61" i="4" s="1"/>
  <c r="J61" i="4"/>
  <c r="S61" i="4" s="1"/>
  <c r="K61" i="4"/>
  <c r="T61" i="4" s="1"/>
  <c r="E62" i="4"/>
  <c r="N62" i="4" s="1"/>
  <c r="F62" i="4"/>
  <c r="O62" i="4" s="1"/>
  <c r="G62" i="4"/>
  <c r="P62" i="4" s="1"/>
  <c r="H62" i="4"/>
  <c r="Q62" i="4" s="1"/>
  <c r="I62" i="4"/>
  <c r="R62" i="4" s="1"/>
  <c r="J62" i="4"/>
  <c r="S62" i="4" s="1"/>
  <c r="K62" i="4"/>
  <c r="T62" i="4" s="1"/>
  <c r="E63" i="4"/>
  <c r="N63" i="4" s="1"/>
  <c r="F63" i="4"/>
  <c r="O63" i="4" s="1"/>
  <c r="G63" i="4"/>
  <c r="P63" i="4" s="1"/>
  <c r="H63" i="4"/>
  <c r="Q63" i="4" s="1"/>
  <c r="I63" i="4"/>
  <c r="R63" i="4" s="1"/>
  <c r="J63" i="4"/>
  <c r="S63" i="4" s="1"/>
  <c r="K63" i="4"/>
  <c r="T63" i="4" s="1"/>
  <c r="E64" i="4"/>
  <c r="N64" i="4" s="1"/>
  <c r="F64" i="4"/>
  <c r="O64" i="4" s="1"/>
  <c r="G64" i="4"/>
  <c r="P64" i="4" s="1"/>
  <c r="H64" i="4"/>
  <c r="Q64" i="4" s="1"/>
  <c r="I64" i="4"/>
  <c r="R64" i="4" s="1"/>
  <c r="J64" i="4"/>
  <c r="S64" i="4" s="1"/>
  <c r="K64" i="4"/>
  <c r="T64" i="4" s="1"/>
  <c r="E65" i="4"/>
  <c r="N65" i="4" s="1"/>
  <c r="F65" i="4"/>
  <c r="O65" i="4" s="1"/>
  <c r="G65" i="4"/>
  <c r="P65" i="4" s="1"/>
  <c r="H65" i="4"/>
  <c r="Q65" i="4" s="1"/>
  <c r="I65" i="4"/>
  <c r="R65" i="4" s="1"/>
  <c r="J65" i="4"/>
  <c r="S65" i="4" s="1"/>
  <c r="K65" i="4"/>
  <c r="T65" i="4" s="1"/>
  <c r="E66" i="4"/>
  <c r="N66" i="4" s="1"/>
  <c r="F66" i="4"/>
  <c r="O66" i="4" s="1"/>
  <c r="G66" i="4"/>
  <c r="P66" i="4" s="1"/>
  <c r="H66" i="4"/>
  <c r="Q66" i="4" s="1"/>
  <c r="I66" i="4"/>
  <c r="R66" i="4" s="1"/>
  <c r="J66" i="4"/>
  <c r="S66" i="4" s="1"/>
  <c r="K66" i="4"/>
  <c r="T66" i="4" s="1"/>
  <c r="E67" i="4"/>
  <c r="N67" i="4" s="1"/>
  <c r="F67" i="4"/>
  <c r="O67" i="4" s="1"/>
  <c r="G67" i="4"/>
  <c r="P67" i="4" s="1"/>
  <c r="H67" i="4"/>
  <c r="Q67" i="4" s="1"/>
  <c r="I67" i="4"/>
  <c r="R67" i="4" s="1"/>
  <c r="J67" i="4"/>
  <c r="S67" i="4" s="1"/>
  <c r="K67" i="4"/>
  <c r="T67" i="4" s="1"/>
  <c r="E68" i="4"/>
  <c r="N68" i="4" s="1"/>
  <c r="F68" i="4"/>
  <c r="O68" i="4" s="1"/>
  <c r="G68" i="4"/>
  <c r="P68" i="4" s="1"/>
  <c r="H68" i="4"/>
  <c r="Q68" i="4" s="1"/>
  <c r="I68" i="4"/>
  <c r="R68" i="4" s="1"/>
  <c r="J68" i="4"/>
  <c r="S68" i="4" s="1"/>
  <c r="K68" i="4"/>
  <c r="T68" i="4" s="1"/>
  <c r="E69" i="4"/>
  <c r="N69" i="4" s="1"/>
  <c r="F69" i="4"/>
  <c r="O69" i="4" s="1"/>
  <c r="G69" i="4"/>
  <c r="P69" i="4" s="1"/>
  <c r="H69" i="4"/>
  <c r="Q69" i="4" s="1"/>
  <c r="I69" i="4"/>
  <c r="R69" i="4" s="1"/>
  <c r="J69" i="4"/>
  <c r="S69" i="4" s="1"/>
  <c r="K69" i="4"/>
  <c r="T69" i="4" s="1"/>
  <c r="E70" i="4"/>
  <c r="N70" i="4" s="1"/>
  <c r="F70" i="4"/>
  <c r="O70" i="4" s="1"/>
  <c r="G70" i="4"/>
  <c r="P70" i="4" s="1"/>
  <c r="H70" i="4"/>
  <c r="Q70" i="4" s="1"/>
  <c r="I70" i="4"/>
  <c r="R70" i="4" s="1"/>
  <c r="J70" i="4"/>
  <c r="S70" i="4" s="1"/>
  <c r="K70" i="4"/>
  <c r="T70" i="4" s="1"/>
  <c r="E71" i="4"/>
  <c r="N71" i="4" s="1"/>
  <c r="F71" i="4"/>
  <c r="O71" i="4" s="1"/>
  <c r="G71" i="4"/>
  <c r="P71" i="4" s="1"/>
  <c r="H71" i="4"/>
  <c r="Q71" i="4" s="1"/>
  <c r="I71" i="4"/>
  <c r="R71" i="4" s="1"/>
  <c r="J71" i="4"/>
  <c r="S71" i="4" s="1"/>
  <c r="K71" i="4"/>
  <c r="T71" i="4" s="1"/>
  <c r="E72" i="4"/>
  <c r="N72" i="4" s="1"/>
  <c r="F72" i="4"/>
  <c r="O72" i="4" s="1"/>
  <c r="G72" i="4"/>
  <c r="P72" i="4" s="1"/>
  <c r="H72" i="4"/>
  <c r="Q72" i="4" s="1"/>
  <c r="I72" i="4"/>
  <c r="R72" i="4" s="1"/>
  <c r="J72" i="4"/>
  <c r="S72" i="4" s="1"/>
  <c r="K72" i="4"/>
  <c r="T72" i="4" s="1"/>
  <c r="E73" i="4"/>
  <c r="N73" i="4" s="1"/>
  <c r="F73" i="4"/>
  <c r="O73" i="4" s="1"/>
  <c r="G73" i="4"/>
  <c r="P73" i="4" s="1"/>
  <c r="H73" i="4"/>
  <c r="Q73" i="4" s="1"/>
  <c r="I73" i="4"/>
  <c r="R73" i="4" s="1"/>
  <c r="J73" i="4"/>
  <c r="S73" i="4" s="1"/>
  <c r="K73" i="4"/>
  <c r="T73" i="4" s="1"/>
  <c r="E74" i="4"/>
  <c r="N74" i="4" s="1"/>
  <c r="F74" i="4"/>
  <c r="O74" i="4" s="1"/>
  <c r="G74" i="4"/>
  <c r="P74" i="4" s="1"/>
  <c r="H74" i="4"/>
  <c r="Q74" i="4" s="1"/>
  <c r="I74" i="4"/>
  <c r="R74" i="4" s="1"/>
  <c r="J74" i="4"/>
  <c r="S74" i="4" s="1"/>
  <c r="K74" i="4"/>
  <c r="T74" i="4" s="1"/>
  <c r="E75" i="4"/>
  <c r="N75" i="4" s="1"/>
  <c r="F75" i="4"/>
  <c r="O75" i="4" s="1"/>
  <c r="G75" i="4"/>
  <c r="P75" i="4" s="1"/>
  <c r="H75" i="4"/>
  <c r="Q75" i="4" s="1"/>
  <c r="I75" i="4"/>
  <c r="R75" i="4" s="1"/>
  <c r="J75" i="4"/>
  <c r="S75" i="4" s="1"/>
  <c r="K75" i="4"/>
  <c r="T75" i="4" s="1"/>
  <c r="E76" i="4"/>
  <c r="N76" i="4" s="1"/>
  <c r="F76" i="4"/>
  <c r="O76" i="4" s="1"/>
  <c r="G76" i="4"/>
  <c r="P76" i="4" s="1"/>
  <c r="H76" i="4"/>
  <c r="Q76" i="4" s="1"/>
  <c r="I76" i="4"/>
  <c r="R76" i="4" s="1"/>
  <c r="J76" i="4"/>
  <c r="S76" i="4" s="1"/>
  <c r="K76" i="4"/>
  <c r="T76" i="4" s="1"/>
  <c r="E77" i="4"/>
  <c r="N77" i="4" s="1"/>
  <c r="F77" i="4"/>
  <c r="O77" i="4" s="1"/>
  <c r="G77" i="4"/>
  <c r="P77" i="4" s="1"/>
  <c r="H77" i="4"/>
  <c r="Q77" i="4" s="1"/>
  <c r="I77" i="4"/>
  <c r="R77" i="4" s="1"/>
  <c r="J77" i="4"/>
  <c r="S77" i="4" s="1"/>
  <c r="K77" i="4"/>
  <c r="T77" i="4" s="1"/>
  <c r="E78" i="4"/>
  <c r="N78" i="4" s="1"/>
  <c r="F78" i="4"/>
  <c r="O78" i="4" s="1"/>
  <c r="G78" i="4"/>
  <c r="P78" i="4" s="1"/>
  <c r="H78" i="4"/>
  <c r="Q78" i="4" s="1"/>
  <c r="I78" i="4"/>
  <c r="R78" i="4" s="1"/>
  <c r="J78" i="4"/>
  <c r="S78" i="4" s="1"/>
  <c r="K78" i="4"/>
  <c r="T78" i="4" s="1"/>
  <c r="E79" i="4"/>
  <c r="N79" i="4" s="1"/>
  <c r="F79" i="4"/>
  <c r="O79" i="4" s="1"/>
  <c r="G79" i="4"/>
  <c r="P79" i="4" s="1"/>
  <c r="H79" i="4"/>
  <c r="Q79" i="4" s="1"/>
  <c r="I79" i="4"/>
  <c r="R79" i="4" s="1"/>
  <c r="J79" i="4"/>
  <c r="S79" i="4" s="1"/>
  <c r="K79" i="4"/>
  <c r="T79" i="4" s="1"/>
  <c r="E80" i="4"/>
  <c r="N80" i="4" s="1"/>
  <c r="F80" i="4"/>
  <c r="O80" i="4" s="1"/>
  <c r="G80" i="4"/>
  <c r="P80" i="4" s="1"/>
  <c r="H80" i="4"/>
  <c r="Q80" i="4" s="1"/>
  <c r="I80" i="4"/>
  <c r="R80" i="4" s="1"/>
  <c r="J80" i="4"/>
  <c r="S80" i="4" s="1"/>
  <c r="K80" i="4"/>
  <c r="T80" i="4" s="1"/>
  <c r="E81" i="4"/>
  <c r="N81" i="4" s="1"/>
  <c r="F81" i="4"/>
  <c r="O81" i="4" s="1"/>
  <c r="G81" i="4"/>
  <c r="P81" i="4" s="1"/>
  <c r="H81" i="4"/>
  <c r="Q81" i="4" s="1"/>
  <c r="I81" i="4"/>
  <c r="R81" i="4" s="1"/>
  <c r="J81" i="4"/>
  <c r="S81" i="4" s="1"/>
  <c r="K81" i="4"/>
  <c r="T81" i="4" s="1"/>
  <c r="E82" i="4"/>
  <c r="N82" i="4" s="1"/>
  <c r="F82" i="4"/>
  <c r="O82" i="4" s="1"/>
  <c r="G82" i="4"/>
  <c r="P82" i="4" s="1"/>
  <c r="H82" i="4"/>
  <c r="Q82" i="4" s="1"/>
  <c r="I82" i="4"/>
  <c r="R82" i="4" s="1"/>
  <c r="J82" i="4"/>
  <c r="S82" i="4" s="1"/>
  <c r="K82" i="4"/>
  <c r="T82" i="4" s="1"/>
  <c r="E83" i="4"/>
  <c r="N83" i="4" s="1"/>
  <c r="F83" i="4"/>
  <c r="O83" i="4" s="1"/>
  <c r="G83" i="4"/>
  <c r="P83" i="4" s="1"/>
  <c r="H83" i="4"/>
  <c r="Q83" i="4" s="1"/>
  <c r="I83" i="4"/>
  <c r="R83" i="4" s="1"/>
  <c r="J83" i="4"/>
  <c r="S83" i="4" s="1"/>
  <c r="K83" i="4"/>
  <c r="T83" i="4" s="1"/>
  <c r="E84" i="4"/>
  <c r="N84" i="4" s="1"/>
  <c r="F84" i="4"/>
  <c r="O84" i="4" s="1"/>
  <c r="G84" i="4"/>
  <c r="P84" i="4" s="1"/>
  <c r="H84" i="4"/>
  <c r="Q84" i="4" s="1"/>
  <c r="I84" i="4"/>
  <c r="R84" i="4" s="1"/>
  <c r="J84" i="4"/>
  <c r="S84" i="4" s="1"/>
  <c r="K84" i="4"/>
  <c r="T84" i="4" s="1"/>
  <c r="E85" i="4"/>
  <c r="N85" i="4" s="1"/>
  <c r="F85" i="4"/>
  <c r="O85" i="4" s="1"/>
  <c r="G85" i="4"/>
  <c r="P85" i="4" s="1"/>
  <c r="H85" i="4"/>
  <c r="Q85" i="4" s="1"/>
  <c r="I85" i="4"/>
  <c r="R85" i="4" s="1"/>
  <c r="J85" i="4"/>
  <c r="S85" i="4" s="1"/>
  <c r="K85" i="4"/>
  <c r="T85" i="4" s="1"/>
  <c r="E86" i="4"/>
  <c r="N86" i="4" s="1"/>
  <c r="F86" i="4"/>
  <c r="O86" i="4" s="1"/>
  <c r="G86" i="4"/>
  <c r="P86" i="4" s="1"/>
  <c r="H86" i="4"/>
  <c r="Q86" i="4" s="1"/>
  <c r="I86" i="4"/>
  <c r="R86" i="4" s="1"/>
  <c r="J86" i="4"/>
  <c r="S86" i="4" s="1"/>
  <c r="K86" i="4"/>
  <c r="T86" i="4" s="1"/>
  <c r="E87" i="4"/>
  <c r="N87" i="4" s="1"/>
  <c r="F87" i="4"/>
  <c r="O87" i="4" s="1"/>
  <c r="G87" i="4"/>
  <c r="P87" i="4" s="1"/>
  <c r="H87" i="4"/>
  <c r="Q87" i="4" s="1"/>
  <c r="I87" i="4"/>
  <c r="R87" i="4" s="1"/>
  <c r="J87" i="4"/>
  <c r="S87" i="4" s="1"/>
  <c r="K87" i="4"/>
  <c r="T87" i="4" s="1"/>
  <c r="E88" i="4"/>
  <c r="N88" i="4" s="1"/>
  <c r="F88" i="4"/>
  <c r="O88" i="4" s="1"/>
  <c r="G88" i="4"/>
  <c r="P88" i="4" s="1"/>
  <c r="H88" i="4"/>
  <c r="Q88" i="4" s="1"/>
  <c r="I88" i="4"/>
  <c r="R88" i="4" s="1"/>
  <c r="J88" i="4"/>
  <c r="S88" i="4" s="1"/>
  <c r="K88" i="4"/>
  <c r="T88" i="4" s="1"/>
  <c r="E89" i="4"/>
  <c r="N89" i="4" s="1"/>
  <c r="F89" i="4"/>
  <c r="O89" i="4" s="1"/>
  <c r="G89" i="4"/>
  <c r="P89" i="4" s="1"/>
  <c r="H89" i="4"/>
  <c r="Q89" i="4" s="1"/>
  <c r="I89" i="4"/>
  <c r="R89" i="4" s="1"/>
  <c r="J89" i="4"/>
  <c r="S89" i="4" s="1"/>
  <c r="K89" i="4"/>
  <c r="T89" i="4" s="1"/>
  <c r="E90" i="4"/>
  <c r="N90" i="4" s="1"/>
  <c r="F90" i="4"/>
  <c r="O90" i="4" s="1"/>
  <c r="G90" i="4"/>
  <c r="P90" i="4" s="1"/>
  <c r="H90" i="4"/>
  <c r="Q90" i="4" s="1"/>
  <c r="I90" i="4"/>
  <c r="R90" i="4" s="1"/>
  <c r="J90" i="4"/>
  <c r="S90" i="4" s="1"/>
  <c r="K90" i="4"/>
  <c r="T90" i="4" s="1"/>
  <c r="E91" i="4"/>
  <c r="N91" i="4" s="1"/>
  <c r="F91" i="4"/>
  <c r="O91" i="4" s="1"/>
  <c r="G91" i="4"/>
  <c r="P91" i="4" s="1"/>
  <c r="H91" i="4"/>
  <c r="Q91" i="4" s="1"/>
  <c r="I91" i="4"/>
  <c r="R91" i="4" s="1"/>
  <c r="J91" i="4"/>
  <c r="S91" i="4" s="1"/>
  <c r="K91" i="4"/>
  <c r="T91" i="4" s="1"/>
  <c r="E92" i="4"/>
  <c r="N92" i="4" s="1"/>
  <c r="F92" i="4"/>
  <c r="O92" i="4" s="1"/>
  <c r="G92" i="4"/>
  <c r="P92" i="4" s="1"/>
  <c r="H92" i="4"/>
  <c r="Q92" i="4" s="1"/>
  <c r="I92" i="4"/>
  <c r="R92" i="4" s="1"/>
  <c r="J92" i="4"/>
  <c r="S92" i="4" s="1"/>
  <c r="K92" i="4"/>
  <c r="T92" i="4" s="1"/>
  <c r="E93" i="4"/>
  <c r="N93" i="4" s="1"/>
  <c r="F93" i="4"/>
  <c r="O93" i="4" s="1"/>
  <c r="G93" i="4"/>
  <c r="P93" i="4" s="1"/>
  <c r="H93" i="4"/>
  <c r="Q93" i="4" s="1"/>
  <c r="I93" i="4"/>
  <c r="R93" i="4" s="1"/>
  <c r="J93" i="4"/>
  <c r="S93" i="4" s="1"/>
  <c r="K93" i="4"/>
  <c r="T93" i="4" s="1"/>
  <c r="E94" i="4"/>
  <c r="N94" i="4" s="1"/>
  <c r="F94" i="4"/>
  <c r="O94" i="4" s="1"/>
  <c r="G94" i="4"/>
  <c r="P94" i="4" s="1"/>
  <c r="H94" i="4"/>
  <c r="Q94" i="4" s="1"/>
  <c r="I94" i="4"/>
  <c r="R94" i="4" s="1"/>
  <c r="J94" i="4"/>
  <c r="S94" i="4" s="1"/>
  <c r="K94" i="4"/>
  <c r="T94" i="4" s="1"/>
  <c r="E95" i="4"/>
  <c r="N95" i="4" s="1"/>
  <c r="F95" i="4"/>
  <c r="O95" i="4" s="1"/>
  <c r="G95" i="4"/>
  <c r="P95" i="4" s="1"/>
  <c r="H95" i="4"/>
  <c r="Q95" i="4" s="1"/>
  <c r="I95" i="4"/>
  <c r="R95" i="4" s="1"/>
  <c r="J95" i="4"/>
  <c r="S95" i="4" s="1"/>
  <c r="K95" i="4"/>
  <c r="T95" i="4" s="1"/>
  <c r="E96" i="4"/>
  <c r="N96" i="4" s="1"/>
  <c r="F96" i="4"/>
  <c r="O96" i="4" s="1"/>
  <c r="G96" i="4"/>
  <c r="P96" i="4" s="1"/>
  <c r="H96" i="4"/>
  <c r="Q96" i="4" s="1"/>
  <c r="I96" i="4"/>
  <c r="R96" i="4" s="1"/>
  <c r="J96" i="4"/>
  <c r="S96" i="4" s="1"/>
  <c r="K96" i="4"/>
  <c r="T96" i="4" s="1"/>
  <c r="E97" i="4"/>
  <c r="N97" i="4" s="1"/>
  <c r="F97" i="4"/>
  <c r="O97" i="4" s="1"/>
  <c r="G97" i="4"/>
  <c r="P97" i="4" s="1"/>
  <c r="H97" i="4"/>
  <c r="Q97" i="4" s="1"/>
  <c r="I97" i="4"/>
  <c r="R97" i="4" s="1"/>
  <c r="J97" i="4"/>
  <c r="S97" i="4" s="1"/>
  <c r="K97" i="4"/>
  <c r="T97" i="4" s="1"/>
  <c r="E98" i="4"/>
  <c r="N98" i="4" s="1"/>
  <c r="F98" i="4"/>
  <c r="O98" i="4" s="1"/>
  <c r="G98" i="4"/>
  <c r="P98" i="4" s="1"/>
  <c r="H98" i="4"/>
  <c r="Q98" i="4" s="1"/>
  <c r="I98" i="4"/>
  <c r="R98" i="4" s="1"/>
  <c r="J98" i="4"/>
  <c r="S98" i="4" s="1"/>
  <c r="K98" i="4"/>
  <c r="T98" i="4" s="1"/>
  <c r="E99" i="4"/>
  <c r="N99" i="4" s="1"/>
  <c r="F99" i="4"/>
  <c r="O99" i="4" s="1"/>
  <c r="G99" i="4"/>
  <c r="P99" i="4" s="1"/>
  <c r="H99" i="4"/>
  <c r="Q99" i="4" s="1"/>
  <c r="I99" i="4"/>
  <c r="R99" i="4" s="1"/>
  <c r="J99" i="4"/>
  <c r="S99" i="4" s="1"/>
  <c r="K99" i="4"/>
  <c r="T99" i="4" s="1"/>
  <c r="E100" i="4"/>
  <c r="N100" i="4" s="1"/>
  <c r="F100" i="4"/>
  <c r="O100" i="4" s="1"/>
  <c r="G100" i="4"/>
  <c r="P100" i="4" s="1"/>
  <c r="H100" i="4"/>
  <c r="Q100" i="4" s="1"/>
  <c r="I100" i="4"/>
  <c r="R100" i="4" s="1"/>
  <c r="J100" i="4"/>
  <c r="S100" i="4" s="1"/>
  <c r="K100" i="4"/>
  <c r="T100" i="4" s="1"/>
  <c r="E101" i="4"/>
  <c r="N101" i="4" s="1"/>
  <c r="F101" i="4"/>
  <c r="O101" i="4" s="1"/>
  <c r="G101" i="4"/>
  <c r="P101" i="4" s="1"/>
  <c r="H101" i="4"/>
  <c r="Q101" i="4" s="1"/>
  <c r="I101" i="4"/>
  <c r="R101" i="4" s="1"/>
  <c r="J101" i="4"/>
  <c r="S101" i="4" s="1"/>
  <c r="K101" i="4"/>
  <c r="T101" i="4" s="1"/>
  <c r="E102" i="4"/>
  <c r="N102" i="4" s="1"/>
  <c r="F102" i="4"/>
  <c r="O102" i="4" s="1"/>
  <c r="G102" i="4"/>
  <c r="P102" i="4" s="1"/>
  <c r="H102" i="4"/>
  <c r="Q102" i="4" s="1"/>
  <c r="I102" i="4"/>
  <c r="R102" i="4" s="1"/>
  <c r="J102" i="4"/>
  <c r="S102" i="4" s="1"/>
  <c r="K102" i="4"/>
  <c r="T102" i="4" s="1"/>
  <c r="E103" i="4"/>
  <c r="N103" i="4" s="1"/>
  <c r="F103" i="4"/>
  <c r="O103" i="4" s="1"/>
  <c r="G103" i="4"/>
  <c r="P103" i="4" s="1"/>
  <c r="H103" i="4"/>
  <c r="Q103" i="4" s="1"/>
  <c r="I103" i="4"/>
  <c r="R103" i="4" s="1"/>
  <c r="J103" i="4"/>
  <c r="S103" i="4" s="1"/>
  <c r="K103" i="4"/>
  <c r="T103" i="4" s="1"/>
  <c r="E104" i="4"/>
  <c r="N104" i="4" s="1"/>
  <c r="F104" i="4"/>
  <c r="O104" i="4" s="1"/>
  <c r="G104" i="4"/>
  <c r="P104" i="4" s="1"/>
  <c r="H104" i="4"/>
  <c r="Q104" i="4" s="1"/>
  <c r="I104" i="4"/>
  <c r="R104" i="4" s="1"/>
  <c r="J104" i="4"/>
  <c r="S104" i="4" s="1"/>
  <c r="K104" i="4"/>
  <c r="T104" i="4" s="1"/>
  <c r="E105" i="4"/>
  <c r="N105" i="4" s="1"/>
  <c r="F105" i="4"/>
  <c r="O105" i="4" s="1"/>
  <c r="G105" i="4"/>
  <c r="P105" i="4" s="1"/>
  <c r="H105" i="4"/>
  <c r="Q105" i="4" s="1"/>
  <c r="I105" i="4"/>
  <c r="R105" i="4" s="1"/>
  <c r="J105" i="4"/>
  <c r="S105" i="4" s="1"/>
  <c r="K105" i="4"/>
  <c r="T105" i="4" s="1"/>
  <c r="E106" i="4"/>
  <c r="N106" i="4" s="1"/>
  <c r="F106" i="4"/>
  <c r="O106" i="4" s="1"/>
  <c r="G106" i="4"/>
  <c r="P106" i="4" s="1"/>
  <c r="H106" i="4"/>
  <c r="Q106" i="4" s="1"/>
  <c r="I106" i="4"/>
  <c r="R106" i="4" s="1"/>
  <c r="J106" i="4"/>
  <c r="S106" i="4" s="1"/>
  <c r="K106" i="4"/>
  <c r="T106" i="4" s="1"/>
  <c r="E107" i="4"/>
  <c r="N107" i="4" s="1"/>
  <c r="F107" i="4"/>
  <c r="O107" i="4" s="1"/>
  <c r="G107" i="4"/>
  <c r="P107" i="4" s="1"/>
  <c r="H107" i="4"/>
  <c r="Q107" i="4" s="1"/>
  <c r="I107" i="4"/>
  <c r="R107" i="4" s="1"/>
  <c r="J107" i="4"/>
  <c r="S107" i="4" s="1"/>
  <c r="K107" i="4"/>
  <c r="T107" i="4" s="1"/>
  <c r="E108" i="4"/>
  <c r="N108" i="4" s="1"/>
  <c r="F108" i="4"/>
  <c r="O108" i="4" s="1"/>
  <c r="G108" i="4"/>
  <c r="P108" i="4" s="1"/>
  <c r="H108" i="4"/>
  <c r="Q108" i="4" s="1"/>
  <c r="I108" i="4"/>
  <c r="R108" i="4" s="1"/>
  <c r="J108" i="4"/>
  <c r="S108" i="4" s="1"/>
  <c r="K108" i="4"/>
  <c r="T108" i="4" s="1"/>
  <c r="E109" i="4"/>
  <c r="N109" i="4" s="1"/>
  <c r="F109" i="4"/>
  <c r="O109" i="4" s="1"/>
  <c r="G109" i="4"/>
  <c r="P109" i="4" s="1"/>
  <c r="H109" i="4"/>
  <c r="Q109" i="4" s="1"/>
  <c r="I109" i="4"/>
  <c r="R109" i="4" s="1"/>
  <c r="J109" i="4"/>
  <c r="S109" i="4" s="1"/>
  <c r="K109" i="4"/>
  <c r="T109" i="4" s="1"/>
  <c r="E110" i="4"/>
  <c r="N110" i="4" s="1"/>
  <c r="F110" i="4"/>
  <c r="O110" i="4" s="1"/>
  <c r="G110" i="4"/>
  <c r="P110" i="4" s="1"/>
  <c r="H110" i="4"/>
  <c r="Q110" i="4" s="1"/>
  <c r="I110" i="4"/>
  <c r="R110" i="4" s="1"/>
  <c r="J110" i="4"/>
  <c r="S110" i="4" s="1"/>
  <c r="K110" i="4"/>
  <c r="T110" i="4" s="1"/>
  <c r="E111" i="4"/>
  <c r="N111" i="4" s="1"/>
  <c r="F111" i="4"/>
  <c r="O111" i="4" s="1"/>
  <c r="G111" i="4"/>
  <c r="P111" i="4" s="1"/>
  <c r="H111" i="4"/>
  <c r="Q111" i="4" s="1"/>
  <c r="I111" i="4"/>
  <c r="R111" i="4" s="1"/>
  <c r="J111" i="4"/>
  <c r="S111" i="4" s="1"/>
  <c r="K111" i="4"/>
  <c r="T111" i="4" s="1"/>
  <c r="E112" i="4"/>
  <c r="N112" i="4" s="1"/>
  <c r="F112" i="4"/>
  <c r="O112" i="4" s="1"/>
  <c r="G112" i="4"/>
  <c r="P112" i="4" s="1"/>
  <c r="H112" i="4"/>
  <c r="Q112" i="4" s="1"/>
  <c r="I112" i="4"/>
  <c r="R112" i="4" s="1"/>
  <c r="J112" i="4"/>
  <c r="S112" i="4" s="1"/>
  <c r="K112" i="4"/>
  <c r="T112" i="4" s="1"/>
  <c r="E113" i="4"/>
  <c r="N113" i="4" s="1"/>
  <c r="F113" i="4"/>
  <c r="O113" i="4" s="1"/>
  <c r="G113" i="4"/>
  <c r="P113" i="4" s="1"/>
  <c r="H113" i="4"/>
  <c r="Q113" i="4" s="1"/>
  <c r="I113" i="4"/>
  <c r="R113" i="4" s="1"/>
  <c r="J113" i="4"/>
  <c r="S113" i="4" s="1"/>
  <c r="K113" i="4"/>
  <c r="T113" i="4" s="1"/>
  <c r="E114" i="4"/>
  <c r="N114" i="4" s="1"/>
  <c r="F114" i="4"/>
  <c r="O114" i="4" s="1"/>
  <c r="G114" i="4"/>
  <c r="P114" i="4" s="1"/>
  <c r="H114" i="4"/>
  <c r="Q114" i="4" s="1"/>
  <c r="I114" i="4"/>
  <c r="R114" i="4" s="1"/>
  <c r="J114" i="4"/>
  <c r="S114" i="4" s="1"/>
  <c r="K114" i="4"/>
  <c r="T114" i="4" s="1"/>
  <c r="E115" i="4"/>
  <c r="N115" i="4" s="1"/>
  <c r="F115" i="4"/>
  <c r="O115" i="4" s="1"/>
  <c r="G115" i="4"/>
  <c r="P115" i="4" s="1"/>
  <c r="H115" i="4"/>
  <c r="Q115" i="4" s="1"/>
  <c r="I115" i="4"/>
  <c r="R115" i="4" s="1"/>
  <c r="J115" i="4"/>
  <c r="S115" i="4" s="1"/>
  <c r="K115" i="4"/>
  <c r="T115" i="4" s="1"/>
  <c r="E116" i="4"/>
  <c r="N116" i="4" s="1"/>
  <c r="F116" i="4"/>
  <c r="O116" i="4" s="1"/>
  <c r="G116" i="4"/>
  <c r="P116" i="4" s="1"/>
  <c r="H116" i="4"/>
  <c r="Q116" i="4" s="1"/>
  <c r="I116" i="4"/>
  <c r="R116" i="4" s="1"/>
  <c r="J116" i="4"/>
  <c r="S116" i="4" s="1"/>
  <c r="K116" i="4"/>
  <c r="T116" i="4" s="1"/>
  <c r="E117" i="4"/>
  <c r="N117" i="4" s="1"/>
  <c r="F117" i="4"/>
  <c r="O117" i="4" s="1"/>
  <c r="G117" i="4"/>
  <c r="P117" i="4" s="1"/>
  <c r="H117" i="4"/>
  <c r="Q117" i="4" s="1"/>
  <c r="I117" i="4"/>
  <c r="R117" i="4" s="1"/>
  <c r="J117" i="4"/>
  <c r="S117" i="4" s="1"/>
  <c r="K117" i="4"/>
  <c r="T117" i="4" s="1"/>
  <c r="E118" i="4"/>
  <c r="N118" i="4" s="1"/>
  <c r="F118" i="4"/>
  <c r="O118" i="4" s="1"/>
  <c r="G118" i="4"/>
  <c r="P118" i="4" s="1"/>
  <c r="H118" i="4"/>
  <c r="Q118" i="4" s="1"/>
  <c r="I118" i="4"/>
  <c r="R118" i="4" s="1"/>
  <c r="J118" i="4"/>
  <c r="S118" i="4" s="1"/>
  <c r="K118" i="4"/>
  <c r="T118" i="4" s="1"/>
  <c r="E119" i="4"/>
  <c r="N119" i="4" s="1"/>
  <c r="F119" i="4"/>
  <c r="O119" i="4" s="1"/>
  <c r="G119" i="4"/>
  <c r="P119" i="4" s="1"/>
  <c r="H119" i="4"/>
  <c r="Q119" i="4" s="1"/>
  <c r="I119" i="4"/>
  <c r="R119" i="4" s="1"/>
  <c r="J119" i="4"/>
  <c r="S119" i="4" s="1"/>
  <c r="K119" i="4"/>
  <c r="T119" i="4" s="1"/>
  <c r="E120" i="4"/>
  <c r="N120" i="4" s="1"/>
  <c r="F120" i="4"/>
  <c r="O120" i="4" s="1"/>
  <c r="G120" i="4"/>
  <c r="P120" i="4" s="1"/>
  <c r="H120" i="4"/>
  <c r="Q120" i="4" s="1"/>
  <c r="I120" i="4"/>
  <c r="R120" i="4" s="1"/>
  <c r="J120" i="4"/>
  <c r="S120" i="4" s="1"/>
  <c r="K120" i="4"/>
  <c r="T120" i="4" s="1"/>
  <c r="E121" i="4"/>
  <c r="N121" i="4" s="1"/>
  <c r="F121" i="4"/>
  <c r="O121" i="4" s="1"/>
  <c r="G121" i="4"/>
  <c r="P121" i="4" s="1"/>
  <c r="H121" i="4"/>
  <c r="Q121" i="4" s="1"/>
  <c r="I121" i="4"/>
  <c r="R121" i="4" s="1"/>
  <c r="J121" i="4"/>
  <c r="S121" i="4" s="1"/>
  <c r="K121" i="4"/>
  <c r="T121" i="4" s="1"/>
  <c r="E122" i="4"/>
  <c r="N122" i="4" s="1"/>
  <c r="F122" i="4"/>
  <c r="O122" i="4" s="1"/>
  <c r="G122" i="4"/>
  <c r="P122" i="4" s="1"/>
  <c r="H122" i="4"/>
  <c r="Q122" i="4" s="1"/>
  <c r="I122" i="4"/>
  <c r="R122" i="4" s="1"/>
  <c r="J122" i="4"/>
  <c r="S122" i="4" s="1"/>
  <c r="K122" i="4"/>
  <c r="T122" i="4" s="1"/>
  <c r="E123" i="4"/>
  <c r="N123" i="4" s="1"/>
  <c r="F123" i="4"/>
  <c r="O123" i="4" s="1"/>
  <c r="G123" i="4"/>
  <c r="P123" i="4" s="1"/>
  <c r="H123" i="4"/>
  <c r="Q123" i="4" s="1"/>
  <c r="I123" i="4"/>
  <c r="R123" i="4" s="1"/>
  <c r="J123" i="4"/>
  <c r="S123" i="4" s="1"/>
  <c r="K123" i="4"/>
  <c r="T123" i="4" s="1"/>
  <c r="E124" i="4"/>
  <c r="N124" i="4" s="1"/>
  <c r="F124" i="4"/>
  <c r="O124" i="4" s="1"/>
  <c r="G124" i="4"/>
  <c r="P124" i="4" s="1"/>
  <c r="H124" i="4"/>
  <c r="Q124" i="4" s="1"/>
  <c r="I124" i="4"/>
  <c r="R124" i="4" s="1"/>
  <c r="J124" i="4"/>
  <c r="S124" i="4" s="1"/>
  <c r="K124" i="4"/>
  <c r="T124" i="4" s="1"/>
  <c r="E125" i="4"/>
  <c r="N125" i="4" s="1"/>
  <c r="F125" i="4"/>
  <c r="O125" i="4" s="1"/>
  <c r="G125" i="4"/>
  <c r="P125" i="4" s="1"/>
  <c r="H125" i="4"/>
  <c r="Q125" i="4" s="1"/>
  <c r="I125" i="4"/>
  <c r="R125" i="4" s="1"/>
  <c r="J125" i="4"/>
  <c r="S125" i="4" s="1"/>
  <c r="K125" i="4"/>
  <c r="T125" i="4" s="1"/>
  <c r="E126" i="4"/>
  <c r="N126" i="4" s="1"/>
  <c r="F126" i="4"/>
  <c r="O126" i="4" s="1"/>
  <c r="G126" i="4"/>
  <c r="P126" i="4" s="1"/>
  <c r="H126" i="4"/>
  <c r="Q126" i="4" s="1"/>
  <c r="I126" i="4"/>
  <c r="R126" i="4" s="1"/>
  <c r="J126" i="4"/>
  <c r="S126" i="4" s="1"/>
  <c r="K126" i="4"/>
  <c r="T126" i="4" s="1"/>
  <c r="E127" i="4"/>
  <c r="N127" i="4" s="1"/>
  <c r="F127" i="4"/>
  <c r="O127" i="4" s="1"/>
  <c r="G127" i="4"/>
  <c r="P127" i="4" s="1"/>
  <c r="H127" i="4"/>
  <c r="Q127" i="4" s="1"/>
  <c r="I127" i="4"/>
  <c r="R127" i="4" s="1"/>
  <c r="J127" i="4"/>
  <c r="S127" i="4" s="1"/>
  <c r="K127" i="4"/>
  <c r="T127" i="4" s="1"/>
  <c r="E128" i="4"/>
  <c r="N128" i="4" s="1"/>
  <c r="F128" i="4"/>
  <c r="O128" i="4" s="1"/>
  <c r="G128" i="4"/>
  <c r="P128" i="4" s="1"/>
  <c r="H128" i="4"/>
  <c r="Q128" i="4" s="1"/>
  <c r="I128" i="4"/>
  <c r="R128" i="4" s="1"/>
  <c r="J128" i="4"/>
  <c r="S128" i="4" s="1"/>
  <c r="K128" i="4"/>
  <c r="T128" i="4" s="1"/>
  <c r="E129" i="4"/>
  <c r="N129" i="4" s="1"/>
  <c r="F129" i="4"/>
  <c r="O129" i="4" s="1"/>
  <c r="G129" i="4"/>
  <c r="P129" i="4" s="1"/>
  <c r="H129" i="4"/>
  <c r="Q129" i="4" s="1"/>
  <c r="I129" i="4"/>
  <c r="R129" i="4" s="1"/>
  <c r="J129" i="4"/>
  <c r="S129" i="4" s="1"/>
  <c r="K129" i="4"/>
  <c r="T129" i="4" s="1"/>
  <c r="E130" i="4"/>
  <c r="N130" i="4" s="1"/>
  <c r="F130" i="4"/>
  <c r="O130" i="4" s="1"/>
  <c r="G130" i="4"/>
  <c r="P130" i="4" s="1"/>
  <c r="H130" i="4"/>
  <c r="Q130" i="4" s="1"/>
  <c r="I130" i="4"/>
  <c r="R130" i="4" s="1"/>
  <c r="J130" i="4"/>
  <c r="S130" i="4" s="1"/>
  <c r="K130" i="4"/>
  <c r="T130" i="4" s="1"/>
  <c r="E131" i="4"/>
  <c r="N131" i="4" s="1"/>
  <c r="F131" i="4"/>
  <c r="O131" i="4" s="1"/>
  <c r="G131" i="4"/>
  <c r="P131" i="4" s="1"/>
  <c r="H131" i="4"/>
  <c r="Q131" i="4" s="1"/>
  <c r="I131" i="4"/>
  <c r="R131" i="4" s="1"/>
  <c r="J131" i="4"/>
  <c r="S131" i="4" s="1"/>
  <c r="K131" i="4"/>
  <c r="T131" i="4" s="1"/>
  <c r="E132" i="4"/>
  <c r="N132" i="4" s="1"/>
  <c r="F132" i="4"/>
  <c r="O132" i="4" s="1"/>
  <c r="G132" i="4"/>
  <c r="P132" i="4" s="1"/>
  <c r="H132" i="4"/>
  <c r="Q132" i="4" s="1"/>
  <c r="I132" i="4"/>
  <c r="R132" i="4" s="1"/>
  <c r="J132" i="4"/>
  <c r="S132" i="4" s="1"/>
  <c r="K132" i="4"/>
  <c r="T132" i="4" s="1"/>
  <c r="E133" i="4"/>
  <c r="N133" i="4" s="1"/>
  <c r="F133" i="4"/>
  <c r="O133" i="4" s="1"/>
  <c r="G133" i="4"/>
  <c r="P133" i="4" s="1"/>
  <c r="H133" i="4"/>
  <c r="Q133" i="4" s="1"/>
  <c r="I133" i="4"/>
  <c r="R133" i="4" s="1"/>
  <c r="J133" i="4"/>
  <c r="S133" i="4" s="1"/>
  <c r="K133" i="4"/>
  <c r="T133" i="4" s="1"/>
  <c r="E134" i="4"/>
  <c r="N134" i="4" s="1"/>
  <c r="F134" i="4"/>
  <c r="O134" i="4" s="1"/>
  <c r="G134" i="4"/>
  <c r="P134" i="4" s="1"/>
  <c r="H134" i="4"/>
  <c r="Q134" i="4" s="1"/>
  <c r="I134" i="4"/>
  <c r="R134" i="4" s="1"/>
  <c r="J134" i="4"/>
  <c r="S134" i="4" s="1"/>
  <c r="K134" i="4"/>
  <c r="T134" i="4" s="1"/>
  <c r="E135" i="4"/>
  <c r="N135" i="4" s="1"/>
  <c r="F135" i="4"/>
  <c r="O135" i="4" s="1"/>
  <c r="G135" i="4"/>
  <c r="P135" i="4" s="1"/>
  <c r="H135" i="4"/>
  <c r="Q135" i="4" s="1"/>
  <c r="I135" i="4"/>
  <c r="R135" i="4" s="1"/>
  <c r="J135" i="4"/>
  <c r="S135" i="4" s="1"/>
  <c r="K135" i="4"/>
  <c r="T135" i="4" s="1"/>
  <c r="E136" i="4"/>
  <c r="N136" i="4" s="1"/>
  <c r="F136" i="4"/>
  <c r="O136" i="4" s="1"/>
  <c r="G136" i="4"/>
  <c r="P136" i="4" s="1"/>
  <c r="H136" i="4"/>
  <c r="Q136" i="4" s="1"/>
  <c r="I136" i="4"/>
  <c r="R136" i="4" s="1"/>
  <c r="J136" i="4"/>
  <c r="S136" i="4" s="1"/>
  <c r="K136" i="4"/>
  <c r="T136" i="4" s="1"/>
  <c r="E137" i="4"/>
  <c r="N137" i="4" s="1"/>
  <c r="F137" i="4"/>
  <c r="O137" i="4" s="1"/>
  <c r="G137" i="4"/>
  <c r="P137" i="4" s="1"/>
  <c r="H137" i="4"/>
  <c r="Q137" i="4" s="1"/>
  <c r="I137" i="4"/>
  <c r="R137" i="4" s="1"/>
  <c r="J137" i="4"/>
  <c r="S137" i="4" s="1"/>
  <c r="K137" i="4"/>
  <c r="T137" i="4" s="1"/>
  <c r="E138" i="4"/>
  <c r="N138" i="4" s="1"/>
  <c r="F138" i="4"/>
  <c r="O138" i="4" s="1"/>
  <c r="G138" i="4"/>
  <c r="P138" i="4" s="1"/>
  <c r="H138" i="4"/>
  <c r="Q138" i="4" s="1"/>
  <c r="I138" i="4"/>
  <c r="R138" i="4" s="1"/>
  <c r="J138" i="4"/>
  <c r="S138" i="4" s="1"/>
  <c r="K138" i="4"/>
  <c r="T138" i="4" s="1"/>
  <c r="E139" i="4"/>
  <c r="N139" i="4" s="1"/>
  <c r="F139" i="4"/>
  <c r="O139" i="4" s="1"/>
  <c r="G139" i="4"/>
  <c r="P139" i="4" s="1"/>
  <c r="H139" i="4"/>
  <c r="Q139" i="4" s="1"/>
  <c r="I139" i="4"/>
  <c r="R139" i="4" s="1"/>
  <c r="J139" i="4"/>
  <c r="S139" i="4" s="1"/>
  <c r="K139" i="4"/>
  <c r="T139" i="4" s="1"/>
  <c r="E140" i="4"/>
  <c r="N140" i="4" s="1"/>
  <c r="F140" i="4"/>
  <c r="O140" i="4" s="1"/>
  <c r="G140" i="4"/>
  <c r="P140" i="4" s="1"/>
  <c r="H140" i="4"/>
  <c r="Q140" i="4" s="1"/>
  <c r="I140" i="4"/>
  <c r="R140" i="4" s="1"/>
  <c r="J140" i="4"/>
  <c r="S140" i="4" s="1"/>
  <c r="K140" i="4"/>
  <c r="T140" i="4" s="1"/>
  <c r="E141" i="4"/>
  <c r="N141" i="4" s="1"/>
  <c r="F141" i="4"/>
  <c r="O141" i="4" s="1"/>
  <c r="G141" i="4"/>
  <c r="P141" i="4" s="1"/>
  <c r="H141" i="4"/>
  <c r="Q141" i="4" s="1"/>
  <c r="I141" i="4"/>
  <c r="R141" i="4" s="1"/>
  <c r="J141" i="4"/>
  <c r="S141" i="4" s="1"/>
  <c r="K141" i="4"/>
  <c r="T141" i="4" s="1"/>
  <c r="E142" i="4"/>
  <c r="N142" i="4" s="1"/>
  <c r="F142" i="4"/>
  <c r="O142" i="4" s="1"/>
  <c r="G142" i="4"/>
  <c r="P142" i="4" s="1"/>
  <c r="H142" i="4"/>
  <c r="Q142" i="4" s="1"/>
  <c r="I142" i="4"/>
  <c r="R142" i="4" s="1"/>
  <c r="J142" i="4"/>
  <c r="S142" i="4" s="1"/>
  <c r="K142" i="4"/>
  <c r="T142" i="4" s="1"/>
  <c r="E143" i="4"/>
  <c r="N143" i="4" s="1"/>
  <c r="F143" i="4"/>
  <c r="O143" i="4" s="1"/>
  <c r="G143" i="4"/>
  <c r="P143" i="4" s="1"/>
  <c r="H143" i="4"/>
  <c r="Q143" i="4" s="1"/>
  <c r="I143" i="4"/>
  <c r="R143" i="4" s="1"/>
  <c r="J143" i="4"/>
  <c r="S143" i="4" s="1"/>
  <c r="K143" i="4"/>
  <c r="T143" i="4" s="1"/>
  <c r="E144" i="4"/>
  <c r="N144" i="4" s="1"/>
  <c r="F144" i="4"/>
  <c r="O144" i="4" s="1"/>
  <c r="G144" i="4"/>
  <c r="P144" i="4" s="1"/>
  <c r="H144" i="4"/>
  <c r="Q144" i="4" s="1"/>
  <c r="I144" i="4"/>
  <c r="R144" i="4" s="1"/>
  <c r="J144" i="4"/>
  <c r="S144" i="4" s="1"/>
  <c r="K144" i="4"/>
  <c r="T144" i="4" s="1"/>
  <c r="E145" i="4"/>
  <c r="N145" i="4" s="1"/>
  <c r="F145" i="4"/>
  <c r="O145" i="4" s="1"/>
  <c r="G145" i="4"/>
  <c r="P145" i="4" s="1"/>
  <c r="H145" i="4"/>
  <c r="Q145" i="4" s="1"/>
  <c r="I145" i="4"/>
  <c r="R145" i="4" s="1"/>
  <c r="J145" i="4"/>
  <c r="S145" i="4" s="1"/>
  <c r="K145" i="4"/>
  <c r="T145" i="4" s="1"/>
  <c r="E146" i="4"/>
  <c r="N146" i="4" s="1"/>
  <c r="F146" i="4"/>
  <c r="O146" i="4" s="1"/>
  <c r="G146" i="4"/>
  <c r="P146" i="4" s="1"/>
  <c r="H146" i="4"/>
  <c r="Q146" i="4" s="1"/>
  <c r="I146" i="4"/>
  <c r="R146" i="4" s="1"/>
  <c r="J146" i="4"/>
  <c r="S146" i="4" s="1"/>
  <c r="K146" i="4"/>
  <c r="T146" i="4" s="1"/>
  <c r="E147" i="4"/>
  <c r="N147" i="4" s="1"/>
  <c r="F147" i="4"/>
  <c r="O147" i="4" s="1"/>
  <c r="G147" i="4"/>
  <c r="P147" i="4" s="1"/>
  <c r="H147" i="4"/>
  <c r="Q147" i="4" s="1"/>
  <c r="I147" i="4"/>
  <c r="R147" i="4" s="1"/>
  <c r="J147" i="4"/>
  <c r="S147" i="4" s="1"/>
  <c r="K147" i="4"/>
  <c r="T147" i="4" s="1"/>
  <c r="E148" i="4"/>
  <c r="N148" i="4" s="1"/>
  <c r="F148" i="4"/>
  <c r="O148" i="4" s="1"/>
  <c r="G148" i="4"/>
  <c r="P148" i="4" s="1"/>
  <c r="H148" i="4"/>
  <c r="Q148" i="4" s="1"/>
  <c r="I148" i="4"/>
  <c r="R148" i="4" s="1"/>
  <c r="J148" i="4"/>
  <c r="S148" i="4" s="1"/>
  <c r="K148" i="4"/>
  <c r="T148" i="4" s="1"/>
  <c r="E149" i="4"/>
  <c r="N149" i="4" s="1"/>
  <c r="F149" i="4"/>
  <c r="O149" i="4" s="1"/>
  <c r="G149" i="4"/>
  <c r="P149" i="4" s="1"/>
  <c r="H149" i="4"/>
  <c r="Q149" i="4" s="1"/>
  <c r="I149" i="4"/>
  <c r="R149" i="4" s="1"/>
  <c r="J149" i="4"/>
  <c r="S149" i="4" s="1"/>
  <c r="K149" i="4"/>
  <c r="T149" i="4" s="1"/>
  <c r="E150" i="4"/>
  <c r="N150" i="4" s="1"/>
  <c r="F150" i="4"/>
  <c r="O150" i="4" s="1"/>
  <c r="G150" i="4"/>
  <c r="P150" i="4" s="1"/>
  <c r="H150" i="4"/>
  <c r="Q150" i="4" s="1"/>
  <c r="I150" i="4"/>
  <c r="R150" i="4" s="1"/>
  <c r="J150" i="4"/>
  <c r="S150" i="4" s="1"/>
  <c r="K150" i="4"/>
  <c r="T150" i="4" s="1"/>
  <c r="E151" i="4"/>
  <c r="N151" i="4" s="1"/>
  <c r="F151" i="4"/>
  <c r="O151" i="4" s="1"/>
  <c r="G151" i="4"/>
  <c r="P151" i="4" s="1"/>
  <c r="H151" i="4"/>
  <c r="Q151" i="4" s="1"/>
  <c r="I151" i="4"/>
  <c r="R151" i="4" s="1"/>
  <c r="J151" i="4"/>
  <c r="S151" i="4" s="1"/>
  <c r="K151" i="4"/>
  <c r="T151" i="4" s="1"/>
  <c r="E152" i="4"/>
  <c r="N152" i="4" s="1"/>
  <c r="F152" i="4"/>
  <c r="O152" i="4" s="1"/>
  <c r="G152" i="4"/>
  <c r="P152" i="4" s="1"/>
  <c r="H152" i="4"/>
  <c r="Q152" i="4" s="1"/>
  <c r="I152" i="4"/>
  <c r="R152" i="4" s="1"/>
  <c r="J152" i="4"/>
  <c r="S152" i="4" s="1"/>
  <c r="K152" i="4"/>
  <c r="T152" i="4" s="1"/>
  <c r="E153" i="4"/>
  <c r="N153" i="4" s="1"/>
  <c r="F153" i="4"/>
  <c r="O153" i="4" s="1"/>
  <c r="G153" i="4"/>
  <c r="P153" i="4" s="1"/>
  <c r="H153" i="4"/>
  <c r="Q153" i="4" s="1"/>
  <c r="I153" i="4"/>
  <c r="R153" i="4" s="1"/>
  <c r="J153" i="4"/>
  <c r="S153" i="4" s="1"/>
  <c r="K153" i="4"/>
  <c r="T153" i="4" s="1"/>
  <c r="E154" i="4"/>
  <c r="N154" i="4" s="1"/>
  <c r="F154" i="4"/>
  <c r="O154" i="4" s="1"/>
  <c r="G154" i="4"/>
  <c r="P154" i="4" s="1"/>
  <c r="H154" i="4"/>
  <c r="Q154" i="4" s="1"/>
  <c r="I154" i="4"/>
  <c r="R154" i="4" s="1"/>
  <c r="J154" i="4"/>
  <c r="S154" i="4" s="1"/>
  <c r="K154" i="4"/>
  <c r="T154" i="4" s="1"/>
  <c r="E155" i="4"/>
  <c r="N155" i="4" s="1"/>
  <c r="F155" i="4"/>
  <c r="O155" i="4" s="1"/>
  <c r="G155" i="4"/>
  <c r="P155" i="4" s="1"/>
  <c r="H155" i="4"/>
  <c r="Q155" i="4" s="1"/>
  <c r="I155" i="4"/>
  <c r="R155" i="4" s="1"/>
  <c r="J155" i="4"/>
  <c r="S155" i="4" s="1"/>
  <c r="K155" i="4"/>
  <c r="T155" i="4" s="1"/>
  <c r="E156" i="4"/>
  <c r="N156" i="4" s="1"/>
  <c r="F156" i="4"/>
  <c r="O156" i="4" s="1"/>
  <c r="G156" i="4"/>
  <c r="P156" i="4" s="1"/>
  <c r="H156" i="4"/>
  <c r="Q156" i="4" s="1"/>
  <c r="I156" i="4"/>
  <c r="R156" i="4" s="1"/>
  <c r="J156" i="4"/>
  <c r="S156" i="4" s="1"/>
  <c r="K156" i="4"/>
  <c r="T156" i="4" s="1"/>
  <c r="E157" i="4"/>
  <c r="N157" i="4" s="1"/>
  <c r="F157" i="4"/>
  <c r="O157" i="4" s="1"/>
  <c r="G157" i="4"/>
  <c r="P157" i="4" s="1"/>
  <c r="H157" i="4"/>
  <c r="Q157" i="4" s="1"/>
  <c r="I157" i="4"/>
  <c r="R157" i="4" s="1"/>
  <c r="J157" i="4"/>
  <c r="S157" i="4" s="1"/>
  <c r="K157" i="4"/>
  <c r="T157" i="4" s="1"/>
  <c r="E158" i="4"/>
  <c r="N158" i="4" s="1"/>
  <c r="F158" i="4"/>
  <c r="O158" i="4" s="1"/>
  <c r="G158" i="4"/>
  <c r="P158" i="4" s="1"/>
  <c r="H158" i="4"/>
  <c r="Q158" i="4" s="1"/>
  <c r="I158" i="4"/>
  <c r="R158" i="4" s="1"/>
  <c r="J158" i="4"/>
  <c r="S158" i="4" s="1"/>
  <c r="K158" i="4"/>
  <c r="T158" i="4" s="1"/>
  <c r="E159" i="4"/>
  <c r="N159" i="4" s="1"/>
  <c r="F159" i="4"/>
  <c r="O159" i="4" s="1"/>
  <c r="G159" i="4"/>
  <c r="P159" i="4" s="1"/>
  <c r="H159" i="4"/>
  <c r="Q159" i="4" s="1"/>
  <c r="I159" i="4"/>
  <c r="R159" i="4" s="1"/>
  <c r="J159" i="4"/>
  <c r="S159" i="4" s="1"/>
  <c r="K159" i="4"/>
  <c r="T159" i="4" s="1"/>
  <c r="E160" i="4"/>
  <c r="N160" i="4" s="1"/>
  <c r="F160" i="4"/>
  <c r="O160" i="4" s="1"/>
  <c r="G160" i="4"/>
  <c r="P160" i="4" s="1"/>
  <c r="H160" i="4"/>
  <c r="Q160" i="4" s="1"/>
  <c r="I160" i="4"/>
  <c r="R160" i="4" s="1"/>
  <c r="J160" i="4"/>
  <c r="S160" i="4" s="1"/>
  <c r="K160" i="4"/>
  <c r="T160" i="4" s="1"/>
  <c r="E161" i="4"/>
  <c r="N161" i="4" s="1"/>
  <c r="F161" i="4"/>
  <c r="O161" i="4" s="1"/>
  <c r="G161" i="4"/>
  <c r="P161" i="4" s="1"/>
  <c r="H161" i="4"/>
  <c r="Q161" i="4" s="1"/>
  <c r="I161" i="4"/>
  <c r="R161" i="4" s="1"/>
  <c r="J161" i="4"/>
  <c r="S161" i="4" s="1"/>
  <c r="K161" i="4"/>
  <c r="T161" i="4" s="1"/>
  <c r="E162" i="4"/>
  <c r="N162" i="4" s="1"/>
  <c r="F162" i="4"/>
  <c r="O162" i="4" s="1"/>
  <c r="G162" i="4"/>
  <c r="P162" i="4" s="1"/>
  <c r="H162" i="4"/>
  <c r="Q162" i="4" s="1"/>
  <c r="I162" i="4"/>
  <c r="R162" i="4" s="1"/>
  <c r="J162" i="4"/>
  <c r="S162" i="4" s="1"/>
  <c r="K162" i="4"/>
  <c r="T162" i="4" s="1"/>
  <c r="E163" i="4"/>
  <c r="N163" i="4" s="1"/>
  <c r="F163" i="4"/>
  <c r="O163" i="4" s="1"/>
  <c r="G163" i="4"/>
  <c r="P163" i="4" s="1"/>
  <c r="H163" i="4"/>
  <c r="Q163" i="4" s="1"/>
  <c r="I163" i="4"/>
  <c r="R163" i="4" s="1"/>
  <c r="J163" i="4"/>
  <c r="S163" i="4" s="1"/>
  <c r="K163" i="4"/>
  <c r="T163" i="4" s="1"/>
  <c r="E164" i="4"/>
  <c r="N164" i="4" s="1"/>
  <c r="F164" i="4"/>
  <c r="O164" i="4" s="1"/>
  <c r="G164" i="4"/>
  <c r="P164" i="4" s="1"/>
  <c r="H164" i="4"/>
  <c r="Q164" i="4" s="1"/>
  <c r="I164" i="4"/>
  <c r="R164" i="4" s="1"/>
  <c r="J164" i="4"/>
  <c r="S164" i="4" s="1"/>
  <c r="K164" i="4"/>
  <c r="T164" i="4" s="1"/>
  <c r="E165" i="4"/>
  <c r="N165" i="4" s="1"/>
  <c r="F165" i="4"/>
  <c r="O165" i="4" s="1"/>
  <c r="G165" i="4"/>
  <c r="P165" i="4" s="1"/>
  <c r="H165" i="4"/>
  <c r="Q165" i="4" s="1"/>
  <c r="I165" i="4"/>
  <c r="R165" i="4" s="1"/>
  <c r="J165" i="4"/>
  <c r="S165" i="4" s="1"/>
  <c r="K165" i="4"/>
  <c r="T165" i="4" s="1"/>
  <c r="E166" i="4"/>
  <c r="N166" i="4" s="1"/>
  <c r="F166" i="4"/>
  <c r="O166" i="4" s="1"/>
  <c r="G166" i="4"/>
  <c r="P166" i="4" s="1"/>
  <c r="H166" i="4"/>
  <c r="Q166" i="4" s="1"/>
  <c r="I166" i="4"/>
  <c r="R166" i="4" s="1"/>
  <c r="J166" i="4"/>
  <c r="S166" i="4" s="1"/>
  <c r="K166" i="4"/>
  <c r="T166" i="4" s="1"/>
  <c r="E167" i="4"/>
  <c r="N167" i="4" s="1"/>
  <c r="F167" i="4"/>
  <c r="O167" i="4" s="1"/>
  <c r="G167" i="4"/>
  <c r="P167" i="4" s="1"/>
  <c r="H167" i="4"/>
  <c r="Q167" i="4" s="1"/>
  <c r="I167" i="4"/>
  <c r="R167" i="4" s="1"/>
  <c r="J167" i="4"/>
  <c r="S167" i="4" s="1"/>
  <c r="K167" i="4"/>
  <c r="T167" i="4" s="1"/>
  <c r="E168" i="4"/>
  <c r="N168" i="4" s="1"/>
  <c r="F168" i="4"/>
  <c r="O168" i="4" s="1"/>
  <c r="G168" i="4"/>
  <c r="P168" i="4" s="1"/>
  <c r="H168" i="4"/>
  <c r="Q168" i="4" s="1"/>
  <c r="I168" i="4"/>
  <c r="R168" i="4" s="1"/>
  <c r="J168" i="4"/>
  <c r="S168" i="4" s="1"/>
  <c r="K168" i="4"/>
  <c r="T168" i="4" s="1"/>
  <c r="E169" i="4"/>
  <c r="N169" i="4" s="1"/>
  <c r="F169" i="4"/>
  <c r="O169" i="4" s="1"/>
  <c r="G169" i="4"/>
  <c r="P169" i="4" s="1"/>
  <c r="H169" i="4"/>
  <c r="Q169" i="4" s="1"/>
  <c r="I169" i="4"/>
  <c r="R169" i="4" s="1"/>
  <c r="J169" i="4"/>
  <c r="S169" i="4" s="1"/>
  <c r="K169" i="4"/>
  <c r="T169" i="4" s="1"/>
  <c r="E170" i="4"/>
  <c r="N170" i="4" s="1"/>
  <c r="F170" i="4"/>
  <c r="O170" i="4" s="1"/>
  <c r="G170" i="4"/>
  <c r="P170" i="4" s="1"/>
  <c r="H170" i="4"/>
  <c r="Q170" i="4" s="1"/>
  <c r="I170" i="4"/>
  <c r="R170" i="4" s="1"/>
  <c r="J170" i="4"/>
  <c r="S170" i="4" s="1"/>
  <c r="K170" i="4"/>
  <c r="T170" i="4" s="1"/>
  <c r="E171" i="4"/>
  <c r="N171" i="4" s="1"/>
  <c r="F171" i="4"/>
  <c r="O171" i="4" s="1"/>
  <c r="G171" i="4"/>
  <c r="P171" i="4" s="1"/>
  <c r="H171" i="4"/>
  <c r="Q171" i="4" s="1"/>
  <c r="I171" i="4"/>
  <c r="R171" i="4" s="1"/>
  <c r="J171" i="4"/>
  <c r="S171" i="4" s="1"/>
  <c r="K171" i="4"/>
  <c r="T171" i="4" s="1"/>
  <c r="E172" i="4"/>
  <c r="N172" i="4" s="1"/>
  <c r="F172" i="4"/>
  <c r="O172" i="4" s="1"/>
  <c r="G172" i="4"/>
  <c r="P172" i="4" s="1"/>
  <c r="H172" i="4"/>
  <c r="Q172" i="4" s="1"/>
  <c r="I172" i="4"/>
  <c r="R172" i="4" s="1"/>
  <c r="J172" i="4"/>
  <c r="S172" i="4" s="1"/>
  <c r="K172" i="4"/>
  <c r="T172" i="4" s="1"/>
  <c r="E173" i="4"/>
  <c r="N173" i="4" s="1"/>
  <c r="F173" i="4"/>
  <c r="O173" i="4" s="1"/>
  <c r="G173" i="4"/>
  <c r="P173" i="4" s="1"/>
  <c r="H173" i="4"/>
  <c r="Q173" i="4" s="1"/>
  <c r="I173" i="4"/>
  <c r="R173" i="4" s="1"/>
  <c r="J173" i="4"/>
  <c r="S173" i="4" s="1"/>
  <c r="K173" i="4"/>
  <c r="T173" i="4" s="1"/>
  <c r="E174" i="4"/>
  <c r="N174" i="4" s="1"/>
  <c r="F174" i="4"/>
  <c r="O174" i="4" s="1"/>
  <c r="G174" i="4"/>
  <c r="P174" i="4" s="1"/>
  <c r="H174" i="4"/>
  <c r="Q174" i="4" s="1"/>
  <c r="I174" i="4"/>
  <c r="R174" i="4" s="1"/>
  <c r="J174" i="4"/>
  <c r="S174" i="4" s="1"/>
  <c r="K174" i="4"/>
  <c r="T174" i="4" s="1"/>
  <c r="E175" i="4"/>
  <c r="N175" i="4" s="1"/>
  <c r="F175" i="4"/>
  <c r="O175" i="4" s="1"/>
  <c r="G175" i="4"/>
  <c r="P175" i="4" s="1"/>
  <c r="H175" i="4"/>
  <c r="Q175" i="4" s="1"/>
  <c r="I175" i="4"/>
  <c r="R175" i="4" s="1"/>
  <c r="J175" i="4"/>
  <c r="S175" i="4" s="1"/>
  <c r="K175" i="4"/>
  <c r="T175" i="4" s="1"/>
  <c r="E176" i="4"/>
  <c r="N176" i="4" s="1"/>
  <c r="F176" i="4"/>
  <c r="O176" i="4" s="1"/>
  <c r="G176" i="4"/>
  <c r="P176" i="4" s="1"/>
  <c r="H176" i="4"/>
  <c r="Q176" i="4" s="1"/>
  <c r="I176" i="4"/>
  <c r="R176" i="4" s="1"/>
  <c r="J176" i="4"/>
  <c r="S176" i="4" s="1"/>
  <c r="K176" i="4"/>
  <c r="T176" i="4" s="1"/>
  <c r="E177" i="4"/>
  <c r="N177" i="4" s="1"/>
  <c r="F177" i="4"/>
  <c r="O177" i="4" s="1"/>
  <c r="G177" i="4"/>
  <c r="P177" i="4" s="1"/>
  <c r="H177" i="4"/>
  <c r="Q177" i="4" s="1"/>
  <c r="I177" i="4"/>
  <c r="R177" i="4" s="1"/>
  <c r="J177" i="4"/>
  <c r="S177" i="4" s="1"/>
  <c r="K177" i="4"/>
  <c r="T177" i="4" s="1"/>
  <c r="E178" i="4"/>
  <c r="N178" i="4" s="1"/>
  <c r="F178" i="4"/>
  <c r="O178" i="4" s="1"/>
  <c r="G178" i="4"/>
  <c r="P178" i="4" s="1"/>
  <c r="H178" i="4"/>
  <c r="Q178" i="4" s="1"/>
  <c r="I178" i="4"/>
  <c r="R178" i="4" s="1"/>
  <c r="J178" i="4"/>
  <c r="S178" i="4" s="1"/>
  <c r="K178" i="4"/>
  <c r="T178" i="4" s="1"/>
  <c r="E179" i="4"/>
  <c r="N179" i="4" s="1"/>
  <c r="F179" i="4"/>
  <c r="O179" i="4" s="1"/>
  <c r="G179" i="4"/>
  <c r="P179" i="4" s="1"/>
  <c r="H179" i="4"/>
  <c r="Q179" i="4" s="1"/>
  <c r="I179" i="4"/>
  <c r="R179" i="4" s="1"/>
  <c r="J179" i="4"/>
  <c r="S179" i="4" s="1"/>
  <c r="K179" i="4"/>
  <c r="T179" i="4" s="1"/>
  <c r="E180" i="4"/>
  <c r="N180" i="4" s="1"/>
  <c r="F180" i="4"/>
  <c r="O180" i="4" s="1"/>
  <c r="G180" i="4"/>
  <c r="P180" i="4" s="1"/>
  <c r="H180" i="4"/>
  <c r="Q180" i="4" s="1"/>
  <c r="I180" i="4"/>
  <c r="R180" i="4" s="1"/>
  <c r="J180" i="4"/>
  <c r="S180" i="4" s="1"/>
  <c r="K180" i="4"/>
  <c r="T180" i="4" s="1"/>
  <c r="E181" i="4"/>
  <c r="N181" i="4" s="1"/>
  <c r="F181" i="4"/>
  <c r="O181" i="4" s="1"/>
  <c r="G181" i="4"/>
  <c r="P181" i="4" s="1"/>
  <c r="H181" i="4"/>
  <c r="Q181" i="4" s="1"/>
  <c r="I181" i="4"/>
  <c r="R181" i="4" s="1"/>
  <c r="J181" i="4"/>
  <c r="S181" i="4" s="1"/>
  <c r="K181" i="4"/>
  <c r="T181" i="4" s="1"/>
  <c r="E182" i="4"/>
  <c r="N182" i="4" s="1"/>
  <c r="F182" i="4"/>
  <c r="O182" i="4" s="1"/>
  <c r="G182" i="4"/>
  <c r="P182" i="4" s="1"/>
  <c r="H182" i="4"/>
  <c r="Q182" i="4" s="1"/>
  <c r="I182" i="4"/>
  <c r="R182" i="4" s="1"/>
  <c r="J182" i="4"/>
  <c r="S182" i="4" s="1"/>
  <c r="K182" i="4"/>
  <c r="T182" i="4" s="1"/>
  <c r="E183" i="4"/>
  <c r="N183" i="4" s="1"/>
  <c r="F183" i="4"/>
  <c r="O183" i="4" s="1"/>
  <c r="G183" i="4"/>
  <c r="P183" i="4" s="1"/>
  <c r="H183" i="4"/>
  <c r="Q183" i="4" s="1"/>
  <c r="I183" i="4"/>
  <c r="R183" i="4" s="1"/>
  <c r="J183" i="4"/>
  <c r="S183" i="4" s="1"/>
  <c r="K183" i="4"/>
  <c r="T183" i="4" s="1"/>
  <c r="E184" i="4"/>
  <c r="N184" i="4" s="1"/>
  <c r="F184" i="4"/>
  <c r="O184" i="4" s="1"/>
  <c r="G184" i="4"/>
  <c r="P184" i="4" s="1"/>
  <c r="H184" i="4"/>
  <c r="Q184" i="4" s="1"/>
  <c r="I184" i="4"/>
  <c r="R184" i="4" s="1"/>
  <c r="J184" i="4"/>
  <c r="S184" i="4" s="1"/>
  <c r="K184" i="4"/>
  <c r="T184" i="4" s="1"/>
  <c r="E185" i="4"/>
  <c r="N185" i="4" s="1"/>
  <c r="F185" i="4"/>
  <c r="O185" i="4" s="1"/>
  <c r="G185" i="4"/>
  <c r="P185" i="4" s="1"/>
  <c r="H185" i="4"/>
  <c r="Q185" i="4" s="1"/>
  <c r="I185" i="4"/>
  <c r="R185" i="4" s="1"/>
  <c r="J185" i="4"/>
  <c r="S185" i="4" s="1"/>
  <c r="K185" i="4"/>
  <c r="T185" i="4" s="1"/>
  <c r="E186" i="4"/>
  <c r="N186" i="4" s="1"/>
  <c r="F186" i="4"/>
  <c r="O186" i="4" s="1"/>
  <c r="G186" i="4"/>
  <c r="P186" i="4" s="1"/>
  <c r="H186" i="4"/>
  <c r="Q186" i="4" s="1"/>
  <c r="I186" i="4"/>
  <c r="R186" i="4" s="1"/>
  <c r="J186" i="4"/>
  <c r="S186" i="4" s="1"/>
  <c r="K186" i="4"/>
  <c r="T186" i="4" s="1"/>
  <c r="E187" i="4"/>
  <c r="N187" i="4" s="1"/>
  <c r="F187" i="4"/>
  <c r="O187" i="4" s="1"/>
  <c r="G187" i="4"/>
  <c r="P187" i="4" s="1"/>
  <c r="H187" i="4"/>
  <c r="Q187" i="4" s="1"/>
  <c r="I187" i="4"/>
  <c r="R187" i="4" s="1"/>
  <c r="J187" i="4"/>
  <c r="S187" i="4" s="1"/>
  <c r="K187" i="4"/>
  <c r="T187" i="4" s="1"/>
  <c r="E188" i="4"/>
  <c r="N188" i="4" s="1"/>
  <c r="F188" i="4"/>
  <c r="O188" i="4" s="1"/>
  <c r="G188" i="4"/>
  <c r="P188" i="4" s="1"/>
  <c r="H188" i="4"/>
  <c r="Q188" i="4" s="1"/>
  <c r="I188" i="4"/>
  <c r="R188" i="4" s="1"/>
  <c r="J188" i="4"/>
  <c r="S188" i="4" s="1"/>
  <c r="K188" i="4"/>
  <c r="T188" i="4" s="1"/>
  <c r="E189" i="4"/>
  <c r="N189" i="4" s="1"/>
  <c r="F189" i="4"/>
  <c r="O189" i="4" s="1"/>
  <c r="G189" i="4"/>
  <c r="P189" i="4" s="1"/>
  <c r="H189" i="4"/>
  <c r="Q189" i="4" s="1"/>
  <c r="I189" i="4"/>
  <c r="R189" i="4" s="1"/>
  <c r="J189" i="4"/>
  <c r="S189" i="4" s="1"/>
  <c r="K189" i="4"/>
  <c r="T189" i="4" s="1"/>
  <c r="E190" i="4"/>
  <c r="N190" i="4" s="1"/>
  <c r="F190" i="4"/>
  <c r="O190" i="4" s="1"/>
  <c r="G190" i="4"/>
  <c r="P190" i="4" s="1"/>
  <c r="H190" i="4"/>
  <c r="Q190" i="4" s="1"/>
  <c r="I190" i="4"/>
  <c r="R190" i="4" s="1"/>
  <c r="J190" i="4"/>
  <c r="S190" i="4" s="1"/>
  <c r="K190" i="4"/>
  <c r="T190" i="4" s="1"/>
  <c r="E191" i="4"/>
  <c r="N191" i="4" s="1"/>
  <c r="F191" i="4"/>
  <c r="O191" i="4" s="1"/>
  <c r="G191" i="4"/>
  <c r="P191" i="4" s="1"/>
  <c r="H191" i="4"/>
  <c r="Q191" i="4" s="1"/>
  <c r="I191" i="4"/>
  <c r="R191" i="4" s="1"/>
  <c r="J191" i="4"/>
  <c r="S191" i="4" s="1"/>
  <c r="K191" i="4"/>
  <c r="T191" i="4" s="1"/>
  <c r="E192" i="4"/>
  <c r="N192" i="4" s="1"/>
  <c r="F192" i="4"/>
  <c r="O192" i="4" s="1"/>
  <c r="G192" i="4"/>
  <c r="P192" i="4" s="1"/>
  <c r="H192" i="4"/>
  <c r="Q192" i="4" s="1"/>
  <c r="I192" i="4"/>
  <c r="R192" i="4" s="1"/>
  <c r="J192" i="4"/>
  <c r="S192" i="4" s="1"/>
  <c r="K192" i="4"/>
  <c r="T192" i="4" s="1"/>
  <c r="E193" i="4"/>
  <c r="N193" i="4" s="1"/>
  <c r="F193" i="4"/>
  <c r="O193" i="4" s="1"/>
  <c r="G193" i="4"/>
  <c r="P193" i="4" s="1"/>
  <c r="H193" i="4"/>
  <c r="Q193" i="4" s="1"/>
  <c r="I193" i="4"/>
  <c r="R193" i="4" s="1"/>
  <c r="J193" i="4"/>
  <c r="S193" i="4" s="1"/>
  <c r="K193" i="4"/>
  <c r="T193" i="4" s="1"/>
  <c r="E194" i="4"/>
  <c r="N194" i="4" s="1"/>
  <c r="F194" i="4"/>
  <c r="O194" i="4" s="1"/>
  <c r="G194" i="4"/>
  <c r="P194" i="4" s="1"/>
  <c r="H194" i="4"/>
  <c r="Q194" i="4" s="1"/>
  <c r="I194" i="4"/>
  <c r="R194" i="4" s="1"/>
  <c r="J194" i="4"/>
  <c r="S194" i="4" s="1"/>
  <c r="K194" i="4"/>
  <c r="T194" i="4" s="1"/>
  <c r="E195" i="4"/>
  <c r="N195" i="4" s="1"/>
  <c r="F195" i="4"/>
  <c r="O195" i="4" s="1"/>
  <c r="G195" i="4"/>
  <c r="P195" i="4" s="1"/>
  <c r="H195" i="4"/>
  <c r="Q195" i="4" s="1"/>
  <c r="I195" i="4"/>
  <c r="R195" i="4" s="1"/>
  <c r="J195" i="4"/>
  <c r="S195" i="4" s="1"/>
  <c r="K195" i="4"/>
  <c r="T195" i="4" s="1"/>
  <c r="E196" i="4"/>
  <c r="N196" i="4" s="1"/>
  <c r="F196" i="4"/>
  <c r="O196" i="4" s="1"/>
  <c r="G196" i="4"/>
  <c r="P196" i="4" s="1"/>
  <c r="H196" i="4"/>
  <c r="Q196" i="4" s="1"/>
  <c r="I196" i="4"/>
  <c r="R196" i="4" s="1"/>
  <c r="J196" i="4"/>
  <c r="S196" i="4" s="1"/>
  <c r="K196" i="4"/>
  <c r="T196" i="4" s="1"/>
  <c r="E197" i="4"/>
  <c r="N197" i="4" s="1"/>
  <c r="F197" i="4"/>
  <c r="O197" i="4" s="1"/>
  <c r="G197" i="4"/>
  <c r="P197" i="4" s="1"/>
  <c r="H197" i="4"/>
  <c r="Q197" i="4" s="1"/>
  <c r="I197" i="4"/>
  <c r="R197" i="4" s="1"/>
  <c r="J197" i="4"/>
  <c r="S197" i="4" s="1"/>
  <c r="K197" i="4"/>
  <c r="T197" i="4" s="1"/>
  <c r="E198" i="4"/>
  <c r="F198" i="4"/>
  <c r="O198" i="4" s="1"/>
  <c r="G198" i="4"/>
  <c r="P198" i="4" s="1"/>
  <c r="H198" i="4"/>
  <c r="Q198" i="4" s="1"/>
  <c r="I198" i="4"/>
  <c r="R198" i="4" s="1"/>
  <c r="J198" i="4"/>
  <c r="S198" i="4" s="1"/>
  <c r="K198" i="4"/>
  <c r="T198" i="4" s="1"/>
  <c r="E199" i="4"/>
  <c r="N199" i="4" s="1"/>
  <c r="F199" i="4"/>
  <c r="O199" i="4" s="1"/>
  <c r="G199" i="4"/>
  <c r="P199" i="4" s="1"/>
  <c r="H199" i="4"/>
  <c r="Q199" i="4" s="1"/>
  <c r="I199" i="4"/>
  <c r="R199" i="4" s="1"/>
  <c r="J199" i="4"/>
  <c r="S199" i="4" s="1"/>
  <c r="K199" i="4"/>
  <c r="T199" i="4" s="1"/>
  <c r="E200" i="4"/>
  <c r="N200" i="4" s="1"/>
  <c r="F200" i="4"/>
  <c r="O200" i="4" s="1"/>
  <c r="G200" i="4"/>
  <c r="P200" i="4" s="1"/>
  <c r="H200" i="4"/>
  <c r="Q200" i="4" s="1"/>
  <c r="I200" i="4"/>
  <c r="R200" i="4" s="1"/>
  <c r="J200" i="4"/>
  <c r="S200" i="4" s="1"/>
  <c r="K200" i="4"/>
  <c r="T200" i="4" s="1"/>
  <c r="F6" i="4"/>
  <c r="G6" i="4"/>
  <c r="H6" i="4"/>
  <c r="I6" i="4"/>
  <c r="J6" i="4"/>
  <c r="K6" i="4"/>
  <c r="E6" i="4"/>
  <c r="G233" i="3"/>
  <c r="E248" i="3" s="1" a="1"/>
  <c r="E248" i="3" s="1"/>
  <c r="E249" i="3" s="1"/>
  <c r="E229" i="3" a="1"/>
  <c r="E229" i="3" s="1"/>
  <c r="R228" i="3"/>
  <c r="R226" i="3" a="1"/>
  <c r="R226" i="3" s="1"/>
  <c r="R209" i="3" a="1"/>
  <c r="R209" i="3" s="1"/>
  <c r="B209" i="3" a="1"/>
  <c r="B209" i="3" s="1"/>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N8" i="3"/>
  <c r="AO8" i="3"/>
  <c r="AP8" i="3"/>
  <c r="AQ8" i="3"/>
  <c r="AR8" i="3"/>
  <c r="AS8" i="3"/>
  <c r="AT8" i="3"/>
  <c r="AU8" i="3"/>
  <c r="AV8" i="3"/>
  <c r="AW8" i="3"/>
  <c r="AX8" i="3"/>
  <c r="AY8" i="3"/>
  <c r="AZ8" i="3"/>
  <c r="AN9" i="3"/>
  <c r="AO9" i="3"/>
  <c r="AP9" i="3"/>
  <c r="AQ9" i="3"/>
  <c r="AR9" i="3"/>
  <c r="AS9" i="3"/>
  <c r="AT9" i="3"/>
  <c r="AU9" i="3"/>
  <c r="AV9" i="3"/>
  <c r="AW9" i="3"/>
  <c r="AX9" i="3"/>
  <c r="AY9" i="3"/>
  <c r="AZ9" i="3"/>
  <c r="AN10" i="3"/>
  <c r="AO10" i="3"/>
  <c r="AP10" i="3"/>
  <c r="AQ10" i="3"/>
  <c r="AR10" i="3"/>
  <c r="AS10" i="3"/>
  <c r="AT10" i="3"/>
  <c r="AU10" i="3"/>
  <c r="AV10" i="3"/>
  <c r="AW10" i="3"/>
  <c r="AX10" i="3"/>
  <c r="AY10" i="3"/>
  <c r="AZ10" i="3"/>
  <c r="AN11" i="3"/>
  <c r="AO11" i="3"/>
  <c r="AP11" i="3"/>
  <c r="AQ11" i="3"/>
  <c r="AR11" i="3"/>
  <c r="AS11" i="3"/>
  <c r="AT11" i="3"/>
  <c r="AU11" i="3"/>
  <c r="AV11" i="3"/>
  <c r="AW11" i="3"/>
  <c r="AX11" i="3"/>
  <c r="AY11" i="3"/>
  <c r="AZ11" i="3"/>
  <c r="AN12" i="3"/>
  <c r="AO12" i="3"/>
  <c r="AP12" i="3"/>
  <c r="AQ12" i="3"/>
  <c r="AR12" i="3"/>
  <c r="AS12" i="3"/>
  <c r="AT12" i="3"/>
  <c r="AU12" i="3"/>
  <c r="AV12" i="3"/>
  <c r="AW12" i="3"/>
  <c r="AX12" i="3"/>
  <c r="AY12" i="3"/>
  <c r="AZ12" i="3"/>
  <c r="AN13" i="3"/>
  <c r="AO13" i="3"/>
  <c r="AP13" i="3"/>
  <c r="AQ13" i="3"/>
  <c r="AR13" i="3"/>
  <c r="AS13" i="3"/>
  <c r="AT13" i="3"/>
  <c r="AU13" i="3"/>
  <c r="AV13" i="3"/>
  <c r="AW13" i="3"/>
  <c r="AX13" i="3"/>
  <c r="AY13" i="3"/>
  <c r="AZ13" i="3"/>
  <c r="AN14" i="3"/>
  <c r="AO14" i="3"/>
  <c r="AP14" i="3"/>
  <c r="AQ14" i="3"/>
  <c r="AR14" i="3"/>
  <c r="AS14" i="3"/>
  <c r="AT14" i="3"/>
  <c r="AU14" i="3"/>
  <c r="AV14" i="3"/>
  <c r="AW14" i="3"/>
  <c r="AX14" i="3"/>
  <c r="AY14" i="3"/>
  <c r="AZ14" i="3"/>
  <c r="AN15" i="3"/>
  <c r="AO15" i="3"/>
  <c r="AP15" i="3"/>
  <c r="AQ15" i="3"/>
  <c r="AR15" i="3"/>
  <c r="AS15" i="3"/>
  <c r="AT15" i="3"/>
  <c r="AU15" i="3"/>
  <c r="AV15" i="3"/>
  <c r="AW15" i="3"/>
  <c r="AX15" i="3"/>
  <c r="AY15" i="3"/>
  <c r="AZ15" i="3"/>
  <c r="AN16" i="3"/>
  <c r="AO16" i="3"/>
  <c r="AP16" i="3"/>
  <c r="AQ16" i="3"/>
  <c r="AR16" i="3"/>
  <c r="AS16" i="3"/>
  <c r="AT16" i="3"/>
  <c r="AU16" i="3"/>
  <c r="AV16" i="3"/>
  <c r="AW16" i="3"/>
  <c r="AX16" i="3"/>
  <c r="AY16" i="3"/>
  <c r="AZ16" i="3"/>
  <c r="AN17" i="3"/>
  <c r="AO17" i="3"/>
  <c r="AP17" i="3"/>
  <c r="AQ17" i="3"/>
  <c r="AR17" i="3"/>
  <c r="AS17" i="3"/>
  <c r="AT17" i="3"/>
  <c r="AU17" i="3"/>
  <c r="AV17" i="3"/>
  <c r="AW17" i="3"/>
  <c r="AX17" i="3"/>
  <c r="AY17" i="3"/>
  <c r="AZ17" i="3"/>
  <c r="AN18" i="3"/>
  <c r="AO18" i="3"/>
  <c r="AP18" i="3"/>
  <c r="AQ18" i="3"/>
  <c r="AR18" i="3"/>
  <c r="AS18" i="3"/>
  <c r="AT18" i="3"/>
  <c r="AU18" i="3"/>
  <c r="AV18" i="3"/>
  <c r="AW18" i="3"/>
  <c r="AX18" i="3"/>
  <c r="AY18" i="3"/>
  <c r="AZ18" i="3"/>
  <c r="AN19" i="3"/>
  <c r="AO19" i="3"/>
  <c r="AP19" i="3"/>
  <c r="AQ19" i="3"/>
  <c r="AR19" i="3"/>
  <c r="AS19" i="3"/>
  <c r="AT19" i="3"/>
  <c r="AU19" i="3"/>
  <c r="AV19" i="3"/>
  <c r="AW19" i="3"/>
  <c r="AX19" i="3"/>
  <c r="AY19" i="3"/>
  <c r="AZ19" i="3"/>
  <c r="AN20" i="3"/>
  <c r="AO20" i="3"/>
  <c r="AP20" i="3"/>
  <c r="AQ20" i="3"/>
  <c r="AR20" i="3"/>
  <c r="AS20" i="3"/>
  <c r="AT20" i="3"/>
  <c r="AU20" i="3"/>
  <c r="AV20" i="3"/>
  <c r="AW20" i="3"/>
  <c r="AX20" i="3"/>
  <c r="AY20" i="3"/>
  <c r="AZ20" i="3"/>
  <c r="AN21" i="3"/>
  <c r="AO21" i="3"/>
  <c r="AP21" i="3"/>
  <c r="AQ21" i="3"/>
  <c r="AR21" i="3"/>
  <c r="AS21" i="3"/>
  <c r="AT21" i="3"/>
  <c r="AU21" i="3"/>
  <c r="AV21" i="3"/>
  <c r="AW21" i="3"/>
  <c r="AX21" i="3"/>
  <c r="AY21" i="3"/>
  <c r="AZ21" i="3"/>
  <c r="AN22" i="3"/>
  <c r="AO22" i="3"/>
  <c r="AP22" i="3"/>
  <c r="AQ22" i="3"/>
  <c r="AR22" i="3"/>
  <c r="AS22" i="3"/>
  <c r="AT22" i="3"/>
  <c r="AU22" i="3"/>
  <c r="AV22" i="3"/>
  <c r="AW22" i="3"/>
  <c r="AX22" i="3"/>
  <c r="AY22" i="3"/>
  <c r="AZ22" i="3"/>
  <c r="AN23" i="3"/>
  <c r="AO23" i="3"/>
  <c r="AP23" i="3"/>
  <c r="AQ23" i="3"/>
  <c r="AR23" i="3"/>
  <c r="AS23" i="3"/>
  <c r="AT23" i="3"/>
  <c r="AU23" i="3"/>
  <c r="AV23" i="3"/>
  <c r="AW23" i="3"/>
  <c r="AX23" i="3"/>
  <c r="AY23" i="3"/>
  <c r="AZ23" i="3"/>
  <c r="AN24" i="3"/>
  <c r="AO24" i="3"/>
  <c r="AP24" i="3"/>
  <c r="AQ24" i="3"/>
  <c r="AR24" i="3"/>
  <c r="AS24" i="3"/>
  <c r="AT24" i="3"/>
  <c r="AU24" i="3"/>
  <c r="AV24" i="3"/>
  <c r="AW24" i="3"/>
  <c r="AX24" i="3"/>
  <c r="AY24" i="3"/>
  <c r="AZ24" i="3"/>
  <c r="AN25" i="3"/>
  <c r="AO25" i="3"/>
  <c r="AP25" i="3"/>
  <c r="AQ25" i="3"/>
  <c r="AR25" i="3"/>
  <c r="AS25" i="3"/>
  <c r="AT25" i="3"/>
  <c r="AU25" i="3"/>
  <c r="AV25" i="3"/>
  <c r="AW25" i="3"/>
  <c r="AX25" i="3"/>
  <c r="AY25" i="3"/>
  <c r="AZ25" i="3"/>
  <c r="AN26" i="3"/>
  <c r="AO26" i="3"/>
  <c r="AP26" i="3"/>
  <c r="AQ26" i="3"/>
  <c r="AR26" i="3"/>
  <c r="AS26" i="3"/>
  <c r="AT26" i="3"/>
  <c r="AU26" i="3"/>
  <c r="AV26" i="3"/>
  <c r="AW26" i="3"/>
  <c r="AX26" i="3"/>
  <c r="AY26" i="3"/>
  <c r="AZ26" i="3"/>
  <c r="AN27" i="3"/>
  <c r="AO27" i="3"/>
  <c r="AP27" i="3"/>
  <c r="AQ27" i="3"/>
  <c r="AR27" i="3"/>
  <c r="AS27" i="3"/>
  <c r="AT27" i="3"/>
  <c r="AU27" i="3"/>
  <c r="AV27" i="3"/>
  <c r="AW27" i="3"/>
  <c r="AX27" i="3"/>
  <c r="AY27" i="3"/>
  <c r="AZ27" i="3"/>
  <c r="AN28" i="3"/>
  <c r="AO28" i="3"/>
  <c r="AP28" i="3"/>
  <c r="AQ28" i="3"/>
  <c r="AR28" i="3"/>
  <c r="AS28" i="3"/>
  <c r="AT28" i="3"/>
  <c r="AU28" i="3"/>
  <c r="AV28" i="3"/>
  <c r="AW28" i="3"/>
  <c r="AX28" i="3"/>
  <c r="AY28" i="3"/>
  <c r="AZ28" i="3"/>
  <c r="AN29" i="3"/>
  <c r="AO29" i="3"/>
  <c r="AP29" i="3"/>
  <c r="AQ29" i="3"/>
  <c r="AR29" i="3"/>
  <c r="AS29" i="3"/>
  <c r="AT29" i="3"/>
  <c r="AU29" i="3"/>
  <c r="AV29" i="3"/>
  <c r="AW29" i="3"/>
  <c r="AX29" i="3"/>
  <c r="AY29" i="3"/>
  <c r="AZ29" i="3"/>
  <c r="AN30" i="3"/>
  <c r="AO30" i="3"/>
  <c r="AP30" i="3"/>
  <c r="AQ30" i="3"/>
  <c r="AR30" i="3"/>
  <c r="AS30" i="3"/>
  <c r="AT30" i="3"/>
  <c r="AU30" i="3"/>
  <c r="AV30" i="3"/>
  <c r="AW30" i="3"/>
  <c r="AX30" i="3"/>
  <c r="AY30" i="3"/>
  <c r="AZ30" i="3"/>
  <c r="AN31" i="3"/>
  <c r="AO31" i="3"/>
  <c r="AP31" i="3"/>
  <c r="AQ31" i="3"/>
  <c r="AR31" i="3"/>
  <c r="AS31" i="3"/>
  <c r="AT31" i="3"/>
  <c r="AU31" i="3"/>
  <c r="AV31" i="3"/>
  <c r="AW31" i="3"/>
  <c r="AX31" i="3"/>
  <c r="AY31" i="3"/>
  <c r="AZ31" i="3"/>
  <c r="AN32" i="3"/>
  <c r="AO32" i="3"/>
  <c r="AP32" i="3"/>
  <c r="AQ32" i="3"/>
  <c r="AR32" i="3"/>
  <c r="AS32" i="3"/>
  <c r="AT32" i="3"/>
  <c r="AU32" i="3"/>
  <c r="AV32" i="3"/>
  <c r="AW32" i="3"/>
  <c r="AX32" i="3"/>
  <c r="AY32" i="3"/>
  <c r="AZ32" i="3"/>
  <c r="AN33" i="3"/>
  <c r="AO33" i="3"/>
  <c r="AP33" i="3"/>
  <c r="AQ33" i="3"/>
  <c r="AR33" i="3"/>
  <c r="AS33" i="3"/>
  <c r="AT33" i="3"/>
  <c r="AU33" i="3"/>
  <c r="AV33" i="3"/>
  <c r="AW33" i="3"/>
  <c r="AX33" i="3"/>
  <c r="AY33" i="3"/>
  <c r="AZ33" i="3"/>
  <c r="AN34" i="3"/>
  <c r="AO34" i="3"/>
  <c r="AP34" i="3"/>
  <c r="AQ34" i="3"/>
  <c r="AR34" i="3"/>
  <c r="AS34" i="3"/>
  <c r="AT34" i="3"/>
  <c r="AU34" i="3"/>
  <c r="AV34" i="3"/>
  <c r="AW34" i="3"/>
  <c r="AX34" i="3"/>
  <c r="AY34" i="3"/>
  <c r="AZ34" i="3"/>
  <c r="AN35" i="3"/>
  <c r="AO35" i="3"/>
  <c r="AP35" i="3"/>
  <c r="AQ35" i="3"/>
  <c r="AR35" i="3"/>
  <c r="AS35" i="3"/>
  <c r="AT35" i="3"/>
  <c r="AU35" i="3"/>
  <c r="AV35" i="3"/>
  <c r="AW35" i="3"/>
  <c r="AX35" i="3"/>
  <c r="AY35" i="3"/>
  <c r="AZ35" i="3"/>
  <c r="AN36" i="3"/>
  <c r="AO36" i="3"/>
  <c r="AP36" i="3"/>
  <c r="AQ36" i="3"/>
  <c r="AR36" i="3"/>
  <c r="AS36" i="3"/>
  <c r="AT36" i="3"/>
  <c r="AU36" i="3"/>
  <c r="AV36" i="3"/>
  <c r="AW36" i="3"/>
  <c r="AX36" i="3"/>
  <c r="AY36" i="3"/>
  <c r="AZ36" i="3"/>
  <c r="AN37" i="3"/>
  <c r="AO37" i="3"/>
  <c r="AP37" i="3"/>
  <c r="AQ37" i="3"/>
  <c r="AR37" i="3"/>
  <c r="AS37" i="3"/>
  <c r="AT37" i="3"/>
  <c r="AU37" i="3"/>
  <c r="AV37" i="3"/>
  <c r="AW37" i="3"/>
  <c r="AX37" i="3"/>
  <c r="AY37" i="3"/>
  <c r="AZ37" i="3"/>
  <c r="AN38" i="3"/>
  <c r="AO38" i="3"/>
  <c r="AP38" i="3"/>
  <c r="AQ38" i="3"/>
  <c r="AR38" i="3"/>
  <c r="AS38" i="3"/>
  <c r="AT38" i="3"/>
  <c r="AU38" i="3"/>
  <c r="AV38" i="3"/>
  <c r="AW38" i="3"/>
  <c r="AX38" i="3"/>
  <c r="AY38" i="3"/>
  <c r="AZ38" i="3"/>
  <c r="AN39" i="3"/>
  <c r="AO39" i="3"/>
  <c r="AP39" i="3"/>
  <c r="AQ39" i="3"/>
  <c r="AR39" i="3"/>
  <c r="AS39" i="3"/>
  <c r="AT39" i="3"/>
  <c r="AU39" i="3"/>
  <c r="AV39" i="3"/>
  <c r="AW39" i="3"/>
  <c r="AX39" i="3"/>
  <c r="AY39" i="3"/>
  <c r="AZ39" i="3"/>
  <c r="AN40" i="3"/>
  <c r="AO40" i="3"/>
  <c r="AP40" i="3"/>
  <c r="AQ40" i="3"/>
  <c r="AR40" i="3"/>
  <c r="AS40" i="3"/>
  <c r="AT40" i="3"/>
  <c r="AU40" i="3"/>
  <c r="AV40" i="3"/>
  <c r="AW40" i="3"/>
  <c r="AX40" i="3"/>
  <c r="AY40" i="3"/>
  <c r="AZ40" i="3"/>
  <c r="AN41" i="3"/>
  <c r="AO41" i="3"/>
  <c r="AP41" i="3"/>
  <c r="AQ41" i="3"/>
  <c r="AR41" i="3"/>
  <c r="AS41" i="3"/>
  <c r="AT41" i="3"/>
  <c r="AU41" i="3"/>
  <c r="AV41" i="3"/>
  <c r="AW41" i="3"/>
  <c r="AX41" i="3"/>
  <c r="AY41" i="3"/>
  <c r="AZ41" i="3"/>
  <c r="AN42" i="3"/>
  <c r="AO42" i="3"/>
  <c r="AP42" i="3"/>
  <c r="AQ42" i="3"/>
  <c r="AR42" i="3"/>
  <c r="AS42" i="3"/>
  <c r="AT42" i="3"/>
  <c r="AU42" i="3"/>
  <c r="AV42" i="3"/>
  <c r="AW42" i="3"/>
  <c r="AX42" i="3"/>
  <c r="AY42" i="3"/>
  <c r="AZ42" i="3"/>
  <c r="AN43" i="3"/>
  <c r="AO43" i="3"/>
  <c r="AP43" i="3"/>
  <c r="AQ43" i="3"/>
  <c r="AR43" i="3"/>
  <c r="AS43" i="3"/>
  <c r="AT43" i="3"/>
  <c r="AU43" i="3"/>
  <c r="AV43" i="3"/>
  <c r="AW43" i="3"/>
  <c r="AX43" i="3"/>
  <c r="AY43" i="3"/>
  <c r="AZ43" i="3"/>
  <c r="AN44" i="3"/>
  <c r="AO44" i="3"/>
  <c r="AP44" i="3"/>
  <c r="AQ44" i="3"/>
  <c r="AR44" i="3"/>
  <c r="AS44" i="3"/>
  <c r="AT44" i="3"/>
  <c r="AU44" i="3"/>
  <c r="AV44" i="3"/>
  <c r="AW44" i="3"/>
  <c r="AX44" i="3"/>
  <c r="AY44" i="3"/>
  <c r="AZ44" i="3"/>
  <c r="AN45" i="3"/>
  <c r="AO45" i="3"/>
  <c r="AP45" i="3"/>
  <c r="AQ45" i="3"/>
  <c r="AR45" i="3"/>
  <c r="AS45" i="3"/>
  <c r="AT45" i="3"/>
  <c r="AU45" i="3"/>
  <c r="AV45" i="3"/>
  <c r="AW45" i="3"/>
  <c r="AX45" i="3"/>
  <c r="AY45" i="3"/>
  <c r="AZ45" i="3"/>
  <c r="AN46" i="3"/>
  <c r="AO46" i="3"/>
  <c r="AP46" i="3"/>
  <c r="AQ46" i="3"/>
  <c r="AR46" i="3"/>
  <c r="AS46" i="3"/>
  <c r="AT46" i="3"/>
  <c r="AU46" i="3"/>
  <c r="AV46" i="3"/>
  <c r="AW46" i="3"/>
  <c r="AX46" i="3"/>
  <c r="AY46" i="3"/>
  <c r="AZ46" i="3"/>
  <c r="AN47" i="3"/>
  <c r="AO47" i="3"/>
  <c r="AP47" i="3"/>
  <c r="AQ47" i="3"/>
  <c r="AR47" i="3"/>
  <c r="AS47" i="3"/>
  <c r="AT47" i="3"/>
  <c r="AU47" i="3"/>
  <c r="AV47" i="3"/>
  <c r="AW47" i="3"/>
  <c r="AX47" i="3"/>
  <c r="AY47" i="3"/>
  <c r="AZ47" i="3"/>
  <c r="AN48" i="3"/>
  <c r="AO48" i="3"/>
  <c r="AP48" i="3"/>
  <c r="AQ48" i="3"/>
  <c r="AR48" i="3"/>
  <c r="AS48" i="3"/>
  <c r="AT48" i="3"/>
  <c r="AU48" i="3"/>
  <c r="AV48" i="3"/>
  <c r="AW48" i="3"/>
  <c r="AX48" i="3"/>
  <c r="AY48" i="3"/>
  <c r="AZ48" i="3"/>
  <c r="AN49" i="3"/>
  <c r="AO49" i="3"/>
  <c r="AP49" i="3"/>
  <c r="AQ49" i="3"/>
  <c r="AR49" i="3"/>
  <c r="AS49" i="3"/>
  <c r="AT49" i="3"/>
  <c r="AU49" i="3"/>
  <c r="AV49" i="3"/>
  <c r="AW49" i="3"/>
  <c r="AX49" i="3"/>
  <c r="AY49" i="3"/>
  <c r="AZ49" i="3"/>
  <c r="AN50" i="3"/>
  <c r="AO50" i="3"/>
  <c r="AP50" i="3"/>
  <c r="AQ50" i="3"/>
  <c r="AR50" i="3"/>
  <c r="AS50" i="3"/>
  <c r="AT50" i="3"/>
  <c r="AU50" i="3"/>
  <c r="AV50" i="3"/>
  <c r="AW50" i="3"/>
  <c r="AX50" i="3"/>
  <c r="AY50" i="3"/>
  <c r="AZ50" i="3"/>
  <c r="AN51" i="3"/>
  <c r="AO51" i="3"/>
  <c r="AP51" i="3"/>
  <c r="AQ51" i="3"/>
  <c r="AR51" i="3"/>
  <c r="AS51" i="3"/>
  <c r="AT51" i="3"/>
  <c r="AU51" i="3"/>
  <c r="AV51" i="3"/>
  <c r="AW51" i="3"/>
  <c r="AX51" i="3"/>
  <c r="AY51" i="3"/>
  <c r="AZ51" i="3"/>
  <c r="AN52" i="3"/>
  <c r="AO52" i="3"/>
  <c r="AP52" i="3"/>
  <c r="AQ52" i="3"/>
  <c r="AR52" i="3"/>
  <c r="AS52" i="3"/>
  <c r="AT52" i="3"/>
  <c r="AU52" i="3"/>
  <c r="AV52" i="3"/>
  <c r="AW52" i="3"/>
  <c r="AX52" i="3"/>
  <c r="AY52" i="3"/>
  <c r="AZ52" i="3"/>
  <c r="AN53" i="3"/>
  <c r="AO53" i="3"/>
  <c r="AP53" i="3"/>
  <c r="AQ53" i="3"/>
  <c r="AR53" i="3"/>
  <c r="AS53" i="3"/>
  <c r="AT53" i="3"/>
  <c r="AU53" i="3"/>
  <c r="AV53" i="3"/>
  <c r="AW53" i="3"/>
  <c r="AX53" i="3"/>
  <c r="AY53" i="3"/>
  <c r="AZ53" i="3"/>
  <c r="AN54" i="3"/>
  <c r="AO54" i="3"/>
  <c r="AP54" i="3"/>
  <c r="AQ54" i="3"/>
  <c r="AR54" i="3"/>
  <c r="AS54" i="3"/>
  <c r="AT54" i="3"/>
  <c r="AU54" i="3"/>
  <c r="AV54" i="3"/>
  <c r="AW54" i="3"/>
  <c r="AX54" i="3"/>
  <c r="AY54" i="3"/>
  <c r="AZ54" i="3"/>
  <c r="AN55" i="3"/>
  <c r="AO55" i="3"/>
  <c r="AP55" i="3"/>
  <c r="AQ55" i="3"/>
  <c r="AR55" i="3"/>
  <c r="AS55" i="3"/>
  <c r="AT55" i="3"/>
  <c r="AU55" i="3"/>
  <c r="AV55" i="3"/>
  <c r="AW55" i="3"/>
  <c r="AX55" i="3"/>
  <c r="AY55" i="3"/>
  <c r="AZ55" i="3"/>
  <c r="AN56" i="3"/>
  <c r="AO56" i="3"/>
  <c r="AP56" i="3"/>
  <c r="AQ56" i="3"/>
  <c r="AR56" i="3"/>
  <c r="AS56" i="3"/>
  <c r="AT56" i="3"/>
  <c r="AU56" i="3"/>
  <c r="AV56" i="3"/>
  <c r="AW56" i="3"/>
  <c r="AX56" i="3"/>
  <c r="AY56" i="3"/>
  <c r="AZ56" i="3"/>
  <c r="AN57" i="3"/>
  <c r="AO57" i="3"/>
  <c r="AP57" i="3"/>
  <c r="AQ57" i="3"/>
  <c r="AR57" i="3"/>
  <c r="AS57" i="3"/>
  <c r="AT57" i="3"/>
  <c r="AU57" i="3"/>
  <c r="AV57" i="3"/>
  <c r="AW57" i="3"/>
  <c r="AX57" i="3"/>
  <c r="AY57" i="3"/>
  <c r="AZ57" i="3"/>
  <c r="AN58" i="3"/>
  <c r="AO58" i="3"/>
  <c r="AP58" i="3"/>
  <c r="AQ58" i="3"/>
  <c r="AR58" i="3"/>
  <c r="AS58" i="3"/>
  <c r="AT58" i="3"/>
  <c r="AU58" i="3"/>
  <c r="AV58" i="3"/>
  <c r="AW58" i="3"/>
  <c r="AX58" i="3"/>
  <c r="AY58" i="3"/>
  <c r="AZ58" i="3"/>
  <c r="AN59" i="3"/>
  <c r="AO59" i="3"/>
  <c r="AP59" i="3"/>
  <c r="AQ59" i="3"/>
  <c r="AR59" i="3"/>
  <c r="AS59" i="3"/>
  <c r="AT59" i="3"/>
  <c r="AU59" i="3"/>
  <c r="AV59" i="3"/>
  <c r="AW59" i="3"/>
  <c r="AX59" i="3"/>
  <c r="AY59" i="3"/>
  <c r="AZ59" i="3"/>
  <c r="AN60" i="3"/>
  <c r="AO60" i="3"/>
  <c r="AP60" i="3"/>
  <c r="AQ60" i="3"/>
  <c r="AR60" i="3"/>
  <c r="AS60" i="3"/>
  <c r="AT60" i="3"/>
  <c r="AU60" i="3"/>
  <c r="AV60" i="3"/>
  <c r="AW60" i="3"/>
  <c r="AX60" i="3"/>
  <c r="AY60" i="3"/>
  <c r="AZ60" i="3"/>
  <c r="AN61" i="3"/>
  <c r="AO61" i="3"/>
  <c r="AP61" i="3"/>
  <c r="AQ61" i="3"/>
  <c r="AR61" i="3"/>
  <c r="AS61" i="3"/>
  <c r="AT61" i="3"/>
  <c r="AU61" i="3"/>
  <c r="AV61" i="3"/>
  <c r="AW61" i="3"/>
  <c r="AX61" i="3"/>
  <c r="AY61" i="3"/>
  <c r="AZ61" i="3"/>
  <c r="AN62" i="3"/>
  <c r="AO62" i="3"/>
  <c r="AP62" i="3"/>
  <c r="AQ62" i="3"/>
  <c r="AR62" i="3"/>
  <c r="AS62" i="3"/>
  <c r="AT62" i="3"/>
  <c r="AU62" i="3"/>
  <c r="AV62" i="3"/>
  <c r="AW62" i="3"/>
  <c r="AX62" i="3"/>
  <c r="AY62" i="3"/>
  <c r="AZ62" i="3"/>
  <c r="AN63" i="3"/>
  <c r="AO63" i="3"/>
  <c r="AP63" i="3"/>
  <c r="AQ63" i="3"/>
  <c r="AR63" i="3"/>
  <c r="AS63" i="3"/>
  <c r="AT63" i="3"/>
  <c r="AU63" i="3"/>
  <c r="AV63" i="3"/>
  <c r="AW63" i="3"/>
  <c r="AX63" i="3"/>
  <c r="AY63" i="3"/>
  <c r="AZ63" i="3"/>
  <c r="AN64" i="3"/>
  <c r="AO64" i="3"/>
  <c r="AP64" i="3"/>
  <c r="AQ64" i="3"/>
  <c r="AR64" i="3"/>
  <c r="AS64" i="3"/>
  <c r="AT64" i="3"/>
  <c r="AU64" i="3"/>
  <c r="AV64" i="3"/>
  <c r="AW64" i="3"/>
  <c r="AX64" i="3"/>
  <c r="AY64" i="3"/>
  <c r="AZ64" i="3"/>
  <c r="AN65" i="3"/>
  <c r="AO65" i="3"/>
  <c r="AP65" i="3"/>
  <c r="AQ65" i="3"/>
  <c r="AR65" i="3"/>
  <c r="AS65" i="3"/>
  <c r="AT65" i="3"/>
  <c r="AU65" i="3"/>
  <c r="AV65" i="3"/>
  <c r="AW65" i="3"/>
  <c r="AX65" i="3"/>
  <c r="AY65" i="3"/>
  <c r="AZ65" i="3"/>
  <c r="AN66" i="3"/>
  <c r="AO66" i="3"/>
  <c r="AP66" i="3"/>
  <c r="AQ66" i="3"/>
  <c r="AR66" i="3"/>
  <c r="AS66" i="3"/>
  <c r="AT66" i="3"/>
  <c r="AU66" i="3"/>
  <c r="AV66" i="3"/>
  <c r="AW66" i="3"/>
  <c r="AX66" i="3"/>
  <c r="AY66" i="3"/>
  <c r="AZ66" i="3"/>
  <c r="AN67" i="3"/>
  <c r="AO67" i="3"/>
  <c r="AP67" i="3"/>
  <c r="AQ67" i="3"/>
  <c r="AR67" i="3"/>
  <c r="AS67" i="3"/>
  <c r="AT67" i="3"/>
  <c r="AU67" i="3"/>
  <c r="AV67" i="3"/>
  <c r="AW67" i="3"/>
  <c r="AX67" i="3"/>
  <c r="AY67" i="3"/>
  <c r="AZ67" i="3"/>
  <c r="AN68" i="3"/>
  <c r="AO68" i="3"/>
  <c r="AP68" i="3"/>
  <c r="AQ68" i="3"/>
  <c r="AR68" i="3"/>
  <c r="AS68" i="3"/>
  <c r="AT68" i="3"/>
  <c r="AU68" i="3"/>
  <c r="AV68" i="3"/>
  <c r="AW68" i="3"/>
  <c r="AX68" i="3"/>
  <c r="AY68" i="3"/>
  <c r="AZ68" i="3"/>
  <c r="AN69" i="3"/>
  <c r="AO69" i="3"/>
  <c r="AP69" i="3"/>
  <c r="AQ69" i="3"/>
  <c r="AR69" i="3"/>
  <c r="AS69" i="3"/>
  <c r="AT69" i="3"/>
  <c r="AU69" i="3"/>
  <c r="AV69" i="3"/>
  <c r="AW69" i="3"/>
  <c r="AX69" i="3"/>
  <c r="AY69" i="3"/>
  <c r="AZ69" i="3"/>
  <c r="AN70" i="3"/>
  <c r="AO70" i="3"/>
  <c r="AP70" i="3"/>
  <c r="AQ70" i="3"/>
  <c r="AR70" i="3"/>
  <c r="AS70" i="3"/>
  <c r="AT70" i="3"/>
  <c r="AU70" i="3"/>
  <c r="AV70" i="3"/>
  <c r="AW70" i="3"/>
  <c r="AX70" i="3"/>
  <c r="AY70" i="3"/>
  <c r="AZ70" i="3"/>
  <c r="AN71" i="3"/>
  <c r="AO71" i="3"/>
  <c r="AP71" i="3"/>
  <c r="AQ71" i="3"/>
  <c r="AR71" i="3"/>
  <c r="AS71" i="3"/>
  <c r="AT71" i="3"/>
  <c r="AU71" i="3"/>
  <c r="AV71" i="3"/>
  <c r="AW71" i="3"/>
  <c r="AX71" i="3"/>
  <c r="AY71" i="3"/>
  <c r="AZ71" i="3"/>
  <c r="AN72" i="3"/>
  <c r="AO72" i="3"/>
  <c r="AP72" i="3"/>
  <c r="AQ72" i="3"/>
  <c r="AR72" i="3"/>
  <c r="AS72" i="3"/>
  <c r="AT72" i="3"/>
  <c r="AU72" i="3"/>
  <c r="AV72" i="3"/>
  <c r="AW72" i="3"/>
  <c r="AX72" i="3"/>
  <c r="AY72" i="3"/>
  <c r="AZ72" i="3"/>
  <c r="AN73" i="3"/>
  <c r="AO73" i="3"/>
  <c r="AP73" i="3"/>
  <c r="AQ73" i="3"/>
  <c r="AR73" i="3"/>
  <c r="AS73" i="3"/>
  <c r="AT73" i="3"/>
  <c r="AU73" i="3"/>
  <c r="AV73" i="3"/>
  <c r="AW73" i="3"/>
  <c r="AX73" i="3"/>
  <c r="AY73" i="3"/>
  <c r="AZ73" i="3"/>
  <c r="AN74" i="3"/>
  <c r="AO74" i="3"/>
  <c r="AP74" i="3"/>
  <c r="AQ74" i="3"/>
  <c r="AR74" i="3"/>
  <c r="AS74" i="3"/>
  <c r="AT74" i="3"/>
  <c r="AU74" i="3"/>
  <c r="AV74" i="3"/>
  <c r="AW74" i="3"/>
  <c r="AX74" i="3"/>
  <c r="AY74" i="3"/>
  <c r="AZ74" i="3"/>
  <c r="AN75" i="3"/>
  <c r="AO75" i="3"/>
  <c r="AP75" i="3"/>
  <c r="AQ75" i="3"/>
  <c r="AR75" i="3"/>
  <c r="AS75" i="3"/>
  <c r="AT75" i="3"/>
  <c r="AU75" i="3"/>
  <c r="AV75" i="3"/>
  <c r="AW75" i="3"/>
  <c r="AX75" i="3"/>
  <c r="AY75" i="3"/>
  <c r="AZ75" i="3"/>
  <c r="AN76" i="3"/>
  <c r="AO76" i="3"/>
  <c r="AP76" i="3"/>
  <c r="AQ76" i="3"/>
  <c r="AR76" i="3"/>
  <c r="AS76" i="3"/>
  <c r="AT76" i="3"/>
  <c r="AU76" i="3"/>
  <c r="AV76" i="3"/>
  <c r="AW76" i="3"/>
  <c r="AX76" i="3"/>
  <c r="AY76" i="3"/>
  <c r="AZ76" i="3"/>
  <c r="AN77" i="3"/>
  <c r="AO77" i="3"/>
  <c r="AP77" i="3"/>
  <c r="AQ77" i="3"/>
  <c r="AR77" i="3"/>
  <c r="AS77" i="3"/>
  <c r="AT77" i="3"/>
  <c r="AU77" i="3"/>
  <c r="AV77" i="3"/>
  <c r="AW77" i="3"/>
  <c r="AX77" i="3"/>
  <c r="AY77" i="3"/>
  <c r="AZ77" i="3"/>
  <c r="AN78" i="3"/>
  <c r="AO78" i="3"/>
  <c r="AP78" i="3"/>
  <c r="AQ78" i="3"/>
  <c r="AR78" i="3"/>
  <c r="AS78" i="3"/>
  <c r="AT78" i="3"/>
  <c r="AU78" i="3"/>
  <c r="AV78" i="3"/>
  <c r="AW78" i="3"/>
  <c r="AX78" i="3"/>
  <c r="AY78" i="3"/>
  <c r="AZ78" i="3"/>
  <c r="AN79" i="3"/>
  <c r="AO79" i="3"/>
  <c r="AP79" i="3"/>
  <c r="AQ79" i="3"/>
  <c r="AR79" i="3"/>
  <c r="AS79" i="3"/>
  <c r="AT79" i="3"/>
  <c r="AU79" i="3"/>
  <c r="AV79" i="3"/>
  <c r="AW79" i="3"/>
  <c r="AX79" i="3"/>
  <c r="AY79" i="3"/>
  <c r="AZ79" i="3"/>
  <c r="AN80" i="3"/>
  <c r="AO80" i="3"/>
  <c r="AP80" i="3"/>
  <c r="AQ80" i="3"/>
  <c r="AR80" i="3"/>
  <c r="AS80" i="3"/>
  <c r="AT80" i="3"/>
  <c r="AU80" i="3"/>
  <c r="AV80" i="3"/>
  <c r="AW80" i="3"/>
  <c r="AX80" i="3"/>
  <c r="AY80" i="3"/>
  <c r="AZ80" i="3"/>
  <c r="AN81" i="3"/>
  <c r="AO81" i="3"/>
  <c r="AP81" i="3"/>
  <c r="AQ81" i="3"/>
  <c r="AR81" i="3"/>
  <c r="AS81" i="3"/>
  <c r="AT81" i="3"/>
  <c r="AU81" i="3"/>
  <c r="AV81" i="3"/>
  <c r="AW81" i="3"/>
  <c r="AX81" i="3"/>
  <c r="AY81" i="3"/>
  <c r="AZ81" i="3"/>
  <c r="AN82" i="3"/>
  <c r="AO82" i="3"/>
  <c r="AP82" i="3"/>
  <c r="AQ82" i="3"/>
  <c r="AR82" i="3"/>
  <c r="AS82" i="3"/>
  <c r="AT82" i="3"/>
  <c r="AU82" i="3"/>
  <c r="AV82" i="3"/>
  <c r="AW82" i="3"/>
  <c r="AX82" i="3"/>
  <c r="AY82" i="3"/>
  <c r="AZ82" i="3"/>
  <c r="AN83" i="3"/>
  <c r="AO83" i="3"/>
  <c r="AP83" i="3"/>
  <c r="AQ83" i="3"/>
  <c r="AR83" i="3"/>
  <c r="AS83" i="3"/>
  <c r="AT83" i="3"/>
  <c r="AU83" i="3"/>
  <c r="AV83" i="3"/>
  <c r="AW83" i="3"/>
  <c r="AX83" i="3"/>
  <c r="AY83" i="3"/>
  <c r="AZ83" i="3"/>
  <c r="AN84" i="3"/>
  <c r="AO84" i="3"/>
  <c r="AP84" i="3"/>
  <c r="AQ84" i="3"/>
  <c r="AR84" i="3"/>
  <c r="AS84" i="3"/>
  <c r="AT84" i="3"/>
  <c r="AU84" i="3"/>
  <c r="AV84" i="3"/>
  <c r="AW84" i="3"/>
  <c r="AX84" i="3"/>
  <c r="AY84" i="3"/>
  <c r="AZ84" i="3"/>
  <c r="AN85" i="3"/>
  <c r="AO85" i="3"/>
  <c r="AP85" i="3"/>
  <c r="AQ85" i="3"/>
  <c r="AR85" i="3"/>
  <c r="AS85" i="3"/>
  <c r="AT85" i="3"/>
  <c r="AU85" i="3"/>
  <c r="AV85" i="3"/>
  <c r="AW85" i="3"/>
  <c r="AX85" i="3"/>
  <c r="AY85" i="3"/>
  <c r="AZ85" i="3"/>
  <c r="AN86" i="3"/>
  <c r="AO86" i="3"/>
  <c r="AP86" i="3"/>
  <c r="AQ86" i="3"/>
  <c r="AR86" i="3"/>
  <c r="AS86" i="3"/>
  <c r="AT86" i="3"/>
  <c r="AU86" i="3"/>
  <c r="AV86" i="3"/>
  <c r="AW86" i="3"/>
  <c r="AX86" i="3"/>
  <c r="AY86" i="3"/>
  <c r="AZ86" i="3"/>
  <c r="AN87" i="3"/>
  <c r="AO87" i="3"/>
  <c r="AP87" i="3"/>
  <c r="AQ87" i="3"/>
  <c r="AR87" i="3"/>
  <c r="AS87" i="3"/>
  <c r="AT87" i="3"/>
  <c r="AU87" i="3"/>
  <c r="AV87" i="3"/>
  <c r="AW87" i="3"/>
  <c r="AX87" i="3"/>
  <c r="AY87" i="3"/>
  <c r="AZ87" i="3"/>
  <c r="AN88" i="3"/>
  <c r="AO88" i="3"/>
  <c r="AP88" i="3"/>
  <c r="AQ88" i="3"/>
  <c r="AR88" i="3"/>
  <c r="AS88" i="3"/>
  <c r="AT88" i="3"/>
  <c r="AU88" i="3"/>
  <c r="AV88" i="3"/>
  <c r="AW88" i="3"/>
  <c r="AX88" i="3"/>
  <c r="AY88" i="3"/>
  <c r="AZ88" i="3"/>
  <c r="AN89" i="3"/>
  <c r="AO89" i="3"/>
  <c r="AP89" i="3"/>
  <c r="AQ89" i="3"/>
  <c r="AR89" i="3"/>
  <c r="AS89" i="3"/>
  <c r="AT89" i="3"/>
  <c r="AU89" i="3"/>
  <c r="AV89" i="3"/>
  <c r="AW89" i="3"/>
  <c r="AX89" i="3"/>
  <c r="AY89" i="3"/>
  <c r="AZ89" i="3"/>
  <c r="AN90" i="3"/>
  <c r="AO90" i="3"/>
  <c r="AP90" i="3"/>
  <c r="AQ90" i="3"/>
  <c r="AR90" i="3"/>
  <c r="AS90" i="3"/>
  <c r="AT90" i="3"/>
  <c r="AU90" i="3"/>
  <c r="AV90" i="3"/>
  <c r="AW90" i="3"/>
  <c r="AX90" i="3"/>
  <c r="AY90" i="3"/>
  <c r="AZ90" i="3"/>
  <c r="AN91" i="3"/>
  <c r="AO91" i="3"/>
  <c r="AP91" i="3"/>
  <c r="AQ91" i="3"/>
  <c r="AR91" i="3"/>
  <c r="AS91" i="3"/>
  <c r="AT91" i="3"/>
  <c r="AU91" i="3"/>
  <c r="AV91" i="3"/>
  <c r="AW91" i="3"/>
  <c r="AX91" i="3"/>
  <c r="AY91" i="3"/>
  <c r="AZ91" i="3"/>
  <c r="AN92" i="3"/>
  <c r="AO92" i="3"/>
  <c r="AP92" i="3"/>
  <c r="AQ92" i="3"/>
  <c r="AR92" i="3"/>
  <c r="AS92" i="3"/>
  <c r="AT92" i="3"/>
  <c r="AU92" i="3"/>
  <c r="AV92" i="3"/>
  <c r="AW92" i="3"/>
  <c r="AX92" i="3"/>
  <c r="AY92" i="3"/>
  <c r="AZ92" i="3"/>
  <c r="AN93" i="3"/>
  <c r="AO93" i="3"/>
  <c r="AP93" i="3"/>
  <c r="AQ93" i="3"/>
  <c r="AR93" i="3"/>
  <c r="AS93" i="3"/>
  <c r="AT93" i="3"/>
  <c r="AU93" i="3"/>
  <c r="AV93" i="3"/>
  <c r="AW93" i="3"/>
  <c r="AX93" i="3"/>
  <c r="AY93" i="3"/>
  <c r="AZ93" i="3"/>
  <c r="AN94" i="3"/>
  <c r="AO94" i="3"/>
  <c r="AP94" i="3"/>
  <c r="AQ94" i="3"/>
  <c r="AR94" i="3"/>
  <c r="AS94" i="3"/>
  <c r="AT94" i="3"/>
  <c r="AU94" i="3"/>
  <c r="AV94" i="3"/>
  <c r="AW94" i="3"/>
  <c r="AX94" i="3"/>
  <c r="AY94" i="3"/>
  <c r="AZ94" i="3"/>
  <c r="AN95" i="3"/>
  <c r="AO95" i="3"/>
  <c r="AP95" i="3"/>
  <c r="AQ95" i="3"/>
  <c r="AR95" i="3"/>
  <c r="AS95" i="3"/>
  <c r="AT95" i="3"/>
  <c r="AU95" i="3"/>
  <c r="AV95" i="3"/>
  <c r="AW95" i="3"/>
  <c r="AX95" i="3"/>
  <c r="AY95" i="3"/>
  <c r="AZ95" i="3"/>
  <c r="AN96" i="3"/>
  <c r="AO96" i="3"/>
  <c r="AP96" i="3"/>
  <c r="AQ96" i="3"/>
  <c r="AR96" i="3"/>
  <c r="AS96" i="3"/>
  <c r="AT96" i="3"/>
  <c r="AU96" i="3"/>
  <c r="AV96" i="3"/>
  <c r="AW96" i="3"/>
  <c r="AX96" i="3"/>
  <c r="AY96" i="3"/>
  <c r="AZ96" i="3"/>
  <c r="AN97" i="3"/>
  <c r="AO97" i="3"/>
  <c r="AP97" i="3"/>
  <c r="AQ97" i="3"/>
  <c r="AR97" i="3"/>
  <c r="AS97" i="3"/>
  <c r="AT97" i="3"/>
  <c r="AU97" i="3"/>
  <c r="AV97" i="3"/>
  <c r="AW97" i="3"/>
  <c r="AX97" i="3"/>
  <c r="AY97" i="3"/>
  <c r="AZ97" i="3"/>
  <c r="AN98" i="3"/>
  <c r="AO98" i="3"/>
  <c r="AP98" i="3"/>
  <c r="AQ98" i="3"/>
  <c r="AR98" i="3"/>
  <c r="AS98" i="3"/>
  <c r="AT98" i="3"/>
  <c r="AU98" i="3"/>
  <c r="AV98" i="3"/>
  <c r="AW98" i="3"/>
  <c r="AX98" i="3"/>
  <c r="AY98" i="3"/>
  <c r="AZ98" i="3"/>
  <c r="AN99" i="3"/>
  <c r="AO99" i="3"/>
  <c r="AP99" i="3"/>
  <c r="AQ99" i="3"/>
  <c r="AR99" i="3"/>
  <c r="AS99" i="3"/>
  <c r="AT99" i="3"/>
  <c r="AU99" i="3"/>
  <c r="AV99" i="3"/>
  <c r="AW99" i="3"/>
  <c r="AX99" i="3"/>
  <c r="AY99" i="3"/>
  <c r="AZ99" i="3"/>
  <c r="AN100" i="3"/>
  <c r="AO100" i="3"/>
  <c r="AP100" i="3"/>
  <c r="AQ100" i="3"/>
  <c r="AR100" i="3"/>
  <c r="AS100" i="3"/>
  <c r="AT100" i="3"/>
  <c r="AU100" i="3"/>
  <c r="AV100" i="3"/>
  <c r="AW100" i="3"/>
  <c r="AX100" i="3"/>
  <c r="AY100" i="3"/>
  <c r="AZ100" i="3"/>
  <c r="AN101" i="3"/>
  <c r="AO101" i="3"/>
  <c r="AP101" i="3"/>
  <c r="AQ101" i="3"/>
  <c r="AR101" i="3"/>
  <c r="AS101" i="3"/>
  <c r="AT101" i="3"/>
  <c r="AU101" i="3"/>
  <c r="AV101" i="3"/>
  <c r="AW101" i="3"/>
  <c r="AX101" i="3"/>
  <c r="AY101" i="3"/>
  <c r="AZ101" i="3"/>
  <c r="AN102" i="3"/>
  <c r="AO102" i="3"/>
  <c r="AP102" i="3"/>
  <c r="AQ102" i="3"/>
  <c r="AR102" i="3"/>
  <c r="AS102" i="3"/>
  <c r="AT102" i="3"/>
  <c r="AU102" i="3"/>
  <c r="AV102" i="3"/>
  <c r="AW102" i="3"/>
  <c r="AX102" i="3"/>
  <c r="AY102" i="3"/>
  <c r="AZ102" i="3"/>
  <c r="AN103" i="3"/>
  <c r="AO103" i="3"/>
  <c r="AP103" i="3"/>
  <c r="AQ103" i="3"/>
  <c r="AR103" i="3"/>
  <c r="AS103" i="3"/>
  <c r="AT103" i="3"/>
  <c r="AU103" i="3"/>
  <c r="AV103" i="3"/>
  <c r="AW103" i="3"/>
  <c r="AX103" i="3"/>
  <c r="AY103" i="3"/>
  <c r="AZ103" i="3"/>
  <c r="AN104" i="3"/>
  <c r="AO104" i="3"/>
  <c r="AP104" i="3"/>
  <c r="AQ104" i="3"/>
  <c r="AR104" i="3"/>
  <c r="AS104" i="3"/>
  <c r="AT104" i="3"/>
  <c r="AU104" i="3"/>
  <c r="AV104" i="3"/>
  <c r="AW104" i="3"/>
  <c r="AX104" i="3"/>
  <c r="AY104" i="3"/>
  <c r="AZ104" i="3"/>
  <c r="AN105" i="3"/>
  <c r="AO105" i="3"/>
  <c r="AP105" i="3"/>
  <c r="AQ105" i="3"/>
  <c r="AR105" i="3"/>
  <c r="AS105" i="3"/>
  <c r="AT105" i="3"/>
  <c r="AU105" i="3"/>
  <c r="AV105" i="3"/>
  <c r="AW105" i="3"/>
  <c r="AX105" i="3"/>
  <c r="AY105" i="3"/>
  <c r="AZ105" i="3"/>
  <c r="AN106" i="3"/>
  <c r="AO106" i="3"/>
  <c r="AP106" i="3"/>
  <c r="AQ106" i="3"/>
  <c r="AR106" i="3"/>
  <c r="AS106" i="3"/>
  <c r="AT106" i="3"/>
  <c r="AU106" i="3"/>
  <c r="AV106" i="3"/>
  <c r="AW106" i="3"/>
  <c r="AX106" i="3"/>
  <c r="AY106" i="3"/>
  <c r="AZ106" i="3"/>
  <c r="AN107" i="3"/>
  <c r="AO107" i="3"/>
  <c r="AP107" i="3"/>
  <c r="AQ107" i="3"/>
  <c r="AR107" i="3"/>
  <c r="AS107" i="3"/>
  <c r="AT107" i="3"/>
  <c r="AU107" i="3"/>
  <c r="AV107" i="3"/>
  <c r="AW107" i="3"/>
  <c r="AX107" i="3"/>
  <c r="AY107" i="3"/>
  <c r="AZ107" i="3"/>
  <c r="AN108" i="3"/>
  <c r="AO108" i="3"/>
  <c r="AP108" i="3"/>
  <c r="AQ108" i="3"/>
  <c r="AR108" i="3"/>
  <c r="AS108" i="3"/>
  <c r="AT108" i="3"/>
  <c r="AU108" i="3"/>
  <c r="AV108" i="3"/>
  <c r="AW108" i="3"/>
  <c r="AX108" i="3"/>
  <c r="AY108" i="3"/>
  <c r="AZ108" i="3"/>
  <c r="AN109" i="3"/>
  <c r="AO109" i="3"/>
  <c r="AP109" i="3"/>
  <c r="AQ109" i="3"/>
  <c r="AR109" i="3"/>
  <c r="AS109" i="3"/>
  <c r="AT109" i="3"/>
  <c r="AU109" i="3"/>
  <c r="AV109" i="3"/>
  <c r="AW109" i="3"/>
  <c r="AX109" i="3"/>
  <c r="AY109" i="3"/>
  <c r="AZ109" i="3"/>
  <c r="AN110" i="3"/>
  <c r="AO110" i="3"/>
  <c r="AP110" i="3"/>
  <c r="AQ110" i="3"/>
  <c r="AR110" i="3"/>
  <c r="AS110" i="3"/>
  <c r="AT110" i="3"/>
  <c r="AU110" i="3"/>
  <c r="AV110" i="3"/>
  <c r="AW110" i="3"/>
  <c r="AX110" i="3"/>
  <c r="AY110" i="3"/>
  <c r="AZ110" i="3"/>
  <c r="AN111" i="3"/>
  <c r="AO111" i="3"/>
  <c r="AP111" i="3"/>
  <c r="AQ111" i="3"/>
  <c r="AR111" i="3"/>
  <c r="AS111" i="3"/>
  <c r="AT111" i="3"/>
  <c r="AU111" i="3"/>
  <c r="AV111" i="3"/>
  <c r="AW111" i="3"/>
  <c r="AX111" i="3"/>
  <c r="AY111" i="3"/>
  <c r="AZ111" i="3"/>
  <c r="AN112" i="3"/>
  <c r="AO112" i="3"/>
  <c r="AP112" i="3"/>
  <c r="AQ112" i="3"/>
  <c r="AR112" i="3"/>
  <c r="AS112" i="3"/>
  <c r="AT112" i="3"/>
  <c r="AU112" i="3"/>
  <c r="AV112" i="3"/>
  <c r="AW112" i="3"/>
  <c r="AX112" i="3"/>
  <c r="AY112" i="3"/>
  <c r="AZ112" i="3"/>
  <c r="AN113" i="3"/>
  <c r="AO113" i="3"/>
  <c r="AP113" i="3"/>
  <c r="AQ113" i="3"/>
  <c r="AR113" i="3"/>
  <c r="AS113" i="3"/>
  <c r="AT113" i="3"/>
  <c r="AU113" i="3"/>
  <c r="AV113" i="3"/>
  <c r="AW113" i="3"/>
  <c r="AX113" i="3"/>
  <c r="AY113" i="3"/>
  <c r="AZ113" i="3"/>
  <c r="AN114" i="3"/>
  <c r="AO114" i="3"/>
  <c r="AP114" i="3"/>
  <c r="AQ114" i="3"/>
  <c r="AR114" i="3"/>
  <c r="AS114" i="3"/>
  <c r="AT114" i="3"/>
  <c r="AU114" i="3"/>
  <c r="AV114" i="3"/>
  <c r="AW114" i="3"/>
  <c r="AX114" i="3"/>
  <c r="AY114" i="3"/>
  <c r="AZ114" i="3"/>
  <c r="AN115" i="3"/>
  <c r="AO115" i="3"/>
  <c r="AP115" i="3"/>
  <c r="AQ115" i="3"/>
  <c r="AR115" i="3"/>
  <c r="AS115" i="3"/>
  <c r="AT115" i="3"/>
  <c r="AU115" i="3"/>
  <c r="AV115" i="3"/>
  <c r="AW115" i="3"/>
  <c r="AX115" i="3"/>
  <c r="AY115" i="3"/>
  <c r="AZ115" i="3"/>
  <c r="AN116" i="3"/>
  <c r="AO116" i="3"/>
  <c r="AP116" i="3"/>
  <c r="AQ116" i="3"/>
  <c r="AR116" i="3"/>
  <c r="AS116" i="3"/>
  <c r="AT116" i="3"/>
  <c r="AU116" i="3"/>
  <c r="AV116" i="3"/>
  <c r="AW116" i="3"/>
  <c r="AX116" i="3"/>
  <c r="AY116" i="3"/>
  <c r="AZ116" i="3"/>
  <c r="AN117" i="3"/>
  <c r="AO117" i="3"/>
  <c r="AP117" i="3"/>
  <c r="AQ117" i="3"/>
  <c r="AR117" i="3"/>
  <c r="AS117" i="3"/>
  <c r="AT117" i="3"/>
  <c r="AU117" i="3"/>
  <c r="AV117" i="3"/>
  <c r="AW117" i="3"/>
  <c r="AX117" i="3"/>
  <c r="AY117" i="3"/>
  <c r="AZ117" i="3"/>
  <c r="AN118" i="3"/>
  <c r="AO118" i="3"/>
  <c r="AP118" i="3"/>
  <c r="AQ118" i="3"/>
  <c r="AR118" i="3"/>
  <c r="AS118" i="3"/>
  <c r="AT118" i="3"/>
  <c r="AU118" i="3"/>
  <c r="AV118" i="3"/>
  <c r="AW118" i="3"/>
  <c r="AX118" i="3"/>
  <c r="AY118" i="3"/>
  <c r="AZ118" i="3"/>
  <c r="AN119" i="3"/>
  <c r="AO119" i="3"/>
  <c r="AP119" i="3"/>
  <c r="AQ119" i="3"/>
  <c r="AR119" i="3"/>
  <c r="AS119" i="3"/>
  <c r="AT119" i="3"/>
  <c r="AU119" i="3"/>
  <c r="AV119" i="3"/>
  <c r="AW119" i="3"/>
  <c r="AX119" i="3"/>
  <c r="AY119" i="3"/>
  <c r="AZ119" i="3"/>
  <c r="AN120" i="3"/>
  <c r="AO120" i="3"/>
  <c r="AP120" i="3"/>
  <c r="AQ120" i="3"/>
  <c r="AR120" i="3"/>
  <c r="AS120" i="3"/>
  <c r="AT120" i="3"/>
  <c r="AU120" i="3"/>
  <c r="AV120" i="3"/>
  <c r="AW120" i="3"/>
  <c r="AX120" i="3"/>
  <c r="AY120" i="3"/>
  <c r="AZ120" i="3"/>
  <c r="AN121" i="3"/>
  <c r="AO121" i="3"/>
  <c r="AP121" i="3"/>
  <c r="AQ121" i="3"/>
  <c r="AR121" i="3"/>
  <c r="AS121" i="3"/>
  <c r="AT121" i="3"/>
  <c r="AU121" i="3"/>
  <c r="AV121" i="3"/>
  <c r="AW121" i="3"/>
  <c r="AX121" i="3"/>
  <c r="AY121" i="3"/>
  <c r="AZ121" i="3"/>
  <c r="AN122" i="3"/>
  <c r="AO122" i="3"/>
  <c r="AP122" i="3"/>
  <c r="AQ122" i="3"/>
  <c r="AR122" i="3"/>
  <c r="AS122" i="3"/>
  <c r="AT122" i="3"/>
  <c r="AU122" i="3"/>
  <c r="AV122" i="3"/>
  <c r="AW122" i="3"/>
  <c r="AX122" i="3"/>
  <c r="AY122" i="3"/>
  <c r="AZ122" i="3"/>
  <c r="AN123" i="3"/>
  <c r="AO123" i="3"/>
  <c r="AP123" i="3"/>
  <c r="AQ123" i="3"/>
  <c r="AR123" i="3"/>
  <c r="AS123" i="3"/>
  <c r="AT123" i="3"/>
  <c r="AU123" i="3"/>
  <c r="AV123" i="3"/>
  <c r="AW123" i="3"/>
  <c r="AX123" i="3"/>
  <c r="AY123" i="3"/>
  <c r="AZ123" i="3"/>
  <c r="AN124" i="3"/>
  <c r="AO124" i="3"/>
  <c r="AP124" i="3"/>
  <c r="AQ124" i="3"/>
  <c r="AR124" i="3"/>
  <c r="AS124" i="3"/>
  <c r="AT124" i="3"/>
  <c r="AU124" i="3"/>
  <c r="AV124" i="3"/>
  <c r="AW124" i="3"/>
  <c r="AX124" i="3"/>
  <c r="AY124" i="3"/>
  <c r="AZ124" i="3"/>
  <c r="AN125" i="3"/>
  <c r="AO125" i="3"/>
  <c r="AP125" i="3"/>
  <c r="AQ125" i="3"/>
  <c r="AR125" i="3"/>
  <c r="AS125" i="3"/>
  <c r="AT125" i="3"/>
  <c r="AU125" i="3"/>
  <c r="AV125" i="3"/>
  <c r="AW125" i="3"/>
  <c r="AX125" i="3"/>
  <c r="AY125" i="3"/>
  <c r="AZ125" i="3"/>
  <c r="AN126" i="3"/>
  <c r="AO126" i="3"/>
  <c r="AP126" i="3"/>
  <c r="AQ126" i="3"/>
  <c r="AR126" i="3"/>
  <c r="AS126" i="3"/>
  <c r="AT126" i="3"/>
  <c r="AU126" i="3"/>
  <c r="AV126" i="3"/>
  <c r="AW126" i="3"/>
  <c r="AX126" i="3"/>
  <c r="AY126" i="3"/>
  <c r="AZ126" i="3"/>
  <c r="AN127" i="3"/>
  <c r="AO127" i="3"/>
  <c r="AP127" i="3"/>
  <c r="AQ127" i="3"/>
  <c r="AR127" i="3"/>
  <c r="AS127" i="3"/>
  <c r="AT127" i="3"/>
  <c r="AU127" i="3"/>
  <c r="AV127" i="3"/>
  <c r="AW127" i="3"/>
  <c r="AX127" i="3"/>
  <c r="AY127" i="3"/>
  <c r="AZ127" i="3"/>
  <c r="AN128" i="3"/>
  <c r="AO128" i="3"/>
  <c r="AP128" i="3"/>
  <c r="AQ128" i="3"/>
  <c r="AR128" i="3"/>
  <c r="AS128" i="3"/>
  <c r="AT128" i="3"/>
  <c r="AU128" i="3"/>
  <c r="AV128" i="3"/>
  <c r="AW128" i="3"/>
  <c r="AX128" i="3"/>
  <c r="AY128" i="3"/>
  <c r="AZ128" i="3"/>
  <c r="AN129" i="3"/>
  <c r="AO129" i="3"/>
  <c r="AP129" i="3"/>
  <c r="AQ129" i="3"/>
  <c r="AR129" i="3"/>
  <c r="AS129" i="3"/>
  <c r="AT129" i="3"/>
  <c r="AU129" i="3"/>
  <c r="AV129" i="3"/>
  <c r="AW129" i="3"/>
  <c r="AX129" i="3"/>
  <c r="AY129" i="3"/>
  <c r="AZ129" i="3"/>
  <c r="AN130" i="3"/>
  <c r="AO130" i="3"/>
  <c r="AP130" i="3"/>
  <c r="AQ130" i="3"/>
  <c r="AR130" i="3"/>
  <c r="AS130" i="3"/>
  <c r="AT130" i="3"/>
  <c r="AU130" i="3"/>
  <c r="AV130" i="3"/>
  <c r="AW130" i="3"/>
  <c r="AX130" i="3"/>
  <c r="AY130" i="3"/>
  <c r="AZ130" i="3"/>
  <c r="AN131" i="3"/>
  <c r="AO131" i="3"/>
  <c r="AP131" i="3"/>
  <c r="AQ131" i="3"/>
  <c r="AR131" i="3"/>
  <c r="AS131" i="3"/>
  <c r="AT131" i="3"/>
  <c r="AU131" i="3"/>
  <c r="AV131" i="3"/>
  <c r="AW131" i="3"/>
  <c r="AX131" i="3"/>
  <c r="AY131" i="3"/>
  <c r="AZ131" i="3"/>
  <c r="AN132" i="3"/>
  <c r="AO132" i="3"/>
  <c r="AP132" i="3"/>
  <c r="AQ132" i="3"/>
  <c r="AR132" i="3"/>
  <c r="AS132" i="3"/>
  <c r="AT132" i="3"/>
  <c r="AU132" i="3"/>
  <c r="AV132" i="3"/>
  <c r="AW132" i="3"/>
  <c r="AX132" i="3"/>
  <c r="AY132" i="3"/>
  <c r="AZ132" i="3"/>
  <c r="AN133" i="3"/>
  <c r="AO133" i="3"/>
  <c r="AP133" i="3"/>
  <c r="AQ133" i="3"/>
  <c r="AR133" i="3"/>
  <c r="AS133" i="3"/>
  <c r="AT133" i="3"/>
  <c r="AU133" i="3"/>
  <c r="AV133" i="3"/>
  <c r="AW133" i="3"/>
  <c r="AX133" i="3"/>
  <c r="AY133" i="3"/>
  <c r="AZ133" i="3"/>
  <c r="AN134" i="3"/>
  <c r="AO134" i="3"/>
  <c r="AP134" i="3"/>
  <c r="AQ134" i="3"/>
  <c r="AR134" i="3"/>
  <c r="AS134" i="3"/>
  <c r="AT134" i="3"/>
  <c r="AU134" i="3"/>
  <c r="AV134" i="3"/>
  <c r="AW134" i="3"/>
  <c r="AX134" i="3"/>
  <c r="AY134" i="3"/>
  <c r="AZ134" i="3"/>
  <c r="AN135" i="3"/>
  <c r="AO135" i="3"/>
  <c r="AP135" i="3"/>
  <c r="AQ135" i="3"/>
  <c r="AR135" i="3"/>
  <c r="AS135" i="3"/>
  <c r="AT135" i="3"/>
  <c r="AU135" i="3"/>
  <c r="AV135" i="3"/>
  <c r="AW135" i="3"/>
  <c r="AX135" i="3"/>
  <c r="AY135" i="3"/>
  <c r="AZ135" i="3"/>
  <c r="AN136" i="3"/>
  <c r="AO136" i="3"/>
  <c r="AP136" i="3"/>
  <c r="AQ136" i="3"/>
  <c r="AR136" i="3"/>
  <c r="AS136" i="3"/>
  <c r="AT136" i="3"/>
  <c r="AU136" i="3"/>
  <c r="AV136" i="3"/>
  <c r="AW136" i="3"/>
  <c r="AX136" i="3"/>
  <c r="AY136" i="3"/>
  <c r="AZ136" i="3"/>
  <c r="AN137" i="3"/>
  <c r="AO137" i="3"/>
  <c r="AP137" i="3"/>
  <c r="AQ137" i="3"/>
  <c r="AR137" i="3"/>
  <c r="AS137" i="3"/>
  <c r="AT137" i="3"/>
  <c r="AU137" i="3"/>
  <c r="AV137" i="3"/>
  <c r="AW137" i="3"/>
  <c r="AX137" i="3"/>
  <c r="AY137" i="3"/>
  <c r="AZ137" i="3"/>
  <c r="AN138" i="3"/>
  <c r="AO138" i="3"/>
  <c r="AP138" i="3"/>
  <c r="AQ138" i="3"/>
  <c r="AR138" i="3"/>
  <c r="AS138" i="3"/>
  <c r="AT138" i="3"/>
  <c r="AU138" i="3"/>
  <c r="AV138" i="3"/>
  <c r="AW138" i="3"/>
  <c r="AX138" i="3"/>
  <c r="AY138" i="3"/>
  <c r="AZ138" i="3"/>
  <c r="AN139" i="3"/>
  <c r="AO139" i="3"/>
  <c r="AP139" i="3"/>
  <c r="AQ139" i="3"/>
  <c r="AR139" i="3"/>
  <c r="AS139" i="3"/>
  <c r="AT139" i="3"/>
  <c r="AU139" i="3"/>
  <c r="AV139" i="3"/>
  <c r="AW139" i="3"/>
  <c r="AX139" i="3"/>
  <c r="AY139" i="3"/>
  <c r="AZ139" i="3"/>
  <c r="AN140" i="3"/>
  <c r="AO140" i="3"/>
  <c r="AP140" i="3"/>
  <c r="AQ140" i="3"/>
  <c r="AR140" i="3"/>
  <c r="AS140" i="3"/>
  <c r="AT140" i="3"/>
  <c r="AU140" i="3"/>
  <c r="AV140" i="3"/>
  <c r="AW140" i="3"/>
  <c r="AX140" i="3"/>
  <c r="AY140" i="3"/>
  <c r="AZ140" i="3"/>
  <c r="AN141" i="3"/>
  <c r="AO141" i="3"/>
  <c r="AP141" i="3"/>
  <c r="AQ141" i="3"/>
  <c r="AR141" i="3"/>
  <c r="AS141" i="3"/>
  <c r="AT141" i="3"/>
  <c r="AU141" i="3"/>
  <c r="AV141" i="3"/>
  <c r="AW141" i="3"/>
  <c r="AX141" i="3"/>
  <c r="AY141" i="3"/>
  <c r="AZ141" i="3"/>
  <c r="AN142" i="3"/>
  <c r="AO142" i="3"/>
  <c r="AP142" i="3"/>
  <c r="AQ142" i="3"/>
  <c r="AR142" i="3"/>
  <c r="AS142" i="3"/>
  <c r="AT142" i="3"/>
  <c r="AU142" i="3"/>
  <c r="AV142" i="3"/>
  <c r="AW142" i="3"/>
  <c r="AX142" i="3"/>
  <c r="AY142" i="3"/>
  <c r="AZ142" i="3"/>
  <c r="AN143" i="3"/>
  <c r="AO143" i="3"/>
  <c r="AP143" i="3"/>
  <c r="AQ143" i="3"/>
  <c r="AR143" i="3"/>
  <c r="AS143" i="3"/>
  <c r="AT143" i="3"/>
  <c r="AU143" i="3"/>
  <c r="AV143" i="3"/>
  <c r="AW143" i="3"/>
  <c r="AX143" i="3"/>
  <c r="AY143" i="3"/>
  <c r="AZ143" i="3"/>
  <c r="AN144" i="3"/>
  <c r="AO144" i="3"/>
  <c r="AP144" i="3"/>
  <c r="AQ144" i="3"/>
  <c r="AR144" i="3"/>
  <c r="AS144" i="3"/>
  <c r="AT144" i="3"/>
  <c r="AU144" i="3"/>
  <c r="AV144" i="3"/>
  <c r="AW144" i="3"/>
  <c r="AX144" i="3"/>
  <c r="AY144" i="3"/>
  <c r="AZ144" i="3"/>
  <c r="AN145" i="3"/>
  <c r="AO145" i="3"/>
  <c r="AP145" i="3"/>
  <c r="AQ145" i="3"/>
  <c r="AR145" i="3"/>
  <c r="AS145" i="3"/>
  <c r="AT145" i="3"/>
  <c r="AU145" i="3"/>
  <c r="AV145" i="3"/>
  <c r="AW145" i="3"/>
  <c r="AX145" i="3"/>
  <c r="AY145" i="3"/>
  <c r="AZ145" i="3"/>
  <c r="AN146" i="3"/>
  <c r="AO146" i="3"/>
  <c r="AP146" i="3"/>
  <c r="AQ146" i="3"/>
  <c r="AR146" i="3"/>
  <c r="AS146" i="3"/>
  <c r="AT146" i="3"/>
  <c r="AU146" i="3"/>
  <c r="AV146" i="3"/>
  <c r="AW146" i="3"/>
  <c r="AX146" i="3"/>
  <c r="AY146" i="3"/>
  <c r="AZ146" i="3"/>
  <c r="AN147" i="3"/>
  <c r="AO147" i="3"/>
  <c r="AP147" i="3"/>
  <c r="AQ147" i="3"/>
  <c r="AR147" i="3"/>
  <c r="AS147" i="3"/>
  <c r="AT147" i="3"/>
  <c r="AU147" i="3"/>
  <c r="AV147" i="3"/>
  <c r="AW147" i="3"/>
  <c r="AX147" i="3"/>
  <c r="AY147" i="3"/>
  <c r="AZ147" i="3"/>
  <c r="AN148" i="3"/>
  <c r="AO148" i="3"/>
  <c r="AP148" i="3"/>
  <c r="AQ148" i="3"/>
  <c r="AR148" i="3"/>
  <c r="AS148" i="3"/>
  <c r="AT148" i="3"/>
  <c r="AU148" i="3"/>
  <c r="AV148" i="3"/>
  <c r="AW148" i="3"/>
  <c r="AX148" i="3"/>
  <c r="AY148" i="3"/>
  <c r="AZ148" i="3"/>
  <c r="AN149" i="3"/>
  <c r="AO149" i="3"/>
  <c r="AP149" i="3"/>
  <c r="AQ149" i="3"/>
  <c r="AR149" i="3"/>
  <c r="AS149" i="3"/>
  <c r="AT149" i="3"/>
  <c r="AU149" i="3"/>
  <c r="AV149" i="3"/>
  <c r="AW149" i="3"/>
  <c r="AX149" i="3"/>
  <c r="AY149" i="3"/>
  <c r="AZ149" i="3"/>
  <c r="AN150" i="3"/>
  <c r="AO150" i="3"/>
  <c r="AP150" i="3"/>
  <c r="AQ150" i="3"/>
  <c r="AR150" i="3"/>
  <c r="AS150" i="3"/>
  <c r="AT150" i="3"/>
  <c r="AU150" i="3"/>
  <c r="AV150" i="3"/>
  <c r="AW150" i="3"/>
  <c r="AX150" i="3"/>
  <c r="AY150" i="3"/>
  <c r="AZ150" i="3"/>
  <c r="AN151" i="3"/>
  <c r="AO151" i="3"/>
  <c r="AP151" i="3"/>
  <c r="AQ151" i="3"/>
  <c r="AR151" i="3"/>
  <c r="AS151" i="3"/>
  <c r="AT151" i="3"/>
  <c r="AU151" i="3"/>
  <c r="AV151" i="3"/>
  <c r="AW151" i="3"/>
  <c r="AX151" i="3"/>
  <c r="AY151" i="3"/>
  <c r="AZ151" i="3"/>
  <c r="AN152" i="3"/>
  <c r="AO152" i="3"/>
  <c r="AP152" i="3"/>
  <c r="AQ152" i="3"/>
  <c r="AR152" i="3"/>
  <c r="AS152" i="3"/>
  <c r="AT152" i="3"/>
  <c r="AU152" i="3"/>
  <c r="AV152" i="3"/>
  <c r="AW152" i="3"/>
  <c r="AX152" i="3"/>
  <c r="AY152" i="3"/>
  <c r="AZ152" i="3"/>
  <c r="AN153" i="3"/>
  <c r="AO153" i="3"/>
  <c r="AP153" i="3"/>
  <c r="AQ153" i="3"/>
  <c r="AR153" i="3"/>
  <c r="AS153" i="3"/>
  <c r="AT153" i="3"/>
  <c r="AU153" i="3"/>
  <c r="AV153" i="3"/>
  <c r="AW153" i="3"/>
  <c r="AX153" i="3"/>
  <c r="AY153" i="3"/>
  <c r="AZ153" i="3"/>
  <c r="AN154" i="3"/>
  <c r="AO154" i="3"/>
  <c r="AP154" i="3"/>
  <c r="AQ154" i="3"/>
  <c r="AR154" i="3"/>
  <c r="AS154" i="3"/>
  <c r="AT154" i="3"/>
  <c r="AU154" i="3"/>
  <c r="AV154" i="3"/>
  <c r="AW154" i="3"/>
  <c r="AX154" i="3"/>
  <c r="AY154" i="3"/>
  <c r="AZ154" i="3"/>
  <c r="AN155" i="3"/>
  <c r="AO155" i="3"/>
  <c r="AP155" i="3"/>
  <c r="AQ155" i="3"/>
  <c r="AR155" i="3"/>
  <c r="AS155" i="3"/>
  <c r="AT155" i="3"/>
  <c r="AU155" i="3"/>
  <c r="AV155" i="3"/>
  <c r="AW155" i="3"/>
  <c r="AX155" i="3"/>
  <c r="AY155" i="3"/>
  <c r="AZ155" i="3"/>
  <c r="AN156" i="3"/>
  <c r="AO156" i="3"/>
  <c r="AP156" i="3"/>
  <c r="AQ156" i="3"/>
  <c r="AR156" i="3"/>
  <c r="AS156" i="3"/>
  <c r="AT156" i="3"/>
  <c r="AU156" i="3"/>
  <c r="AV156" i="3"/>
  <c r="AW156" i="3"/>
  <c r="AX156" i="3"/>
  <c r="AY156" i="3"/>
  <c r="AZ156" i="3"/>
  <c r="AN157" i="3"/>
  <c r="AO157" i="3"/>
  <c r="AP157" i="3"/>
  <c r="AQ157" i="3"/>
  <c r="AR157" i="3"/>
  <c r="AS157" i="3"/>
  <c r="AT157" i="3"/>
  <c r="AU157" i="3"/>
  <c r="AV157" i="3"/>
  <c r="AW157" i="3"/>
  <c r="AX157" i="3"/>
  <c r="AY157" i="3"/>
  <c r="AZ157" i="3"/>
  <c r="AN158" i="3"/>
  <c r="AO158" i="3"/>
  <c r="AP158" i="3"/>
  <c r="AQ158" i="3"/>
  <c r="AR158" i="3"/>
  <c r="AS158" i="3"/>
  <c r="AT158" i="3"/>
  <c r="AU158" i="3"/>
  <c r="AV158" i="3"/>
  <c r="AW158" i="3"/>
  <c r="AX158" i="3"/>
  <c r="AY158" i="3"/>
  <c r="AZ158" i="3"/>
  <c r="AN159" i="3"/>
  <c r="AO159" i="3"/>
  <c r="AP159" i="3"/>
  <c r="AQ159" i="3"/>
  <c r="AR159" i="3"/>
  <c r="AS159" i="3"/>
  <c r="AT159" i="3"/>
  <c r="AU159" i="3"/>
  <c r="AV159" i="3"/>
  <c r="AW159" i="3"/>
  <c r="AX159" i="3"/>
  <c r="AY159" i="3"/>
  <c r="AZ159" i="3"/>
  <c r="AN160" i="3"/>
  <c r="AO160" i="3"/>
  <c r="AP160" i="3"/>
  <c r="AQ160" i="3"/>
  <c r="AR160" i="3"/>
  <c r="AS160" i="3"/>
  <c r="AT160" i="3"/>
  <c r="AU160" i="3"/>
  <c r="AV160" i="3"/>
  <c r="AW160" i="3"/>
  <c r="AX160" i="3"/>
  <c r="AY160" i="3"/>
  <c r="AZ160" i="3"/>
  <c r="AN161" i="3"/>
  <c r="AO161" i="3"/>
  <c r="AP161" i="3"/>
  <c r="AQ161" i="3"/>
  <c r="AR161" i="3"/>
  <c r="AS161" i="3"/>
  <c r="AT161" i="3"/>
  <c r="AU161" i="3"/>
  <c r="AV161" i="3"/>
  <c r="AW161" i="3"/>
  <c r="AX161" i="3"/>
  <c r="AY161" i="3"/>
  <c r="AZ161" i="3"/>
  <c r="AN162" i="3"/>
  <c r="AO162" i="3"/>
  <c r="AP162" i="3"/>
  <c r="AQ162" i="3"/>
  <c r="AR162" i="3"/>
  <c r="AS162" i="3"/>
  <c r="AT162" i="3"/>
  <c r="AU162" i="3"/>
  <c r="AV162" i="3"/>
  <c r="AW162" i="3"/>
  <c r="AX162" i="3"/>
  <c r="AY162" i="3"/>
  <c r="AZ162" i="3"/>
  <c r="AN163" i="3"/>
  <c r="AO163" i="3"/>
  <c r="AP163" i="3"/>
  <c r="AQ163" i="3"/>
  <c r="AR163" i="3"/>
  <c r="AS163" i="3"/>
  <c r="AT163" i="3"/>
  <c r="AU163" i="3"/>
  <c r="AV163" i="3"/>
  <c r="AW163" i="3"/>
  <c r="AX163" i="3"/>
  <c r="AY163" i="3"/>
  <c r="AZ163" i="3"/>
  <c r="AN164" i="3"/>
  <c r="AO164" i="3"/>
  <c r="AP164" i="3"/>
  <c r="AQ164" i="3"/>
  <c r="AR164" i="3"/>
  <c r="AS164" i="3"/>
  <c r="AT164" i="3"/>
  <c r="AU164" i="3"/>
  <c r="AV164" i="3"/>
  <c r="AW164" i="3"/>
  <c r="AX164" i="3"/>
  <c r="AY164" i="3"/>
  <c r="AZ164" i="3"/>
  <c r="AN165" i="3"/>
  <c r="AO165" i="3"/>
  <c r="AP165" i="3"/>
  <c r="AQ165" i="3"/>
  <c r="AR165" i="3"/>
  <c r="AS165" i="3"/>
  <c r="AT165" i="3"/>
  <c r="AU165" i="3"/>
  <c r="AV165" i="3"/>
  <c r="AW165" i="3"/>
  <c r="AX165" i="3"/>
  <c r="AY165" i="3"/>
  <c r="AZ165" i="3"/>
  <c r="AN166" i="3"/>
  <c r="AO166" i="3"/>
  <c r="AP166" i="3"/>
  <c r="AQ166" i="3"/>
  <c r="AR166" i="3"/>
  <c r="AS166" i="3"/>
  <c r="AT166" i="3"/>
  <c r="AU166" i="3"/>
  <c r="AV166" i="3"/>
  <c r="AW166" i="3"/>
  <c r="AX166" i="3"/>
  <c r="AY166" i="3"/>
  <c r="AZ166" i="3"/>
  <c r="AN167" i="3"/>
  <c r="AO167" i="3"/>
  <c r="AP167" i="3"/>
  <c r="AQ167" i="3"/>
  <c r="AR167" i="3"/>
  <c r="AS167" i="3"/>
  <c r="AT167" i="3"/>
  <c r="AU167" i="3"/>
  <c r="AV167" i="3"/>
  <c r="AW167" i="3"/>
  <c r="AX167" i="3"/>
  <c r="AY167" i="3"/>
  <c r="AZ167" i="3"/>
  <c r="AN168" i="3"/>
  <c r="AO168" i="3"/>
  <c r="AP168" i="3"/>
  <c r="AQ168" i="3"/>
  <c r="AR168" i="3"/>
  <c r="AS168" i="3"/>
  <c r="AT168" i="3"/>
  <c r="AU168" i="3"/>
  <c r="AV168" i="3"/>
  <c r="AW168" i="3"/>
  <c r="AX168" i="3"/>
  <c r="AY168" i="3"/>
  <c r="AZ168" i="3"/>
  <c r="AN169" i="3"/>
  <c r="AO169" i="3"/>
  <c r="AP169" i="3"/>
  <c r="AQ169" i="3"/>
  <c r="AR169" i="3"/>
  <c r="AS169" i="3"/>
  <c r="AT169" i="3"/>
  <c r="AU169" i="3"/>
  <c r="AV169" i="3"/>
  <c r="AW169" i="3"/>
  <c r="AX169" i="3"/>
  <c r="AY169" i="3"/>
  <c r="AZ169" i="3"/>
  <c r="AN170" i="3"/>
  <c r="AO170" i="3"/>
  <c r="AP170" i="3"/>
  <c r="AQ170" i="3"/>
  <c r="AR170" i="3"/>
  <c r="AS170" i="3"/>
  <c r="AT170" i="3"/>
  <c r="AU170" i="3"/>
  <c r="AV170" i="3"/>
  <c r="AW170" i="3"/>
  <c r="AX170" i="3"/>
  <c r="AY170" i="3"/>
  <c r="AZ170" i="3"/>
  <c r="AN171" i="3"/>
  <c r="AO171" i="3"/>
  <c r="AP171" i="3"/>
  <c r="AQ171" i="3"/>
  <c r="AR171" i="3"/>
  <c r="AS171" i="3"/>
  <c r="AT171" i="3"/>
  <c r="AU171" i="3"/>
  <c r="AV171" i="3"/>
  <c r="AW171" i="3"/>
  <c r="AX171" i="3"/>
  <c r="AY171" i="3"/>
  <c r="AZ171" i="3"/>
  <c r="AN172" i="3"/>
  <c r="AO172" i="3"/>
  <c r="AP172" i="3"/>
  <c r="AQ172" i="3"/>
  <c r="AR172" i="3"/>
  <c r="AS172" i="3"/>
  <c r="AT172" i="3"/>
  <c r="AU172" i="3"/>
  <c r="AV172" i="3"/>
  <c r="AW172" i="3"/>
  <c r="AX172" i="3"/>
  <c r="AY172" i="3"/>
  <c r="AZ172" i="3"/>
  <c r="AN173" i="3"/>
  <c r="AO173" i="3"/>
  <c r="AP173" i="3"/>
  <c r="AQ173" i="3"/>
  <c r="AR173" i="3"/>
  <c r="AS173" i="3"/>
  <c r="AT173" i="3"/>
  <c r="AU173" i="3"/>
  <c r="AV173" i="3"/>
  <c r="AW173" i="3"/>
  <c r="AX173" i="3"/>
  <c r="AY173" i="3"/>
  <c r="AZ173" i="3"/>
  <c r="AN174" i="3"/>
  <c r="AO174" i="3"/>
  <c r="AP174" i="3"/>
  <c r="AQ174" i="3"/>
  <c r="AR174" i="3"/>
  <c r="AS174" i="3"/>
  <c r="AT174" i="3"/>
  <c r="AU174" i="3"/>
  <c r="AV174" i="3"/>
  <c r="AW174" i="3"/>
  <c r="AX174" i="3"/>
  <c r="AY174" i="3"/>
  <c r="AZ174" i="3"/>
  <c r="AN175" i="3"/>
  <c r="AO175" i="3"/>
  <c r="AP175" i="3"/>
  <c r="AQ175" i="3"/>
  <c r="AR175" i="3"/>
  <c r="AS175" i="3"/>
  <c r="AT175" i="3"/>
  <c r="AU175" i="3"/>
  <c r="AV175" i="3"/>
  <c r="AW175" i="3"/>
  <c r="AX175" i="3"/>
  <c r="AY175" i="3"/>
  <c r="AZ175" i="3"/>
  <c r="AN176" i="3"/>
  <c r="AO176" i="3"/>
  <c r="AP176" i="3"/>
  <c r="AQ176" i="3"/>
  <c r="AR176" i="3"/>
  <c r="AS176" i="3"/>
  <c r="AT176" i="3"/>
  <c r="AU176" i="3"/>
  <c r="AV176" i="3"/>
  <c r="AW176" i="3"/>
  <c r="AX176" i="3"/>
  <c r="AY176" i="3"/>
  <c r="AZ176" i="3"/>
  <c r="AN177" i="3"/>
  <c r="AO177" i="3"/>
  <c r="AP177" i="3"/>
  <c r="AQ177" i="3"/>
  <c r="AR177" i="3"/>
  <c r="AS177" i="3"/>
  <c r="AT177" i="3"/>
  <c r="AU177" i="3"/>
  <c r="AV177" i="3"/>
  <c r="AW177" i="3"/>
  <c r="AX177" i="3"/>
  <c r="AY177" i="3"/>
  <c r="AZ177" i="3"/>
  <c r="AN178" i="3"/>
  <c r="AO178" i="3"/>
  <c r="AP178" i="3"/>
  <c r="AQ178" i="3"/>
  <c r="AR178" i="3"/>
  <c r="AS178" i="3"/>
  <c r="AT178" i="3"/>
  <c r="AU178" i="3"/>
  <c r="AV178" i="3"/>
  <c r="AW178" i="3"/>
  <c r="AX178" i="3"/>
  <c r="AY178" i="3"/>
  <c r="AZ178" i="3"/>
  <c r="AN179" i="3"/>
  <c r="AO179" i="3"/>
  <c r="AP179" i="3"/>
  <c r="AQ179" i="3"/>
  <c r="AR179" i="3"/>
  <c r="AS179" i="3"/>
  <c r="AT179" i="3"/>
  <c r="AU179" i="3"/>
  <c r="AV179" i="3"/>
  <c r="AW179" i="3"/>
  <c r="AX179" i="3"/>
  <c r="AY179" i="3"/>
  <c r="AZ179" i="3"/>
  <c r="AN180" i="3"/>
  <c r="AO180" i="3"/>
  <c r="AP180" i="3"/>
  <c r="AQ180" i="3"/>
  <c r="AR180" i="3"/>
  <c r="AS180" i="3"/>
  <c r="AT180" i="3"/>
  <c r="AU180" i="3"/>
  <c r="AV180" i="3"/>
  <c r="AW180" i="3"/>
  <c r="AX180" i="3"/>
  <c r="AY180" i="3"/>
  <c r="AZ180" i="3"/>
  <c r="AN181" i="3"/>
  <c r="AO181" i="3"/>
  <c r="AP181" i="3"/>
  <c r="AQ181" i="3"/>
  <c r="AR181" i="3"/>
  <c r="AS181" i="3"/>
  <c r="AT181" i="3"/>
  <c r="AU181" i="3"/>
  <c r="AV181" i="3"/>
  <c r="AW181" i="3"/>
  <c r="AX181" i="3"/>
  <c r="AY181" i="3"/>
  <c r="AZ181" i="3"/>
  <c r="AN182" i="3"/>
  <c r="AO182" i="3"/>
  <c r="AP182" i="3"/>
  <c r="AQ182" i="3"/>
  <c r="AR182" i="3"/>
  <c r="AS182" i="3"/>
  <c r="AT182" i="3"/>
  <c r="AU182" i="3"/>
  <c r="AV182" i="3"/>
  <c r="AW182" i="3"/>
  <c r="AX182" i="3"/>
  <c r="AY182" i="3"/>
  <c r="AZ182" i="3"/>
  <c r="AN183" i="3"/>
  <c r="AO183" i="3"/>
  <c r="AP183" i="3"/>
  <c r="AQ183" i="3"/>
  <c r="AR183" i="3"/>
  <c r="AS183" i="3"/>
  <c r="AT183" i="3"/>
  <c r="AU183" i="3"/>
  <c r="AV183" i="3"/>
  <c r="AW183" i="3"/>
  <c r="AX183" i="3"/>
  <c r="AY183" i="3"/>
  <c r="AZ183" i="3"/>
  <c r="AN184" i="3"/>
  <c r="AO184" i="3"/>
  <c r="AP184" i="3"/>
  <c r="AQ184" i="3"/>
  <c r="AR184" i="3"/>
  <c r="AS184" i="3"/>
  <c r="AT184" i="3"/>
  <c r="AU184" i="3"/>
  <c r="AV184" i="3"/>
  <c r="AW184" i="3"/>
  <c r="AX184" i="3"/>
  <c r="AY184" i="3"/>
  <c r="AZ184" i="3"/>
  <c r="AN185" i="3"/>
  <c r="AO185" i="3"/>
  <c r="AP185" i="3"/>
  <c r="AQ185" i="3"/>
  <c r="AR185" i="3"/>
  <c r="AS185" i="3"/>
  <c r="AT185" i="3"/>
  <c r="AU185" i="3"/>
  <c r="AV185" i="3"/>
  <c r="AW185" i="3"/>
  <c r="AX185" i="3"/>
  <c r="AY185" i="3"/>
  <c r="AZ185" i="3"/>
  <c r="AN186" i="3"/>
  <c r="AO186" i="3"/>
  <c r="AP186" i="3"/>
  <c r="AQ186" i="3"/>
  <c r="AR186" i="3"/>
  <c r="AS186" i="3"/>
  <c r="AT186" i="3"/>
  <c r="AU186" i="3"/>
  <c r="AV186" i="3"/>
  <c r="AW186" i="3"/>
  <c r="AX186" i="3"/>
  <c r="AY186" i="3"/>
  <c r="AZ186" i="3"/>
  <c r="AN187" i="3"/>
  <c r="AO187" i="3"/>
  <c r="AP187" i="3"/>
  <c r="AQ187" i="3"/>
  <c r="AR187" i="3"/>
  <c r="AS187" i="3"/>
  <c r="AT187" i="3"/>
  <c r="AU187" i="3"/>
  <c r="AV187" i="3"/>
  <c r="AW187" i="3"/>
  <c r="AX187" i="3"/>
  <c r="AY187" i="3"/>
  <c r="AZ187" i="3"/>
  <c r="AN188" i="3"/>
  <c r="AO188" i="3"/>
  <c r="AP188" i="3"/>
  <c r="AQ188" i="3"/>
  <c r="AR188" i="3"/>
  <c r="AS188" i="3"/>
  <c r="AT188" i="3"/>
  <c r="AU188" i="3"/>
  <c r="AV188" i="3"/>
  <c r="AW188" i="3"/>
  <c r="AX188" i="3"/>
  <c r="AY188" i="3"/>
  <c r="AZ188" i="3"/>
  <c r="AN189" i="3"/>
  <c r="AO189" i="3"/>
  <c r="AP189" i="3"/>
  <c r="AQ189" i="3"/>
  <c r="AR189" i="3"/>
  <c r="AS189" i="3"/>
  <c r="AT189" i="3"/>
  <c r="AU189" i="3"/>
  <c r="AV189" i="3"/>
  <c r="AW189" i="3"/>
  <c r="AX189" i="3"/>
  <c r="AY189" i="3"/>
  <c r="AZ189" i="3"/>
  <c r="AN190" i="3"/>
  <c r="AO190" i="3"/>
  <c r="AP190" i="3"/>
  <c r="AQ190" i="3"/>
  <c r="AR190" i="3"/>
  <c r="AS190" i="3"/>
  <c r="AT190" i="3"/>
  <c r="AU190" i="3"/>
  <c r="AV190" i="3"/>
  <c r="AW190" i="3"/>
  <c r="AX190" i="3"/>
  <c r="AY190" i="3"/>
  <c r="AZ190" i="3"/>
  <c r="AN191" i="3"/>
  <c r="AO191" i="3"/>
  <c r="AP191" i="3"/>
  <c r="AQ191" i="3"/>
  <c r="AR191" i="3"/>
  <c r="AS191" i="3"/>
  <c r="AT191" i="3"/>
  <c r="AU191" i="3"/>
  <c r="AV191" i="3"/>
  <c r="AW191" i="3"/>
  <c r="AX191" i="3"/>
  <c r="AY191" i="3"/>
  <c r="AZ191" i="3"/>
  <c r="AN192" i="3"/>
  <c r="AO192" i="3"/>
  <c r="AP192" i="3"/>
  <c r="AQ192" i="3"/>
  <c r="AR192" i="3"/>
  <c r="AS192" i="3"/>
  <c r="AT192" i="3"/>
  <c r="AU192" i="3"/>
  <c r="AV192" i="3"/>
  <c r="AW192" i="3"/>
  <c r="AX192" i="3"/>
  <c r="AY192" i="3"/>
  <c r="AZ192" i="3"/>
  <c r="AN193" i="3"/>
  <c r="AO193" i="3"/>
  <c r="AP193" i="3"/>
  <c r="AQ193" i="3"/>
  <c r="AR193" i="3"/>
  <c r="AS193" i="3"/>
  <c r="AT193" i="3"/>
  <c r="AU193" i="3"/>
  <c r="AV193" i="3"/>
  <c r="AW193" i="3"/>
  <c r="AX193" i="3"/>
  <c r="AY193" i="3"/>
  <c r="AZ193" i="3"/>
  <c r="AN194" i="3"/>
  <c r="AO194" i="3"/>
  <c r="AP194" i="3"/>
  <c r="AQ194" i="3"/>
  <c r="AR194" i="3"/>
  <c r="AS194" i="3"/>
  <c r="AT194" i="3"/>
  <c r="AU194" i="3"/>
  <c r="AV194" i="3"/>
  <c r="AW194" i="3"/>
  <c r="AX194" i="3"/>
  <c r="AY194" i="3"/>
  <c r="AZ194" i="3"/>
  <c r="AN195" i="3"/>
  <c r="AO195" i="3"/>
  <c r="AP195" i="3"/>
  <c r="AQ195" i="3"/>
  <c r="AR195" i="3"/>
  <c r="AS195" i="3"/>
  <c r="AT195" i="3"/>
  <c r="AU195" i="3"/>
  <c r="AV195" i="3"/>
  <c r="AW195" i="3"/>
  <c r="AX195" i="3"/>
  <c r="AY195" i="3"/>
  <c r="AZ195" i="3"/>
  <c r="AN196" i="3"/>
  <c r="AO196" i="3"/>
  <c r="AP196" i="3"/>
  <c r="AQ196" i="3"/>
  <c r="AR196" i="3"/>
  <c r="AS196" i="3"/>
  <c r="AT196" i="3"/>
  <c r="AU196" i="3"/>
  <c r="AV196" i="3"/>
  <c r="AW196" i="3"/>
  <c r="AX196" i="3"/>
  <c r="AY196" i="3"/>
  <c r="AZ196" i="3"/>
  <c r="AN197" i="3"/>
  <c r="AO197" i="3"/>
  <c r="AP197" i="3"/>
  <c r="AQ197" i="3"/>
  <c r="AR197" i="3"/>
  <c r="AS197" i="3"/>
  <c r="AT197" i="3"/>
  <c r="AU197" i="3"/>
  <c r="AV197" i="3"/>
  <c r="AW197" i="3"/>
  <c r="AX197" i="3"/>
  <c r="AY197" i="3"/>
  <c r="AZ197" i="3"/>
  <c r="AN198" i="3"/>
  <c r="AO198" i="3"/>
  <c r="AP198" i="3"/>
  <c r="AQ198" i="3"/>
  <c r="AR198" i="3"/>
  <c r="AS198" i="3"/>
  <c r="AT198" i="3"/>
  <c r="AU198" i="3"/>
  <c r="AV198" i="3"/>
  <c r="AW198" i="3"/>
  <c r="AX198" i="3"/>
  <c r="AY198" i="3"/>
  <c r="AZ198" i="3"/>
  <c r="AN199" i="3"/>
  <c r="AO199" i="3"/>
  <c r="AP199" i="3"/>
  <c r="AQ199" i="3"/>
  <c r="AR199" i="3"/>
  <c r="AS199" i="3"/>
  <c r="AT199" i="3"/>
  <c r="AU199" i="3"/>
  <c r="AV199" i="3"/>
  <c r="AW199" i="3"/>
  <c r="AX199" i="3"/>
  <c r="AY199" i="3"/>
  <c r="AZ199" i="3"/>
  <c r="AN200" i="3"/>
  <c r="AO200" i="3"/>
  <c r="AP200" i="3"/>
  <c r="AQ200" i="3"/>
  <c r="AR200" i="3"/>
  <c r="AS200" i="3"/>
  <c r="AT200" i="3"/>
  <c r="AU200" i="3"/>
  <c r="AV200" i="3"/>
  <c r="AW200" i="3"/>
  <c r="AX200" i="3"/>
  <c r="AY200" i="3"/>
  <c r="AZ200" i="3"/>
  <c r="AN201" i="3"/>
  <c r="AO201" i="3"/>
  <c r="AP201" i="3"/>
  <c r="AQ201" i="3"/>
  <c r="AR201" i="3"/>
  <c r="AS201" i="3"/>
  <c r="AT201" i="3"/>
  <c r="AU201" i="3"/>
  <c r="AV201" i="3"/>
  <c r="AW201" i="3"/>
  <c r="AX201" i="3"/>
  <c r="AY201" i="3"/>
  <c r="AZ201" i="3"/>
  <c r="AN7" i="3"/>
  <c r="AO7" i="3"/>
  <c r="AP7" i="3"/>
  <c r="AQ7" i="3"/>
  <c r="AR7" i="3"/>
  <c r="AS7" i="3"/>
  <c r="AT7" i="3"/>
  <c r="AU7" i="3"/>
  <c r="AV7" i="3"/>
  <c r="AW7" i="3"/>
  <c r="AX7" i="3"/>
  <c r="AY7" i="3"/>
  <c r="AZ7" i="3"/>
  <c r="AM7" i="3"/>
  <c r="S204" i="3"/>
  <c r="T204" i="3"/>
  <c r="U204" i="3"/>
  <c r="V204" i="3"/>
  <c r="W204" i="3"/>
  <c r="X204" i="3"/>
  <c r="Y204" i="3"/>
  <c r="Z204" i="3"/>
  <c r="AA204" i="3"/>
  <c r="AB204" i="3"/>
  <c r="AC204" i="3"/>
  <c r="AD204" i="3"/>
  <c r="AE204" i="3"/>
  <c r="R204" i="3"/>
  <c r="R8" i="3"/>
  <c r="S8" i="3"/>
  <c r="T8" i="3"/>
  <c r="U8" i="3"/>
  <c r="V8" i="3"/>
  <c r="W8" i="3"/>
  <c r="X8" i="3"/>
  <c r="Y8" i="3"/>
  <c r="Z8" i="3"/>
  <c r="AA8" i="3"/>
  <c r="AB8" i="3"/>
  <c r="AC8" i="3"/>
  <c r="AD8" i="3"/>
  <c r="AE8" i="3"/>
  <c r="R9" i="3"/>
  <c r="S9" i="3"/>
  <c r="T9" i="3"/>
  <c r="U9" i="3"/>
  <c r="V9" i="3"/>
  <c r="W9" i="3"/>
  <c r="X9" i="3"/>
  <c r="Y9" i="3"/>
  <c r="Z9" i="3"/>
  <c r="AA9" i="3"/>
  <c r="AB9" i="3"/>
  <c r="AC9" i="3"/>
  <c r="AD9" i="3"/>
  <c r="AE9" i="3"/>
  <c r="R10" i="3"/>
  <c r="S10" i="3"/>
  <c r="T10" i="3"/>
  <c r="U10" i="3"/>
  <c r="V10" i="3"/>
  <c r="W10" i="3"/>
  <c r="X10" i="3"/>
  <c r="Y10" i="3"/>
  <c r="Z10" i="3"/>
  <c r="AA10" i="3"/>
  <c r="AB10" i="3"/>
  <c r="AC10" i="3"/>
  <c r="AD10" i="3"/>
  <c r="AE10" i="3"/>
  <c r="R11" i="3"/>
  <c r="S11" i="3"/>
  <c r="T11" i="3"/>
  <c r="U11" i="3"/>
  <c r="V11" i="3"/>
  <c r="W11" i="3"/>
  <c r="X11" i="3"/>
  <c r="Y11" i="3"/>
  <c r="Z11" i="3"/>
  <c r="AA11" i="3"/>
  <c r="AB11" i="3"/>
  <c r="AC11" i="3"/>
  <c r="AD11" i="3"/>
  <c r="AE11" i="3"/>
  <c r="R12" i="3"/>
  <c r="S12" i="3"/>
  <c r="T12" i="3"/>
  <c r="U12" i="3"/>
  <c r="V12" i="3"/>
  <c r="W12" i="3"/>
  <c r="X12" i="3"/>
  <c r="Y12" i="3"/>
  <c r="Z12" i="3"/>
  <c r="AA12" i="3"/>
  <c r="AB12" i="3"/>
  <c r="AC12" i="3"/>
  <c r="AD12" i="3"/>
  <c r="AE12" i="3"/>
  <c r="R13" i="3"/>
  <c r="S13" i="3"/>
  <c r="T13" i="3"/>
  <c r="U13" i="3"/>
  <c r="V13" i="3"/>
  <c r="W13" i="3"/>
  <c r="X13" i="3"/>
  <c r="Y13" i="3"/>
  <c r="Z13" i="3"/>
  <c r="AA13" i="3"/>
  <c r="AB13" i="3"/>
  <c r="AC13" i="3"/>
  <c r="AD13" i="3"/>
  <c r="AE13" i="3"/>
  <c r="R14" i="3"/>
  <c r="S14" i="3"/>
  <c r="T14" i="3"/>
  <c r="U14" i="3"/>
  <c r="V14" i="3"/>
  <c r="W14" i="3"/>
  <c r="X14" i="3"/>
  <c r="Y14" i="3"/>
  <c r="Z14" i="3"/>
  <c r="AA14" i="3"/>
  <c r="AB14" i="3"/>
  <c r="AC14" i="3"/>
  <c r="AD14" i="3"/>
  <c r="AE14" i="3"/>
  <c r="R15" i="3"/>
  <c r="S15" i="3"/>
  <c r="T15" i="3"/>
  <c r="U15" i="3"/>
  <c r="V15" i="3"/>
  <c r="W15" i="3"/>
  <c r="X15" i="3"/>
  <c r="Y15" i="3"/>
  <c r="Z15" i="3"/>
  <c r="AA15" i="3"/>
  <c r="AB15" i="3"/>
  <c r="AC15" i="3"/>
  <c r="AD15" i="3"/>
  <c r="AE15" i="3"/>
  <c r="R16" i="3"/>
  <c r="S16" i="3"/>
  <c r="T16" i="3"/>
  <c r="U16" i="3"/>
  <c r="V16" i="3"/>
  <c r="W16" i="3"/>
  <c r="X16" i="3"/>
  <c r="Y16" i="3"/>
  <c r="Z16" i="3"/>
  <c r="AA16" i="3"/>
  <c r="AB16" i="3"/>
  <c r="AC16" i="3"/>
  <c r="AD16" i="3"/>
  <c r="AE16" i="3"/>
  <c r="R17" i="3"/>
  <c r="S17" i="3"/>
  <c r="T17" i="3"/>
  <c r="U17" i="3"/>
  <c r="V17" i="3"/>
  <c r="W17" i="3"/>
  <c r="X17" i="3"/>
  <c r="Y17" i="3"/>
  <c r="Z17" i="3"/>
  <c r="AA17" i="3"/>
  <c r="AB17" i="3"/>
  <c r="AC17" i="3"/>
  <c r="AD17" i="3"/>
  <c r="AE17" i="3"/>
  <c r="R18" i="3"/>
  <c r="S18" i="3"/>
  <c r="T18" i="3"/>
  <c r="U18" i="3"/>
  <c r="V18" i="3"/>
  <c r="W18" i="3"/>
  <c r="X18" i="3"/>
  <c r="Y18" i="3"/>
  <c r="Z18" i="3"/>
  <c r="AA18" i="3"/>
  <c r="AB18" i="3"/>
  <c r="AC18" i="3"/>
  <c r="AD18" i="3"/>
  <c r="AE18" i="3"/>
  <c r="R19" i="3"/>
  <c r="S19" i="3"/>
  <c r="T19" i="3"/>
  <c r="U19" i="3"/>
  <c r="V19" i="3"/>
  <c r="W19" i="3"/>
  <c r="X19" i="3"/>
  <c r="Y19" i="3"/>
  <c r="Z19" i="3"/>
  <c r="AA19" i="3"/>
  <c r="AB19" i="3"/>
  <c r="AC19" i="3"/>
  <c r="AD19" i="3"/>
  <c r="AE19" i="3"/>
  <c r="R20" i="3"/>
  <c r="S20" i="3"/>
  <c r="T20" i="3"/>
  <c r="U20" i="3"/>
  <c r="V20" i="3"/>
  <c r="W20" i="3"/>
  <c r="X20" i="3"/>
  <c r="Y20" i="3"/>
  <c r="Z20" i="3"/>
  <c r="AA20" i="3"/>
  <c r="AB20" i="3"/>
  <c r="AC20" i="3"/>
  <c r="AD20" i="3"/>
  <c r="AE20" i="3"/>
  <c r="R21" i="3"/>
  <c r="S21" i="3"/>
  <c r="T21" i="3"/>
  <c r="U21" i="3"/>
  <c r="V21" i="3"/>
  <c r="W21" i="3"/>
  <c r="X21" i="3"/>
  <c r="Y21" i="3"/>
  <c r="Z21" i="3"/>
  <c r="AA21" i="3"/>
  <c r="AB21" i="3"/>
  <c r="AC21" i="3"/>
  <c r="AD21" i="3"/>
  <c r="AE21" i="3"/>
  <c r="R22" i="3"/>
  <c r="S22" i="3"/>
  <c r="T22" i="3"/>
  <c r="U22" i="3"/>
  <c r="V22" i="3"/>
  <c r="W22" i="3"/>
  <c r="X22" i="3"/>
  <c r="Y22" i="3"/>
  <c r="Z22" i="3"/>
  <c r="AA22" i="3"/>
  <c r="AB22" i="3"/>
  <c r="AC22" i="3"/>
  <c r="AD22" i="3"/>
  <c r="AE22" i="3"/>
  <c r="R23" i="3"/>
  <c r="S23" i="3"/>
  <c r="T23" i="3"/>
  <c r="U23" i="3"/>
  <c r="V23" i="3"/>
  <c r="W23" i="3"/>
  <c r="X23" i="3"/>
  <c r="Y23" i="3"/>
  <c r="Z23" i="3"/>
  <c r="AA23" i="3"/>
  <c r="AB23" i="3"/>
  <c r="AC23" i="3"/>
  <c r="AD23" i="3"/>
  <c r="AE23" i="3"/>
  <c r="R24" i="3"/>
  <c r="S24" i="3"/>
  <c r="T24" i="3"/>
  <c r="U24" i="3"/>
  <c r="V24" i="3"/>
  <c r="W24" i="3"/>
  <c r="X24" i="3"/>
  <c r="Y24" i="3"/>
  <c r="Z24" i="3"/>
  <c r="AA24" i="3"/>
  <c r="AB24" i="3"/>
  <c r="AC24" i="3"/>
  <c r="AD24" i="3"/>
  <c r="AE24" i="3"/>
  <c r="R25" i="3"/>
  <c r="S25" i="3"/>
  <c r="T25" i="3"/>
  <c r="U25" i="3"/>
  <c r="V25" i="3"/>
  <c r="W25" i="3"/>
  <c r="X25" i="3"/>
  <c r="Y25" i="3"/>
  <c r="Z25" i="3"/>
  <c r="AA25" i="3"/>
  <c r="AB25" i="3"/>
  <c r="AC25" i="3"/>
  <c r="AD25" i="3"/>
  <c r="AE25" i="3"/>
  <c r="R26" i="3"/>
  <c r="S26" i="3"/>
  <c r="T26" i="3"/>
  <c r="U26" i="3"/>
  <c r="V26" i="3"/>
  <c r="W26" i="3"/>
  <c r="X26" i="3"/>
  <c r="Y26" i="3"/>
  <c r="Z26" i="3"/>
  <c r="AA26" i="3"/>
  <c r="AB26" i="3"/>
  <c r="AC26" i="3"/>
  <c r="AD26" i="3"/>
  <c r="AE26" i="3"/>
  <c r="R27" i="3"/>
  <c r="S27" i="3"/>
  <c r="T27" i="3"/>
  <c r="U27" i="3"/>
  <c r="V27" i="3"/>
  <c r="W27" i="3"/>
  <c r="X27" i="3"/>
  <c r="Y27" i="3"/>
  <c r="Z27" i="3"/>
  <c r="AA27" i="3"/>
  <c r="AB27" i="3"/>
  <c r="AC27" i="3"/>
  <c r="AD27" i="3"/>
  <c r="AE27" i="3"/>
  <c r="R28" i="3"/>
  <c r="S28" i="3"/>
  <c r="T28" i="3"/>
  <c r="U28" i="3"/>
  <c r="V28" i="3"/>
  <c r="W28" i="3"/>
  <c r="X28" i="3"/>
  <c r="Y28" i="3"/>
  <c r="Z28" i="3"/>
  <c r="AA28" i="3"/>
  <c r="AB28" i="3"/>
  <c r="AC28" i="3"/>
  <c r="AD28" i="3"/>
  <c r="AE28" i="3"/>
  <c r="R29" i="3"/>
  <c r="S29" i="3"/>
  <c r="T29" i="3"/>
  <c r="U29" i="3"/>
  <c r="V29" i="3"/>
  <c r="W29" i="3"/>
  <c r="X29" i="3"/>
  <c r="Y29" i="3"/>
  <c r="Z29" i="3"/>
  <c r="AA29" i="3"/>
  <c r="AB29" i="3"/>
  <c r="AC29" i="3"/>
  <c r="AD29" i="3"/>
  <c r="AE29" i="3"/>
  <c r="R30" i="3"/>
  <c r="S30" i="3"/>
  <c r="T30" i="3"/>
  <c r="U30" i="3"/>
  <c r="V30" i="3"/>
  <c r="W30" i="3"/>
  <c r="X30" i="3"/>
  <c r="Y30" i="3"/>
  <c r="Z30" i="3"/>
  <c r="AA30" i="3"/>
  <c r="AB30" i="3"/>
  <c r="AC30" i="3"/>
  <c r="AD30" i="3"/>
  <c r="AE30" i="3"/>
  <c r="R31" i="3"/>
  <c r="S31" i="3"/>
  <c r="T31" i="3"/>
  <c r="U31" i="3"/>
  <c r="V31" i="3"/>
  <c r="W31" i="3"/>
  <c r="X31" i="3"/>
  <c r="Y31" i="3"/>
  <c r="Z31" i="3"/>
  <c r="AA31" i="3"/>
  <c r="AB31" i="3"/>
  <c r="AC31" i="3"/>
  <c r="AD31" i="3"/>
  <c r="AE31" i="3"/>
  <c r="R32" i="3"/>
  <c r="S32" i="3"/>
  <c r="T32" i="3"/>
  <c r="U32" i="3"/>
  <c r="V32" i="3"/>
  <c r="W32" i="3"/>
  <c r="X32" i="3"/>
  <c r="Y32" i="3"/>
  <c r="Z32" i="3"/>
  <c r="AA32" i="3"/>
  <c r="AB32" i="3"/>
  <c r="AC32" i="3"/>
  <c r="AD32" i="3"/>
  <c r="AE32" i="3"/>
  <c r="R33" i="3"/>
  <c r="S33" i="3"/>
  <c r="T33" i="3"/>
  <c r="U33" i="3"/>
  <c r="V33" i="3"/>
  <c r="W33" i="3"/>
  <c r="X33" i="3"/>
  <c r="Y33" i="3"/>
  <c r="Z33" i="3"/>
  <c r="AA33" i="3"/>
  <c r="AB33" i="3"/>
  <c r="AC33" i="3"/>
  <c r="AD33" i="3"/>
  <c r="AE33" i="3"/>
  <c r="R34" i="3"/>
  <c r="S34" i="3"/>
  <c r="T34" i="3"/>
  <c r="U34" i="3"/>
  <c r="V34" i="3"/>
  <c r="W34" i="3"/>
  <c r="X34" i="3"/>
  <c r="Y34" i="3"/>
  <c r="Z34" i="3"/>
  <c r="AA34" i="3"/>
  <c r="AB34" i="3"/>
  <c r="AC34" i="3"/>
  <c r="AD34" i="3"/>
  <c r="AE34" i="3"/>
  <c r="R35" i="3"/>
  <c r="S35" i="3"/>
  <c r="T35" i="3"/>
  <c r="U35" i="3"/>
  <c r="V35" i="3"/>
  <c r="W35" i="3"/>
  <c r="X35" i="3"/>
  <c r="Y35" i="3"/>
  <c r="Z35" i="3"/>
  <c r="AA35" i="3"/>
  <c r="AB35" i="3"/>
  <c r="AC35" i="3"/>
  <c r="AD35" i="3"/>
  <c r="AE35" i="3"/>
  <c r="R36" i="3"/>
  <c r="S36" i="3"/>
  <c r="T36" i="3"/>
  <c r="U36" i="3"/>
  <c r="V36" i="3"/>
  <c r="W36" i="3"/>
  <c r="X36" i="3"/>
  <c r="Y36" i="3"/>
  <c r="Z36" i="3"/>
  <c r="AA36" i="3"/>
  <c r="AB36" i="3"/>
  <c r="AC36" i="3"/>
  <c r="AD36" i="3"/>
  <c r="AE36" i="3"/>
  <c r="R37" i="3"/>
  <c r="S37" i="3"/>
  <c r="T37" i="3"/>
  <c r="U37" i="3"/>
  <c r="V37" i="3"/>
  <c r="W37" i="3"/>
  <c r="X37" i="3"/>
  <c r="Y37" i="3"/>
  <c r="Z37" i="3"/>
  <c r="AA37" i="3"/>
  <c r="AB37" i="3"/>
  <c r="AC37" i="3"/>
  <c r="AD37" i="3"/>
  <c r="AE37" i="3"/>
  <c r="R38" i="3"/>
  <c r="S38" i="3"/>
  <c r="T38" i="3"/>
  <c r="U38" i="3"/>
  <c r="V38" i="3"/>
  <c r="W38" i="3"/>
  <c r="X38" i="3"/>
  <c r="Y38" i="3"/>
  <c r="Z38" i="3"/>
  <c r="AA38" i="3"/>
  <c r="AB38" i="3"/>
  <c r="AC38" i="3"/>
  <c r="AD38" i="3"/>
  <c r="AE38" i="3"/>
  <c r="R39" i="3"/>
  <c r="S39" i="3"/>
  <c r="T39" i="3"/>
  <c r="U39" i="3"/>
  <c r="V39" i="3"/>
  <c r="W39" i="3"/>
  <c r="X39" i="3"/>
  <c r="Y39" i="3"/>
  <c r="Z39" i="3"/>
  <c r="AA39" i="3"/>
  <c r="AB39" i="3"/>
  <c r="AC39" i="3"/>
  <c r="AD39" i="3"/>
  <c r="AE39" i="3"/>
  <c r="R40" i="3"/>
  <c r="S40" i="3"/>
  <c r="T40" i="3"/>
  <c r="U40" i="3"/>
  <c r="V40" i="3"/>
  <c r="W40" i="3"/>
  <c r="X40" i="3"/>
  <c r="Y40" i="3"/>
  <c r="Z40" i="3"/>
  <c r="AA40" i="3"/>
  <c r="AB40" i="3"/>
  <c r="AC40" i="3"/>
  <c r="AD40" i="3"/>
  <c r="AE40" i="3"/>
  <c r="R41" i="3"/>
  <c r="S41" i="3"/>
  <c r="T41" i="3"/>
  <c r="U41" i="3"/>
  <c r="V41" i="3"/>
  <c r="W41" i="3"/>
  <c r="X41" i="3"/>
  <c r="Y41" i="3"/>
  <c r="Z41" i="3"/>
  <c r="AA41" i="3"/>
  <c r="AB41" i="3"/>
  <c r="AC41" i="3"/>
  <c r="AD41" i="3"/>
  <c r="AE41" i="3"/>
  <c r="R42" i="3"/>
  <c r="S42" i="3"/>
  <c r="T42" i="3"/>
  <c r="U42" i="3"/>
  <c r="V42" i="3"/>
  <c r="W42" i="3"/>
  <c r="X42" i="3"/>
  <c r="Y42" i="3"/>
  <c r="Z42" i="3"/>
  <c r="AA42" i="3"/>
  <c r="AB42" i="3"/>
  <c r="AC42" i="3"/>
  <c r="AD42" i="3"/>
  <c r="AE42" i="3"/>
  <c r="R43" i="3"/>
  <c r="S43" i="3"/>
  <c r="T43" i="3"/>
  <c r="U43" i="3"/>
  <c r="V43" i="3"/>
  <c r="W43" i="3"/>
  <c r="X43" i="3"/>
  <c r="Y43" i="3"/>
  <c r="Z43" i="3"/>
  <c r="AA43" i="3"/>
  <c r="AB43" i="3"/>
  <c r="AC43" i="3"/>
  <c r="AD43" i="3"/>
  <c r="AE43" i="3"/>
  <c r="R44" i="3"/>
  <c r="S44" i="3"/>
  <c r="T44" i="3"/>
  <c r="U44" i="3"/>
  <c r="V44" i="3"/>
  <c r="W44" i="3"/>
  <c r="X44" i="3"/>
  <c r="Y44" i="3"/>
  <c r="Z44" i="3"/>
  <c r="AA44" i="3"/>
  <c r="AB44" i="3"/>
  <c r="AC44" i="3"/>
  <c r="AD44" i="3"/>
  <c r="AE44" i="3"/>
  <c r="R45" i="3"/>
  <c r="S45" i="3"/>
  <c r="T45" i="3"/>
  <c r="U45" i="3"/>
  <c r="V45" i="3"/>
  <c r="W45" i="3"/>
  <c r="X45" i="3"/>
  <c r="Y45" i="3"/>
  <c r="Z45" i="3"/>
  <c r="AA45" i="3"/>
  <c r="AB45" i="3"/>
  <c r="AC45" i="3"/>
  <c r="AD45" i="3"/>
  <c r="AE45" i="3"/>
  <c r="R46" i="3"/>
  <c r="S46" i="3"/>
  <c r="T46" i="3"/>
  <c r="U46" i="3"/>
  <c r="V46" i="3"/>
  <c r="W46" i="3"/>
  <c r="X46" i="3"/>
  <c r="Y46" i="3"/>
  <c r="Z46" i="3"/>
  <c r="AA46" i="3"/>
  <c r="AB46" i="3"/>
  <c r="AC46" i="3"/>
  <c r="AD46" i="3"/>
  <c r="AE46" i="3"/>
  <c r="R47" i="3"/>
  <c r="S47" i="3"/>
  <c r="T47" i="3"/>
  <c r="U47" i="3"/>
  <c r="V47" i="3"/>
  <c r="W47" i="3"/>
  <c r="X47" i="3"/>
  <c r="Y47" i="3"/>
  <c r="Z47" i="3"/>
  <c r="AA47" i="3"/>
  <c r="AB47" i="3"/>
  <c r="AC47" i="3"/>
  <c r="AD47" i="3"/>
  <c r="AE47" i="3"/>
  <c r="R48" i="3"/>
  <c r="S48" i="3"/>
  <c r="T48" i="3"/>
  <c r="U48" i="3"/>
  <c r="V48" i="3"/>
  <c r="W48" i="3"/>
  <c r="X48" i="3"/>
  <c r="Y48" i="3"/>
  <c r="Z48" i="3"/>
  <c r="AA48" i="3"/>
  <c r="AB48" i="3"/>
  <c r="AC48" i="3"/>
  <c r="AD48" i="3"/>
  <c r="AE48" i="3"/>
  <c r="R49" i="3"/>
  <c r="S49" i="3"/>
  <c r="T49" i="3"/>
  <c r="U49" i="3"/>
  <c r="V49" i="3"/>
  <c r="W49" i="3"/>
  <c r="X49" i="3"/>
  <c r="Y49" i="3"/>
  <c r="Z49" i="3"/>
  <c r="AA49" i="3"/>
  <c r="AB49" i="3"/>
  <c r="AC49" i="3"/>
  <c r="AD49" i="3"/>
  <c r="AE49" i="3"/>
  <c r="R50" i="3"/>
  <c r="S50" i="3"/>
  <c r="T50" i="3"/>
  <c r="U50" i="3"/>
  <c r="V50" i="3"/>
  <c r="W50" i="3"/>
  <c r="X50" i="3"/>
  <c r="Y50" i="3"/>
  <c r="Z50" i="3"/>
  <c r="AA50" i="3"/>
  <c r="AB50" i="3"/>
  <c r="AC50" i="3"/>
  <c r="AD50" i="3"/>
  <c r="AE50" i="3"/>
  <c r="R51" i="3"/>
  <c r="S51" i="3"/>
  <c r="T51" i="3"/>
  <c r="U51" i="3"/>
  <c r="V51" i="3"/>
  <c r="W51" i="3"/>
  <c r="X51" i="3"/>
  <c r="Y51" i="3"/>
  <c r="Z51" i="3"/>
  <c r="AA51" i="3"/>
  <c r="AB51" i="3"/>
  <c r="AC51" i="3"/>
  <c r="AD51" i="3"/>
  <c r="AE51" i="3"/>
  <c r="R52" i="3"/>
  <c r="S52" i="3"/>
  <c r="T52" i="3"/>
  <c r="U52" i="3"/>
  <c r="V52" i="3"/>
  <c r="W52" i="3"/>
  <c r="X52" i="3"/>
  <c r="Y52" i="3"/>
  <c r="Z52" i="3"/>
  <c r="AA52" i="3"/>
  <c r="AB52" i="3"/>
  <c r="AC52" i="3"/>
  <c r="AD52" i="3"/>
  <c r="AE52" i="3"/>
  <c r="R53" i="3"/>
  <c r="S53" i="3"/>
  <c r="T53" i="3"/>
  <c r="U53" i="3"/>
  <c r="V53" i="3"/>
  <c r="W53" i="3"/>
  <c r="X53" i="3"/>
  <c r="Y53" i="3"/>
  <c r="Z53" i="3"/>
  <c r="AA53" i="3"/>
  <c r="AB53" i="3"/>
  <c r="AC53" i="3"/>
  <c r="AD53" i="3"/>
  <c r="AE53" i="3"/>
  <c r="R54" i="3"/>
  <c r="S54" i="3"/>
  <c r="T54" i="3"/>
  <c r="U54" i="3"/>
  <c r="V54" i="3"/>
  <c r="W54" i="3"/>
  <c r="X54" i="3"/>
  <c r="Y54" i="3"/>
  <c r="Z54" i="3"/>
  <c r="AA54" i="3"/>
  <c r="AB54" i="3"/>
  <c r="AC54" i="3"/>
  <c r="AD54" i="3"/>
  <c r="AE54" i="3"/>
  <c r="R55" i="3"/>
  <c r="S55" i="3"/>
  <c r="T55" i="3"/>
  <c r="U55" i="3"/>
  <c r="V55" i="3"/>
  <c r="W55" i="3"/>
  <c r="X55" i="3"/>
  <c r="Y55" i="3"/>
  <c r="Z55" i="3"/>
  <c r="AA55" i="3"/>
  <c r="AB55" i="3"/>
  <c r="AC55" i="3"/>
  <c r="AD55" i="3"/>
  <c r="AE55" i="3"/>
  <c r="R56" i="3"/>
  <c r="S56" i="3"/>
  <c r="T56" i="3"/>
  <c r="U56" i="3"/>
  <c r="V56" i="3"/>
  <c r="W56" i="3"/>
  <c r="X56" i="3"/>
  <c r="Y56" i="3"/>
  <c r="Z56" i="3"/>
  <c r="AA56" i="3"/>
  <c r="AB56" i="3"/>
  <c r="AC56" i="3"/>
  <c r="AD56" i="3"/>
  <c r="AE56" i="3"/>
  <c r="R57" i="3"/>
  <c r="S57" i="3"/>
  <c r="T57" i="3"/>
  <c r="U57" i="3"/>
  <c r="V57" i="3"/>
  <c r="W57" i="3"/>
  <c r="X57" i="3"/>
  <c r="Y57" i="3"/>
  <c r="Z57" i="3"/>
  <c r="AA57" i="3"/>
  <c r="AB57" i="3"/>
  <c r="AC57" i="3"/>
  <c r="AD57" i="3"/>
  <c r="AE57" i="3"/>
  <c r="R58" i="3"/>
  <c r="S58" i="3"/>
  <c r="T58" i="3"/>
  <c r="U58" i="3"/>
  <c r="V58" i="3"/>
  <c r="W58" i="3"/>
  <c r="X58" i="3"/>
  <c r="Y58" i="3"/>
  <c r="Z58" i="3"/>
  <c r="AA58" i="3"/>
  <c r="AB58" i="3"/>
  <c r="AC58" i="3"/>
  <c r="AD58" i="3"/>
  <c r="AE58" i="3"/>
  <c r="R59" i="3"/>
  <c r="S59" i="3"/>
  <c r="T59" i="3"/>
  <c r="U59" i="3"/>
  <c r="V59" i="3"/>
  <c r="W59" i="3"/>
  <c r="X59" i="3"/>
  <c r="Y59" i="3"/>
  <c r="Z59" i="3"/>
  <c r="AA59" i="3"/>
  <c r="AB59" i="3"/>
  <c r="AC59" i="3"/>
  <c r="AD59" i="3"/>
  <c r="AE59" i="3"/>
  <c r="R60" i="3"/>
  <c r="S60" i="3"/>
  <c r="T60" i="3"/>
  <c r="U60" i="3"/>
  <c r="V60" i="3"/>
  <c r="W60" i="3"/>
  <c r="X60" i="3"/>
  <c r="Y60" i="3"/>
  <c r="Z60" i="3"/>
  <c r="AA60" i="3"/>
  <c r="AB60" i="3"/>
  <c r="AC60" i="3"/>
  <c r="AD60" i="3"/>
  <c r="AE60" i="3"/>
  <c r="R61" i="3"/>
  <c r="S61" i="3"/>
  <c r="T61" i="3"/>
  <c r="U61" i="3"/>
  <c r="V61" i="3"/>
  <c r="W61" i="3"/>
  <c r="X61" i="3"/>
  <c r="Y61" i="3"/>
  <c r="Z61" i="3"/>
  <c r="AA61" i="3"/>
  <c r="AB61" i="3"/>
  <c r="AC61" i="3"/>
  <c r="AD61" i="3"/>
  <c r="AE61" i="3"/>
  <c r="R62" i="3"/>
  <c r="S62" i="3"/>
  <c r="T62" i="3"/>
  <c r="U62" i="3"/>
  <c r="V62" i="3"/>
  <c r="W62" i="3"/>
  <c r="X62" i="3"/>
  <c r="Y62" i="3"/>
  <c r="Z62" i="3"/>
  <c r="AA62" i="3"/>
  <c r="AB62" i="3"/>
  <c r="AC62" i="3"/>
  <c r="AD62" i="3"/>
  <c r="AE62" i="3"/>
  <c r="R63" i="3"/>
  <c r="S63" i="3"/>
  <c r="T63" i="3"/>
  <c r="U63" i="3"/>
  <c r="V63" i="3"/>
  <c r="W63" i="3"/>
  <c r="X63" i="3"/>
  <c r="Y63" i="3"/>
  <c r="Z63" i="3"/>
  <c r="AA63" i="3"/>
  <c r="AB63" i="3"/>
  <c r="AC63" i="3"/>
  <c r="AD63" i="3"/>
  <c r="AE63" i="3"/>
  <c r="R64" i="3"/>
  <c r="S64" i="3"/>
  <c r="T64" i="3"/>
  <c r="U64" i="3"/>
  <c r="V64" i="3"/>
  <c r="W64" i="3"/>
  <c r="X64" i="3"/>
  <c r="Y64" i="3"/>
  <c r="Z64" i="3"/>
  <c r="AA64" i="3"/>
  <c r="AB64" i="3"/>
  <c r="AC64" i="3"/>
  <c r="AD64" i="3"/>
  <c r="AE64" i="3"/>
  <c r="R65" i="3"/>
  <c r="S65" i="3"/>
  <c r="T65" i="3"/>
  <c r="U65" i="3"/>
  <c r="V65" i="3"/>
  <c r="W65" i="3"/>
  <c r="X65" i="3"/>
  <c r="Y65" i="3"/>
  <c r="Z65" i="3"/>
  <c r="AA65" i="3"/>
  <c r="AB65" i="3"/>
  <c r="AC65" i="3"/>
  <c r="AD65" i="3"/>
  <c r="AE65" i="3"/>
  <c r="R66" i="3"/>
  <c r="S66" i="3"/>
  <c r="T66" i="3"/>
  <c r="U66" i="3"/>
  <c r="V66" i="3"/>
  <c r="W66" i="3"/>
  <c r="X66" i="3"/>
  <c r="Y66" i="3"/>
  <c r="Z66" i="3"/>
  <c r="AA66" i="3"/>
  <c r="AB66" i="3"/>
  <c r="AC66" i="3"/>
  <c r="AD66" i="3"/>
  <c r="AE66" i="3"/>
  <c r="R67" i="3"/>
  <c r="S67" i="3"/>
  <c r="T67" i="3"/>
  <c r="U67" i="3"/>
  <c r="V67" i="3"/>
  <c r="W67" i="3"/>
  <c r="X67" i="3"/>
  <c r="Y67" i="3"/>
  <c r="Z67" i="3"/>
  <c r="AA67" i="3"/>
  <c r="AB67" i="3"/>
  <c r="AC67" i="3"/>
  <c r="AD67" i="3"/>
  <c r="AE67" i="3"/>
  <c r="R68" i="3"/>
  <c r="S68" i="3"/>
  <c r="T68" i="3"/>
  <c r="U68" i="3"/>
  <c r="V68" i="3"/>
  <c r="W68" i="3"/>
  <c r="X68" i="3"/>
  <c r="Y68" i="3"/>
  <c r="Z68" i="3"/>
  <c r="AA68" i="3"/>
  <c r="AB68" i="3"/>
  <c r="AC68" i="3"/>
  <c r="AD68" i="3"/>
  <c r="AE68" i="3"/>
  <c r="R69" i="3"/>
  <c r="S69" i="3"/>
  <c r="T69" i="3"/>
  <c r="U69" i="3"/>
  <c r="V69" i="3"/>
  <c r="W69" i="3"/>
  <c r="X69" i="3"/>
  <c r="Y69" i="3"/>
  <c r="Z69" i="3"/>
  <c r="AA69" i="3"/>
  <c r="AB69" i="3"/>
  <c r="AC69" i="3"/>
  <c r="AD69" i="3"/>
  <c r="AE69" i="3"/>
  <c r="R70" i="3"/>
  <c r="S70" i="3"/>
  <c r="T70" i="3"/>
  <c r="U70" i="3"/>
  <c r="V70" i="3"/>
  <c r="W70" i="3"/>
  <c r="X70" i="3"/>
  <c r="Y70" i="3"/>
  <c r="Z70" i="3"/>
  <c r="AA70" i="3"/>
  <c r="AB70" i="3"/>
  <c r="AC70" i="3"/>
  <c r="AD70" i="3"/>
  <c r="AE70" i="3"/>
  <c r="R71" i="3"/>
  <c r="S71" i="3"/>
  <c r="T71" i="3"/>
  <c r="U71" i="3"/>
  <c r="V71" i="3"/>
  <c r="W71" i="3"/>
  <c r="X71" i="3"/>
  <c r="Y71" i="3"/>
  <c r="Z71" i="3"/>
  <c r="AA71" i="3"/>
  <c r="AB71" i="3"/>
  <c r="AC71" i="3"/>
  <c r="AD71" i="3"/>
  <c r="AE71" i="3"/>
  <c r="R72" i="3"/>
  <c r="S72" i="3"/>
  <c r="T72" i="3"/>
  <c r="U72" i="3"/>
  <c r="V72" i="3"/>
  <c r="W72" i="3"/>
  <c r="X72" i="3"/>
  <c r="Y72" i="3"/>
  <c r="Z72" i="3"/>
  <c r="AA72" i="3"/>
  <c r="AB72" i="3"/>
  <c r="AC72" i="3"/>
  <c r="AD72" i="3"/>
  <c r="AE72" i="3"/>
  <c r="R73" i="3"/>
  <c r="S73" i="3"/>
  <c r="T73" i="3"/>
  <c r="U73" i="3"/>
  <c r="V73" i="3"/>
  <c r="W73" i="3"/>
  <c r="X73" i="3"/>
  <c r="Y73" i="3"/>
  <c r="Z73" i="3"/>
  <c r="AA73" i="3"/>
  <c r="AB73" i="3"/>
  <c r="AC73" i="3"/>
  <c r="AD73" i="3"/>
  <c r="AE73" i="3"/>
  <c r="R74" i="3"/>
  <c r="S74" i="3"/>
  <c r="T74" i="3"/>
  <c r="U74" i="3"/>
  <c r="V74" i="3"/>
  <c r="W74" i="3"/>
  <c r="X74" i="3"/>
  <c r="Y74" i="3"/>
  <c r="Z74" i="3"/>
  <c r="AA74" i="3"/>
  <c r="AB74" i="3"/>
  <c r="AC74" i="3"/>
  <c r="AD74" i="3"/>
  <c r="AE74" i="3"/>
  <c r="R75" i="3"/>
  <c r="S75" i="3"/>
  <c r="T75" i="3"/>
  <c r="U75" i="3"/>
  <c r="V75" i="3"/>
  <c r="W75" i="3"/>
  <c r="X75" i="3"/>
  <c r="Y75" i="3"/>
  <c r="Z75" i="3"/>
  <c r="AA75" i="3"/>
  <c r="AB75" i="3"/>
  <c r="AC75" i="3"/>
  <c r="AD75" i="3"/>
  <c r="AE75" i="3"/>
  <c r="R76" i="3"/>
  <c r="S76" i="3"/>
  <c r="T76" i="3"/>
  <c r="U76" i="3"/>
  <c r="V76" i="3"/>
  <c r="W76" i="3"/>
  <c r="X76" i="3"/>
  <c r="Y76" i="3"/>
  <c r="Z76" i="3"/>
  <c r="AA76" i="3"/>
  <c r="AB76" i="3"/>
  <c r="AC76" i="3"/>
  <c r="AD76" i="3"/>
  <c r="AE76" i="3"/>
  <c r="R77" i="3"/>
  <c r="S77" i="3"/>
  <c r="T77" i="3"/>
  <c r="U77" i="3"/>
  <c r="V77" i="3"/>
  <c r="W77" i="3"/>
  <c r="X77" i="3"/>
  <c r="Y77" i="3"/>
  <c r="Z77" i="3"/>
  <c r="AA77" i="3"/>
  <c r="AB77" i="3"/>
  <c r="AC77" i="3"/>
  <c r="AD77" i="3"/>
  <c r="AE77" i="3"/>
  <c r="R78" i="3"/>
  <c r="S78" i="3"/>
  <c r="T78" i="3"/>
  <c r="U78" i="3"/>
  <c r="V78" i="3"/>
  <c r="W78" i="3"/>
  <c r="X78" i="3"/>
  <c r="Y78" i="3"/>
  <c r="Z78" i="3"/>
  <c r="AA78" i="3"/>
  <c r="AB78" i="3"/>
  <c r="AC78" i="3"/>
  <c r="AD78" i="3"/>
  <c r="AE78" i="3"/>
  <c r="R79" i="3"/>
  <c r="S79" i="3"/>
  <c r="T79" i="3"/>
  <c r="U79" i="3"/>
  <c r="V79" i="3"/>
  <c r="W79" i="3"/>
  <c r="X79" i="3"/>
  <c r="Y79" i="3"/>
  <c r="Z79" i="3"/>
  <c r="AA79" i="3"/>
  <c r="AB79" i="3"/>
  <c r="AC79" i="3"/>
  <c r="AD79" i="3"/>
  <c r="AE79" i="3"/>
  <c r="R80" i="3"/>
  <c r="S80" i="3"/>
  <c r="T80" i="3"/>
  <c r="U80" i="3"/>
  <c r="V80" i="3"/>
  <c r="W80" i="3"/>
  <c r="X80" i="3"/>
  <c r="Y80" i="3"/>
  <c r="Z80" i="3"/>
  <c r="AA80" i="3"/>
  <c r="AB80" i="3"/>
  <c r="AC80" i="3"/>
  <c r="AD80" i="3"/>
  <c r="AE80" i="3"/>
  <c r="R81" i="3"/>
  <c r="S81" i="3"/>
  <c r="T81" i="3"/>
  <c r="U81" i="3"/>
  <c r="V81" i="3"/>
  <c r="W81" i="3"/>
  <c r="X81" i="3"/>
  <c r="Y81" i="3"/>
  <c r="Z81" i="3"/>
  <c r="AA81" i="3"/>
  <c r="AB81" i="3"/>
  <c r="AC81" i="3"/>
  <c r="AD81" i="3"/>
  <c r="AE81" i="3"/>
  <c r="R82" i="3"/>
  <c r="S82" i="3"/>
  <c r="T82" i="3"/>
  <c r="U82" i="3"/>
  <c r="V82" i="3"/>
  <c r="W82" i="3"/>
  <c r="X82" i="3"/>
  <c r="Y82" i="3"/>
  <c r="Z82" i="3"/>
  <c r="AA82" i="3"/>
  <c r="AB82" i="3"/>
  <c r="AC82" i="3"/>
  <c r="AD82" i="3"/>
  <c r="AE82" i="3"/>
  <c r="R83" i="3"/>
  <c r="S83" i="3"/>
  <c r="T83" i="3"/>
  <c r="U83" i="3"/>
  <c r="V83" i="3"/>
  <c r="W83" i="3"/>
  <c r="X83" i="3"/>
  <c r="Y83" i="3"/>
  <c r="Z83" i="3"/>
  <c r="AA83" i="3"/>
  <c r="AB83" i="3"/>
  <c r="AC83" i="3"/>
  <c r="AD83" i="3"/>
  <c r="AE83" i="3"/>
  <c r="R84" i="3"/>
  <c r="S84" i="3"/>
  <c r="T84" i="3"/>
  <c r="U84" i="3"/>
  <c r="V84" i="3"/>
  <c r="W84" i="3"/>
  <c r="X84" i="3"/>
  <c r="Y84" i="3"/>
  <c r="Z84" i="3"/>
  <c r="AA84" i="3"/>
  <c r="AB84" i="3"/>
  <c r="AC84" i="3"/>
  <c r="AD84" i="3"/>
  <c r="AE84" i="3"/>
  <c r="R85" i="3"/>
  <c r="S85" i="3"/>
  <c r="T85" i="3"/>
  <c r="U85" i="3"/>
  <c r="V85" i="3"/>
  <c r="W85" i="3"/>
  <c r="X85" i="3"/>
  <c r="Y85" i="3"/>
  <c r="Z85" i="3"/>
  <c r="AA85" i="3"/>
  <c r="AB85" i="3"/>
  <c r="AC85" i="3"/>
  <c r="AD85" i="3"/>
  <c r="AE85" i="3"/>
  <c r="R86" i="3"/>
  <c r="S86" i="3"/>
  <c r="T86" i="3"/>
  <c r="U86" i="3"/>
  <c r="V86" i="3"/>
  <c r="W86" i="3"/>
  <c r="X86" i="3"/>
  <c r="Y86" i="3"/>
  <c r="Z86" i="3"/>
  <c r="AA86" i="3"/>
  <c r="AB86" i="3"/>
  <c r="AC86" i="3"/>
  <c r="AD86" i="3"/>
  <c r="AE86" i="3"/>
  <c r="R87" i="3"/>
  <c r="S87" i="3"/>
  <c r="T87" i="3"/>
  <c r="U87" i="3"/>
  <c r="V87" i="3"/>
  <c r="W87" i="3"/>
  <c r="X87" i="3"/>
  <c r="Y87" i="3"/>
  <c r="Z87" i="3"/>
  <c r="AA87" i="3"/>
  <c r="AB87" i="3"/>
  <c r="AC87" i="3"/>
  <c r="AD87" i="3"/>
  <c r="AE87" i="3"/>
  <c r="R88" i="3"/>
  <c r="S88" i="3"/>
  <c r="T88" i="3"/>
  <c r="U88" i="3"/>
  <c r="V88" i="3"/>
  <c r="W88" i="3"/>
  <c r="X88" i="3"/>
  <c r="Y88" i="3"/>
  <c r="Z88" i="3"/>
  <c r="AA88" i="3"/>
  <c r="AB88" i="3"/>
  <c r="AC88" i="3"/>
  <c r="AD88" i="3"/>
  <c r="AE88" i="3"/>
  <c r="R89" i="3"/>
  <c r="S89" i="3"/>
  <c r="T89" i="3"/>
  <c r="U89" i="3"/>
  <c r="V89" i="3"/>
  <c r="W89" i="3"/>
  <c r="X89" i="3"/>
  <c r="Y89" i="3"/>
  <c r="Z89" i="3"/>
  <c r="AA89" i="3"/>
  <c r="AB89" i="3"/>
  <c r="AC89" i="3"/>
  <c r="AD89" i="3"/>
  <c r="AE89" i="3"/>
  <c r="R90" i="3"/>
  <c r="S90" i="3"/>
  <c r="T90" i="3"/>
  <c r="U90" i="3"/>
  <c r="V90" i="3"/>
  <c r="W90" i="3"/>
  <c r="X90" i="3"/>
  <c r="Y90" i="3"/>
  <c r="Z90" i="3"/>
  <c r="AA90" i="3"/>
  <c r="AB90" i="3"/>
  <c r="AC90" i="3"/>
  <c r="AD90" i="3"/>
  <c r="AE90" i="3"/>
  <c r="R91" i="3"/>
  <c r="S91" i="3"/>
  <c r="T91" i="3"/>
  <c r="U91" i="3"/>
  <c r="V91" i="3"/>
  <c r="W91" i="3"/>
  <c r="X91" i="3"/>
  <c r="Y91" i="3"/>
  <c r="Z91" i="3"/>
  <c r="AA91" i="3"/>
  <c r="AB91" i="3"/>
  <c r="AC91" i="3"/>
  <c r="AD91" i="3"/>
  <c r="AE91" i="3"/>
  <c r="R92" i="3"/>
  <c r="S92" i="3"/>
  <c r="T92" i="3"/>
  <c r="U92" i="3"/>
  <c r="V92" i="3"/>
  <c r="W92" i="3"/>
  <c r="X92" i="3"/>
  <c r="Y92" i="3"/>
  <c r="Z92" i="3"/>
  <c r="AA92" i="3"/>
  <c r="AB92" i="3"/>
  <c r="AC92" i="3"/>
  <c r="AD92" i="3"/>
  <c r="AE92" i="3"/>
  <c r="R93" i="3"/>
  <c r="S93" i="3"/>
  <c r="T93" i="3"/>
  <c r="U93" i="3"/>
  <c r="V93" i="3"/>
  <c r="W93" i="3"/>
  <c r="X93" i="3"/>
  <c r="Y93" i="3"/>
  <c r="Z93" i="3"/>
  <c r="AA93" i="3"/>
  <c r="AB93" i="3"/>
  <c r="AC93" i="3"/>
  <c r="AD93" i="3"/>
  <c r="AE93" i="3"/>
  <c r="R94" i="3"/>
  <c r="S94" i="3"/>
  <c r="T94" i="3"/>
  <c r="U94" i="3"/>
  <c r="V94" i="3"/>
  <c r="W94" i="3"/>
  <c r="X94" i="3"/>
  <c r="Y94" i="3"/>
  <c r="Z94" i="3"/>
  <c r="AA94" i="3"/>
  <c r="AB94" i="3"/>
  <c r="AC94" i="3"/>
  <c r="AD94" i="3"/>
  <c r="AE94" i="3"/>
  <c r="R95" i="3"/>
  <c r="S95" i="3"/>
  <c r="T95" i="3"/>
  <c r="U95" i="3"/>
  <c r="V95" i="3"/>
  <c r="W95" i="3"/>
  <c r="X95" i="3"/>
  <c r="Y95" i="3"/>
  <c r="Z95" i="3"/>
  <c r="AA95" i="3"/>
  <c r="AB95" i="3"/>
  <c r="AC95" i="3"/>
  <c r="AD95" i="3"/>
  <c r="AE95" i="3"/>
  <c r="R96" i="3"/>
  <c r="S96" i="3"/>
  <c r="T96" i="3"/>
  <c r="U96" i="3"/>
  <c r="V96" i="3"/>
  <c r="W96" i="3"/>
  <c r="X96" i="3"/>
  <c r="Y96" i="3"/>
  <c r="Z96" i="3"/>
  <c r="AA96" i="3"/>
  <c r="AB96" i="3"/>
  <c r="AC96" i="3"/>
  <c r="AD96" i="3"/>
  <c r="AE96" i="3"/>
  <c r="R97" i="3"/>
  <c r="S97" i="3"/>
  <c r="T97" i="3"/>
  <c r="U97" i="3"/>
  <c r="V97" i="3"/>
  <c r="W97" i="3"/>
  <c r="X97" i="3"/>
  <c r="Y97" i="3"/>
  <c r="Z97" i="3"/>
  <c r="AA97" i="3"/>
  <c r="AB97" i="3"/>
  <c r="AC97" i="3"/>
  <c r="AD97" i="3"/>
  <c r="AE97" i="3"/>
  <c r="R98" i="3"/>
  <c r="S98" i="3"/>
  <c r="T98" i="3"/>
  <c r="U98" i="3"/>
  <c r="V98" i="3"/>
  <c r="W98" i="3"/>
  <c r="X98" i="3"/>
  <c r="Y98" i="3"/>
  <c r="Z98" i="3"/>
  <c r="AA98" i="3"/>
  <c r="AB98" i="3"/>
  <c r="AC98" i="3"/>
  <c r="AD98" i="3"/>
  <c r="AE98" i="3"/>
  <c r="R99" i="3"/>
  <c r="S99" i="3"/>
  <c r="T99" i="3"/>
  <c r="U99" i="3"/>
  <c r="V99" i="3"/>
  <c r="W99" i="3"/>
  <c r="X99" i="3"/>
  <c r="Y99" i="3"/>
  <c r="Z99" i="3"/>
  <c r="AA99" i="3"/>
  <c r="AB99" i="3"/>
  <c r="AC99" i="3"/>
  <c r="AD99" i="3"/>
  <c r="AE99" i="3"/>
  <c r="R100" i="3"/>
  <c r="S100" i="3"/>
  <c r="T100" i="3"/>
  <c r="U100" i="3"/>
  <c r="V100" i="3"/>
  <c r="W100" i="3"/>
  <c r="X100" i="3"/>
  <c r="Y100" i="3"/>
  <c r="Z100" i="3"/>
  <c r="AA100" i="3"/>
  <c r="AB100" i="3"/>
  <c r="AC100" i="3"/>
  <c r="AD100" i="3"/>
  <c r="AE100" i="3"/>
  <c r="R101" i="3"/>
  <c r="S101" i="3"/>
  <c r="T101" i="3"/>
  <c r="U101" i="3"/>
  <c r="V101" i="3"/>
  <c r="W101" i="3"/>
  <c r="X101" i="3"/>
  <c r="Y101" i="3"/>
  <c r="Z101" i="3"/>
  <c r="AA101" i="3"/>
  <c r="AB101" i="3"/>
  <c r="AC101" i="3"/>
  <c r="AD101" i="3"/>
  <c r="AE101" i="3"/>
  <c r="R102" i="3"/>
  <c r="S102" i="3"/>
  <c r="T102" i="3"/>
  <c r="U102" i="3"/>
  <c r="V102" i="3"/>
  <c r="W102" i="3"/>
  <c r="X102" i="3"/>
  <c r="Y102" i="3"/>
  <c r="Z102" i="3"/>
  <c r="AA102" i="3"/>
  <c r="AB102" i="3"/>
  <c r="AC102" i="3"/>
  <c r="AD102" i="3"/>
  <c r="AE102" i="3"/>
  <c r="R103" i="3"/>
  <c r="S103" i="3"/>
  <c r="T103" i="3"/>
  <c r="U103" i="3"/>
  <c r="V103" i="3"/>
  <c r="W103" i="3"/>
  <c r="X103" i="3"/>
  <c r="Y103" i="3"/>
  <c r="Z103" i="3"/>
  <c r="AA103" i="3"/>
  <c r="AB103" i="3"/>
  <c r="AC103" i="3"/>
  <c r="AD103" i="3"/>
  <c r="AE103" i="3"/>
  <c r="R104" i="3"/>
  <c r="S104" i="3"/>
  <c r="T104" i="3"/>
  <c r="U104" i="3"/>
  <c r="V104" i="3"/>
  <c r="W104" i="3"/>
  <c r="X104" i="3"/>
  <c r="Y104" i="3"/>
  <c r="Z104" i="3"/>
  <c r="AA104" i="3"/>
  <c r="AB104" i="3"/>
  <c r="AC104" i="3"/>
  <c r="AD104" i="3"/>
  <c r="AE104" i="3"/>
  <c r="R105" i="3"/>
  <c r="S105" i="3"/>
  <c r="T105" i="3"/>
  <c r="U105" i="3"/>
  <c r="V105" i="3"/>
  <c r="W105" i="3"/>
  <c r="X105" i="3"/>
  <c r="Y105" i="3"/>
  <c r="Z105" i="3"/>
  <c r="AA105" i="3"/>
  <c r="AB105" i="3"/>
  <c r="AC105" i="3"/>
  <c r="AD105" i="3"/>
  <c r="AE105" i="3"/>
  <c r="R106" i="3"/>
  <c r="S106" i="3"/>
  <c r="T106" i="3"/>
  <c r="U106" i="3"/>
  <c r="V106" i="3"/>
  <c r="W106" i="3"/>
  <c r="X106" i="3"/>
  <c r="Y106" i="3"/>
  <c r="Z106" i="3"/>
  <c r="AA106" i="3"/>
  <c r="AB106" i="3"/>
  <c r="AC106" i="3"/>
  <c r="AD106" i="3"/>
  <c r="AE106" i="3"/>
  <c r="R107" i="3"/>
  <c r="S107" i="3"/>
  <c r="T107" i="3"/>
  <c r="U107" i="3"/>
  <c r="V107" i="3"/>
  <c r="W107" i="3"/>
  <c r="X107" i="3"/>
  <c r="Y107" i="3"/>
  <c r="Z107" i="3"/>
  <c r="AA107" i="3"/>
  <c r="AB107" i="3"/>
  <c r="AC107" i="3"/>
  <c r="AD107" i="3"/>
  <c r="AE107" i="3"/>
  <c r="R108" i="3"/>
  <c r="S108" i="3"/>
  <c r="T108" i="3"/>
  <c r="U108" i="3"/>
  <c r="V108" i="3"/>
  <c r="W108" i="3"/>
  <c r="X108" i="3"/>
  <c r="Y108" i="3"/>
  <c r="Z108" i="3"/>
  <c r="AA108" i="3"/>
  <c r="AB108" i="3"/>
  <c r="AC108" i="3"/>
  <c r="AD108" i="3"/>
  <c r="AE108" i="3"/>
  <c r="R109" i="3"/>
  <c r="S109" i="3"/>
  <c r="T109" i="3"/>
  <c r="U109" i="3"/>
  <c r="V109" i="3"/>
  <c r="W109" i="3"/>
  <c r="X109" i="3"/>
  <c r="Y109" i="3"/>
  <c r="Z109" i="3"/>
  <c r="AA109" i="3"/>
  <c r="AB109" i="3"/>
  <c r="AC109" i="3"/>
  <c r="AD109" i="3"/>
  <c r="AE109" i="3"/>
  <c r="R110" i="3"/>
  <c r="S110" i="3"/>
  <c r="T110" i="3"/>
  <c r="U110" i="3"/>
  <c r="V110" i="3"/>
  <c r="W110" i="3"/>
  <c r="X110" i="3"/>
  <c r="Y110" i="3"/>
  <c r="Z110" i="3"/>
  <c r="AA110" i="3"/>
  <c r="AB110" i="3"/>
  <c r="AC110" i="3"/>
  <c r="AD110" i="3"/>
  <c r="AE110" i="3"/>
  <c r="R111" i="3"/>
  <c r="S111" i="3"/>
  <c r="T111" i="3"/>
  <c r="U111" i="3"/>
  <c r="V111" i="3"/>
  <c r="W111" i="3"/>
  <c r="X111" i="3"/>
  <c r="Y111" i="3"/>
  <c r="Z111" i="3"/>
  <c r="AA111" i="3"/>
  <c r="AB111" i="3"/>
  <c r="AC111" i="3"/>
  <c r="AD111" i="3"/>
  <c r="AE111" i="3"/>
  <c r="R112" i="3"/>
  <c r="S112" i="3"/>
  <c r="T112" i="3"/>
  <c r="U112" i="3"/>
  <c r="V112" i="3"/>
  <c r="W112" i="3"/>
  <c r="X112" i="3"/>
  <c r="Y112" i="3"/>
  <c r="Z112" i="3"/>
  <c r="AA112" i="3"/>
  <c r="AB112" i="3"/>
  <c r="AC112" i="3"/>
  <c r="AD112" i="3"/>
  <c r="AE112" i="3"/>
  <c r="R113" i="3"/>
  <c r="S113" i="3"/>
  <c r="T113" i="3"/>
  <c r="U113" i="3"/>
  <c r="V113" i="3"/>
  <c r="W113" i="3"/>
  <c r="X113" i="3"/>
  <c r="Y113" i="3"/>
  <c r="Z113" i="3"/>
  <c r="AA113" i="3"/>
  <c r="AB113" i="3"/>
  <c r="AC113" i="3"/>
  <c r="AD113" i="3"/>
  <c r="AE113" i="3"/>
  <c r="R114" i="3"/>
  <c r="S114" i="3"/>
  <c r="T114" i="3"/>
  <c r="U114" i="3"/>
  <c r="V114" i="3"/>
  <c r="W114" i="3"/>
  <c r="X114" i="3"/>
  <c r="Y114" i="3"/>
  <c r="Z114" i="3"/>
  <c r="AA114" i="3"/>
  <c r="AB114" i="3"/>
  <c r="AC114" i="3"/>
  <c r="AD114" i="3"/>
  <c r="AE114" i="3"/>
  <c r="R115" i="3"/>
  <c r="S115" i="3"/>
  <c r="T115" i="3"/>
  <c r="U115" i="3"/>
  <c r="V115" i="3"/>
  <c r="W115" i="3"/>
  <c r="X115" i="3"/>
  <c r="Y115" i="3"/>
  <c r="Z115" i="3"/>
  <c r="AA115" i="3"/>
  <c r="AB115" i="3"/>
  <c r="AC115" i="3"/>
  <c r="AD115" i="3"/>
  <c r="AE115" i="3"/>
  <c r="R116" i="3"/>
  <c r="S116" i="3"/>
  <c r="T116" i="3"/>
  <c r="U116" i="3"/>
  <c r="V116" i="3"/>
  <c r="W116" i="3"/>
  <c r="X116" i="3"/>
  <c r="Y116" i="3"/>
  <c r="Z116" i="3"/>
  <c r="AA116" i="3"/>
  <c r="AB116" i="3"/>
  <c r="AC116" i="3"/>
  <c r="AD116" i="3"/>
  <c r="AE116" i="3"/>
  <c r="R117" i="3"/>
  <c r="S117" i="3"/>
  <c r="T117" i="3"/>
  <c r="U117" i="3"/>
  <c r="V117" i="3"/>
  <c r="W117" i="3"/>
  <c r="X117" i="3"/>
  <c r="Y117" i="3"/>
  <c r="Z117" i="3"/>
  <c r="AA117" i="3"/>
  <c r="AB117" i="3"/>
  <c r="AC117" i="3"/>
  <c r="AD117" i="3"/>
  <c r="AE117" i="3"/>
  <c r="R118" i="3"/>
  <c r="S118" i="3"/>
  <c r="T118" i="3"/>
  <c r="U118" i="3"/>
  <c r="V118" i="3"/>
  <c r="W118" i="3"/>
  <c r="X118" i="3"/>
  <c r="Y118" i="3"/>
  <c r="Z118" i="3"/>
  <c r="AA118" i="3"/>
  <c r="AB118" i="3"/>
  <c r="AC118" i="3"/>
  <c r="AD118" i="3"/>
  <c r="AE118" i="3"/>
  <c r="R119" i="3"/>
  <c r="S119" i="3"/>
  <c r="T119" i="3"/>
  <c r="U119" i="3"/>
  <c r="V119" i="3"/>
  <c r="W119" i="3"/>
  <c r="X119" i="3"/>
  <c r="Y119" i="3"/>
  <c r="Z119" i="3"/>
  <c r="AA119" i="3"/>
  <c r="AB119" i="3"/>
  <c r="AC119" i="3"/>
  <c r="AD119" i="3"/>
  <c r="AE119" i="3"/>
  <c r="R120" i="3"/>
  <c r="S120" i="3"/>
  <c r="T120" i="3"/>
  <c r="U120" i="3"/>
  <c r="V120" i="3"/>
  <c r="W120" i="3"/>
  <c r="X120" i="3"/>
  <c r="Y120" i="3"/>
  <c r="Z120" i="3"/>
  <c r="AA120" i="3"/>
  <c r="AB120" i="3"/>
  <c r="AC120" i="3"/>
  <c r="AD120" i="3"/>
  <c r="AE120" i="3"/>
  <c r="R121" i="3"/>
  <c r="S121" i="3"/>
  <c r="T121" i="3"/>
  <c r="U121" i="3"/>
  <c r="V121" i="3"/>
  <c r="W121" i="3"/>
  <c r="X121" i="3"/>
  <c r="Y121" i="3"/>
  <c r="Z121" i="3"/>
  <c r="AA121" i="3"/>
  <c r="AB121" i="3"/>
  <c r="AC121" i="3"/>
  <c r="AD121" i="3"/>
  <c r="AE121" i="3"/>
  <c r="R122" i="3"/>
  <c r="S122" i="3"/>
  <c r="T122" i="3"/>
  <c r="U122" i="3"/>
  <c r="V122" i="3"/>
  <c r="W122" i="3"/>
  <c r="X122" i="3"/>
  <c r="Y122" i="3"/>
  <c r="Z122" i="3"/>
  <c r="AA122" i="3"/>
  <c r="AB122" i="3"/>
  <c r="AC122" i="3"/>
  <c r="AD122" i="3"/>
  <c r="AE122" i="3"/>
  <c r="R123" i="3"/>
  <c r="S123" i="3"/>
  <c r="T123" i="3"/>
  <c r="U123" i="3"/>
  <c r="V123" i="3"/>
  <c r="W123" i="3"/>
  <c r="X123" i="3"/>
  <c r="Y123" i="3"/>
  <c r="Z123" i="3"/>
  <c r="AA123" i="3"/>
  <c r="AB123" i="3"/>
  <c r="AC123" i="3"/>
  <c r="AD123" i="3"/>
  <c r="AE123" i="3"/>
  <c r="R124" i="3"/>
  <c r="S124" i="3"/>
  <c r="T124" i="3"/>
  <c r="U124" i="3"/>
  <c r="V124" i="3"/>
  <c r="W124" i="3"/>
  <c r="X124" i="3"/>
  <c r="Y124" i="3"/>
  <c r="Z124" i="3"/>
  <c r="AA124" i="3"/>
  <c r="AB124" i="3"/>
  <c r="AC124" i="3"/>
  <c r="AD124" i="3"/>
  <c r="AE124" i="3"/>
  <c r="R125" i="3"/>
  <c r="S125" i="3"/>
  <c r="T125" i="3"/>
  <c r="U125" i="3"/>
  <c r="V125" i="3"/>
  <c r="W125" i="3"/>
  <c r="X125" i="3"/>
  <c r="Y125" i="3"/>
  <c r="Z125" i="3"/>
  <c r="AA125" i="3"/>
  <c r="AB125" i="3"/>
  <c r="AC125" i="3"/>
  <c r="AD125" i="3"/>
  <c r="AE125" i="3"/>
  <c r="R126" i="3"/>
  <c r="S126" i="3"/>
  <c r="T126" i="3"/>
  <c r="U126" i="3"/>
  <c r="V126" i="3"/>
  <c r="W126" i="3"/>
  <c r="X126" i="3"/>
  <c r="Y126" i="3"/>
  <c r="Z126" i="3"/>
  <c r="AA126" i="3"/>
  <c r="AB126" i="3"/>
  <c r="AC126" i="3"/>
  <c r="AD126" i="3"/>
  <c r="AE126" i="3"/>
  <c r="R127" i="3"/>
  <c r="S127" i="3"/>
  <c r="T127" i="3"/>
  <c r="U127" i="3"/>
  <c r="V127" i="3"/>
  <c r="W127" i="3"/>
  <c r="X127" i="3"/>
  <c r="Y127" i="3"/>
  <c r="Z127" i="3"/>
  <c r="AA127" i="3"/>
  <c r="AB127" i="3"/>
  <c r="AC127" i="3"/>
  <c r="AD127" i="3"/>
  <c r="AE127" i="3"/>
  <c r="R128" i="3"/>
  <c r="S128" i="3"/>
  <c r="T128" i="3"/>
  <c r="U128" i="3"/>
  <c r="V128" i="3"/>
  <c r="W128" i="3"/>
  <c r="X128" i="3"/>
  <c r="Y128" i="3"/>
  <c r="Z128" i="3"/>
  <c r="AA128" i="3"/>
  <c r="AB128" i="3"/>
  <c r="AC128" i="3"/>
  <c r="AD128" i="3"/>
  <c r="AE128" i="3"/>
  <c r="R129" i="3"/>
  <c r="S129" i="3"/>
  <c r="T129" i="3"/>
  <c r="U129" i="3"/>
  <c r="V129" i="3"/>
  <c r="W129" i="3"/>
  <c r="X129" i="3"/>
  <c r="Y129" i="3"/>
  <c r="Z129" i="3"/>
  <c r="AA129" i="3"/>
  <c r="AB129" i="3"/>
  <c r="AC129" i="3"/>
  <c r="AD129" i="3"/>
  <c r="AE129" i="3"/>
  <c r="R130" i="3"/>
  <c r="S130" i="3"/>
  <c r="T130" i="3"/>
  <c r="U130" i="3"/>
  <c r="V130" i="3"/>
  <c r="W130" i="3"/>
  <c r="X130" i="3"/>
  <c r="Y130" i="3"/>
  <c r="Z130" i="3"/>
  <c r="AA130" i="3"/>
  <c r="AB130" i="3"/>
  <c r="AC130" i="3"/>
  <c r="AD130" i="3"/>
  <c r="AE130" i="3"/>
  <c r="R131" i="3"/>
  <c r="S131" i="3"/>
  <c r="T131" i="3"/>
  <c r="U131" i="3"/>
  <c r="V131" i="3"/>
  <c r="W131" i="3"/>
  <c r="X131" i="3"/>
  <c r="Y131" i="3"/>
  <c r="Z131" i="3"/>
  <c r="AA131" i="3"/>
  <c r="AB131" i="3"/>
  <c r="AC131" i="3"/>
  <c r="AD131" i="3"/>
  <c r="AE131" i="3"/>
  <c r="R132" i="3"/>
  <c r="S132" i="3"/>
  <c r="T132" i="3"/>
  <c r="U132" i="3"/>
  <c r="V132" i="3"/>
  <c r="W132" i="3"/>
  <c r="X132" i="3"/>
  <c r="Y132" i="3"/>
  <c r="Z132" i="3"/>
  <c r="AA132" i="3"/>
  <c r="AB132" i="3"/>
  <c r="AC132" i="3"/>
  <c r="AD132" i="3"/>
  <c r="AE132" i="3"/>
  <c r="R133" i="3"/>
  <c r="S133" i="3"/>
  <c r="T133" i="3"/>
  <c r="U133" i="3"/>
  <c r="V133" i="3"/>
  <c r="W133" i="3"/>
  <c r="X133" i="3"/>
  <c r="Y133" i="3"/>
  <c r="Z133" i="3"/>
  <c r="AA133" i="3"/>
  <c r="AB133" i="3"/>
  <c r="AC133" i="3"/>
  <c r="AD133" i="3"/>
  <c r="AE133" i="3"/>
  <c r="R134" i="3"/>
  <c r="S134" i="3"/>
  <c r="T134" i="3"/>
  <c r="U134" i="3"/>
  <c r="V134" i="3"/>
  <c r="W134" i="3"/>
  <c r="X134" i="3"/>
  <c r="Y134" i="3"/>
  <c r="Z134" i="3"/>
  <c r="AA134" i="3"/>
  <c r="AB134" i="3"/>
  <c r="AC134" i="3"/>
  <c r="AD134" i="3"/>
  <c r="AE134" i="3"/>
  <c r="R135" i="3"/>
  <c r="S135" i="3"/>
  <c r="T135" i="3"/>
  <c r="U135" i="3"/>
  <c r="V135" i="3"/>
  <c r="W135" i="3"/>
  <c r="X135" i="3"/>
  <c r="Y135" i="3"/>
  <c r="Z135" i="3"/>
  <c r="AA135" i="3"/>
  <c r="AB135" i="3"/>
  <c r="AC135" i="3"/>
  <c r="AD135" i="3"/>
  <c r="AE135" i="3"/>
  <c r="R136" i="3"/>
  <c r="S136" i="3"/>
  <c r="T136" i="3"/>
  <c r="U136" i="3"/>
  <c r="V136" i="3"/>
  <c r="W136" i="3"/>
  <c r="X136" i="3"/>
  <c r="Y136" i="3"/>
  <c r="Z136" i="3"/>
  <c r="AA136" i="3"/>
  <c r="AB136" i="3"/>
  <c r="AC136" i="3"/>
  <c r="AD136" i="3"/>
  <c r="AE136" i="3"/>
  <c r="R137" i="3"/>
  <c r="S137" i="3"/>
  <c r="T137" i="3"/>
  <c r="U137" i="3"/>
  <c r="V137" i="3"/>
  <c r="W137" i="3"/>
  <c r="X137" i="3"/>
  <c r="Y137" i="3"/>
  <c r="Z137" i="3"/>
  <c r="AA137" i="3"/>
  <c r="AB137" i="3"/>
  <c r="AC137" i="3"/>
  <c r="AD137" i="3"/>
  <c r="AE137" i="3"/>
  <c r="R138" i="3"/>
  <c r="S138" i="3"/>
  <c r="T138" i="3"/>
  <c r="U138" i="3"/>
  <c r="V138" i="3"/>
  <c r="W138" i="3"/>
  <c r="X138" i="3"/>
  <c r="Y138" i="3"/>
  <c r="Z138" i="3"/>
  <c r="AA138" i="3"/>
  <c r="AB138" i="3"/>
  <c r="AC138" i="3"/>
  <c r="AD138" i="3"/>
  <c r="AE138" i="3"/>
  <c r="R139" i="3"/>
  <c r="S139" i="3"/>
  <c r="T139" i="3"/>
  <c r="U139" i="3"/>
  <c r="V139" i="3"/>
  <c r="W139" i="3"/>
  <c r="X139" i="3"/>
  <c r="Y139" i="3"/>
  <c r="Z139" i="3"/>
  <c r="AA139" i="3"/>
  <c r="AB139" i="3"/>
  <c r="AC139" i="3"/>
  <c r="AD139" i="3"/>
  <c r="AE139" i="3"/>
  <c r="R140" i="3"/>
  <c r="S140" i="3"/>
  <c r="T140" i="3"/>
  <c r="U140" i="3"/>
  <c r="V140" i="3"/>
  <c r="W140" i="3"/>
  <c r="X140" i="3"/>
  <c r="Y140" i="3"/>
  <c r="Z140" i="3"/>
  <c r="AA140" i="3"/>
  <c r="AB140" i="3"/>
  <c r="AC140" i="3"/>
  <c r="AD140" i="3"/>
  <c r="AE140" i="3"/>
  <c r="R141" i="3"/>
  <c r="S141" i="3"/>
  <c r="T141" i="3"/>
  <c r="U141" i="3"/>
  <c r="V141" i="3"/>
  <c r="W141" i="3"/>
  <c r="X141" i="3"/>
  <c r="Y141" i="3"/>
  <c r="Z141" i="3"/>
  <c r="AA141" i="3"/>
  <c r="AB141" i="3"/>
  <c r="AC141" i="3"/>
  <c r="AD141" i="3"/>
  <c r="AE141" i="3"/>
  <c r="R142" i="3"/>
  <c r="S142" i="3"/>
  <c r="T142" i="3"/>
  <c r="U142" i="3"/>
  <c r="V142" i="3"/>
  <c r="W142" i="3"/>
  <c r="X142" i="3"/>
  <c r="Y142" i="3"/>
  <c r="Z142" i="3"/>
  <c r="AA142" i="3"/>
  <c r="AB142" i="3"/>
  <c r="AC142" i="3"/>
  <c r="AD142" i="3"/>
  <c r="AE142" i="3"/>
  <c r="R143" i="3"/>
  <c r="S143" i="3"/>
  <c r="T143" i="3"/>
  <c r="U143" i="3"/>
  <c r="V143" i="3"/>
  <c r="W143" i="3"/>
  <c r="X143" i="3"/>
  <c r="Y143" i="3"/>
  <c r="Z143" i="3"/>
  <c r="AA143" i="3"/>
  <c r="AB143" i="3"/>
  <c r="AC143" i="3"/>
  <c r="AD143" i="3"/>
  <c r="AE143" i="3"/>
  <c r="R144" i="3"/>
  <c r="S144" i="3"/>
  <c r="T144" i="3"/>
  <c r="U144" i="3"/>
  <c r="V144" i="3"/>
  <c r="W144" i="3"/>
  <c r="X144" i="3"/>
  <c r="Y144" i="3"/>
  <c r="Z144" i="3"/>
  <c r="AA144" i="3"/>
  <c r="AB144" i="3"/>
  <c r="AC144" i="3"/>
  <c r="AD144" i="3"/>
  <c r="AE144" i="3"/>
  <c r="R145" i="3"/>
  <c r="S145" i="3"/>
  <c r="T145" i="3"/>
  <c r="U145" i="3"/>
  <c r="V145" i="3"/>
  <c r="W145" i="3"/>
  <c r="X145" i="3"/>
  <c r="Y145" i="3"/>
  <c r="Z145" i="3"/>
  <c r="AA145" i="3"/>
  <c r="AB145" i="3"/>
  <c r="AC145" i="3"/>
  <c r="AD145" i="3"/>
  <c r="AE145" i="3"/>
  <c r="R146" i="3"/>
  <c r="S146" i="3"/>
  <c r="T146" i="3"/>
  <c r="U146" i="3"/>
  <c r="V146" i="3"/>
  <c r="W146" i="3"/>
  <c r="X146" i="3"/>
  <c r="Y146" i="3"/>
  <c r="Z146" i="3"/>
  <c r="AA146" i="3"/>
  <c r="AB146" i="3"/>
  <c r="AC146" i="3"/>
  <c r="AD146" i="3"/>
  <c r="AE146" i="3"/>
  <c r="R147" i="3"/>
  <c r="S147" i="3"/>
  <c r="T147" i="3"/>
  <c r="U147" i="3"/>
  <c r="V147" i="3"/>
  <c r="W147" i="3"/>
  <c r="X147" i="3"/>
  <c r="Y147" i="3"/>
  <c r="Z147" i="3"/>
  <c r="AA147" i="3"/>
  <c r="AB147" i="3"/>
  <c r="AC147" i="3"/>
  <c r="AD147" i="3"/>
  <c r="AE147" i="3"/>
  <c r="R148" i="3"/>
  <c r="S148" i="3"/>
  <c r="T148" i="3"/>
  <c r="U148" i="3"/>
  <c r="V148" i="3"/>
  <c r="W148" i="3"/>
  <c r="X148" i="3"/>
  <c r="Y148" i="3"/>
  <c r="Z148" i="3"/>
  <c r="AA148" i="3"/>
  <c r="AB148" i="3"/>
  <c r="AC148" i="3"/>
  <c r="AD148" i="3"/>
  <c r="AE148" i="3"/>
  <c r="R149" i="3"/>
  <c r="S149" i="3"/>
  <c r="T149" i="3"/>
  <c r="U149" i="3"/>
  <c r="V149" i="3"/>
  <c r="W149" i="3"/>
  <c r="X149" i="3"/>
  <c r="Y149" i="3"/>
  <c r="Z149" i="3"/>
  <c r="AA149" i="3"/>
  <c r="AB149" i="3"/>
  <c r="AC149" i="3"/>
  <c r="AD149" i="3"/>
  <c r="AE149" i="3"/>
  <c r="R150" i="3"/>
  <c r="S150" i="3"/>
  <c r="T150" i="3"/>
  <c r="U150" i="3"/>
  <c r="V150" i="3"/>
  <c r="W150" i="3"/>
  <c r="X150" i="3"/>
  <c r="Y150" i="3"/>
  <c r="Z150" i="3"/>
  <c r="AA150" i="3"/>
  <c r="AB150" i="3"/>
  <c r="AC150" i="3"/>
  <c r="AD150" i="3"/>
  <c r="AE150" i="3"/>
  <c r="R151" i="3"/>
  <c r="S151" i="3"/>
  <c r="T151" i="3"/>
  <c r="U151" i="3"/>
  <c r="V151" i="3"/>
  <c r="W151" i="3"/>
  <c r="X151" i="3"/>
  <c r="Y151" i="3"/>
  <c r="Z151" i="3"/>
  <c r="AA151" i="3"/>
  <c r="AB151" i="3"/>
  <c r="AC151" i="3"/>
  <c r="AD151" i="3"/>
  <c r="AE151" i="3"/>
  <c r="R152" i="3"/>
  <c r="S152" i="3"/>
  <c r="T152" i="3"/>
  <c r="U152" i="3"/>
  <c r="V152" i="3"/>
  <c r="W152" i="3"/>
  <c r="X152" i="3"/>
  <c r="Y152" i="3"/>
  <c r="Z152" i="3"/>
  <c r="AA152" i="3"/>
  <c r="AB152" i="3"/>
  <c r="AC152" i="3"/>
  <c r="AD152" i="3"/>
  <c r="AE152" i="3"/>
  <c r="R153" i="3"/>
  <c r="S153" i="3"/>
  <c r="T153" i="3"/>
  <c r="U153" i="3"/>
  <c r="V153" i="3"/>
  <c r="W153" i="3"/>
  <c r="X153" i="3"/>
  <c r="Y153" i="3"/>
  <c r="Z153" i="3"/>
  <c r="AA153" i="3"/>
  <c r="AB153" i="3"/>
  <c r="AC153" i="3"/>
  <c r="AD153" i="3"/>
  <c r="AE153" i="3"/>
  <c r="R154" i="3"/>
  <c r="S154" i="3"/>
  <c r="T154" i="3"/>
  <c r="U154" i="3"/>
  <c r="V154" i="3"/>
  <c r="W154" i="3"/>
  <c r="X154" i="3"/>
  <c r="Y154" i="3"/>
  <c r="Z154" i="3"/>
  <c r="AA154" i="3"/>
  <c r="AB154" i="3"/>
  <c r="AC154" i="3"/>
  <c r="AD154" i="3"/>
  <c r="AE154" i="3"/>
  <c r="R155" i="3"/>
  <c r="S155" i="3"/>
  <c r="T155" i="3"/>
  <c r="U155" i="3"/>
  <c r="V155" i="3"/>
  <c r="W155" i="3"/>
  <c r="X155" i="3"/>
  <c r="Y155" i="3"/>
  <c r="Z155" i="3"/>
  <c r="AA155" i="3"/>
  <c r="AB155" i="3"/>
  <c r="AC155" i="3"/>
  <c r="AD155" i="3"/>
  <c r="AE155" i="3"/>
  <c r="R156" i="3"/>
  <c r="S156" i="3"/>
  <c r="T156" i="3"/>
  <c r="U156" i="3"/>
  <c r="V156" i="3"/>
  <c r="W156" i="3"/>
  <c r="X156" i="3"/>
  <c r="Y156" i="3"/>
  <c r="Z156" i="3"/>
  <c r="AA156" i="3"/>
  <c r="AB156" i="3"/>
  <c r="AC156" i="3"/>
  <c r="AD156" i="3"/>
  <c r="AE156" i="3"/>
  <c r="R157" i="3"/>
  <c r="S157" i="3"/>
  <c r="T157" i="3"/>
  <c r="U157" i="3"/>
  <c r="V157" i="3"/>
  <c r="W157" i="3"/>
  <c r="X157" i="3"/>
  <c r="Y157" i="3"/>
  <c r="Z157" i="3"/>
  <c r="AA157" i="3"/>
  <c r="AB157" i="3"/>
  <c r="AC157" i="3"/>
  <c r="AD157" i="3"/>
  <c r="AE157" i="3"/>
  <c r="R158" i="3"/>
  <c r="S158" i="3"/>
  <c r="T158" i="3"/>
  <c r="U158" i="3"/>
  <c r="V158" i="3"/>
  <c r="W158" i="3"/>
  <c r="X158" i="3"/>
  <c r="Y158" i="3"/>
  <c r="Z158" i="3"/>
  <c r="AA158" i="3"/>
  <c r="AB158" i="3"/>
  <c r="AC158" i="3"/>
  <c r="AD158" i="3"/>
  <c r="AE158" i="3"/>
  <c r="R159" i="3"/>
  <c r="S159" i="3"/>
  <c r="T159" i="3"/>
  <c r="U159" i="3"/>
  <c r="V159" i="3"/>
  <c r="W159" i="3"/>
  <c r="X159" i="3"/>
  <c r="Y159" i="3"/>
  <c r="Z159" i="3"/>
  <c r="AA159" i="3"/>
  <c r="AB159" i="3"/>
  <c r="AC159" i="3"/>
  <c r="AD159" i="3"/>
  <c r="AE159" i="3"/>
  <c r="R160" i="3"/>
  <c r="S160" i="3"/>
  <c r="T160" i="3"/>
  <c r="U160" i="3"/>
  <c r="V160" i="3"/>
  <c r="W160" i="3"/>
  <c r="X160" i="3"/>
  <c r="Y160" i="3"/>
  <c r="Z160" i="3"/>
  <c r="AA160" i="3"/>
  <c r="AB160" i="3"/>
  <c r="AC160" i="3"/>
  <c r="AD160" i="3"/>
  <c r="AE160" i="3"/>
  <c r="R161" i="3"/>
  <c r="S161" i="3"/>
  <c r="T161" i="3"/>
  <c r="U161" i="3"/>
  <c r="V161" i="3"/>
  <c r="W161" i="3"/>
  <c r="X161" i="3"/>
  <c r="Y161" i="3"/>
  <c r="Z161" i="3"/>
  <c r="AA161" i="3"/>
  <c r="AB161" i="3"/>
  <c r="AC161" i="3"/>
  <c r="AD161" i="3"/>
  <c r="AE161" i="3"/>
  <c r="R162" i="3"/>
  <c r="S162" i="3"/>
  <c r="T162" i="3"/>
  <c r="U162" i="3"/>
  <c r="V162" i="3"/>
  <c r="W162" i="3"/>
  <c r="X162" i="3"/>
  <c r="Y162" i="3"/>
  <c r="Z162" i="3"/>
  <c r="AA162" i="3"/>
  <c r="AB162" i="3"/>
  <c r="AC162" i="3"/>
  <c r="AD162" i="3"/>
  <c r="AE162" i="3"/>
  <c r="R163" i="3"/>
  <c r="S163" i="3"/>
  <c r="T163" i="3"/>
  <c r="U163" i="3"/>
  <c r="V163" i="3"/>
  <c r="W163" i="3"/>
  <c r="X163" i="3"/>
  <c r="Y163" i="3"/>
  <c r="Z163" i="3"/>
  <c r="AA163" i="3"/>
  <c r="AB163" i="3"/>
  <c r="AC163" i="3"/>
  <c r="AD163" i="3"/>
  <c r="AE163" i="3"/>
  <c r="R164" i="3"/>
  <c r="S164" i="3"/>
  <c r="T164" i="3"/>
  <c r="U164" i="3"/>
  <c r="V164" i="3"/>
  <c r="W164" i="3"/>
  <c r="X164" i="3"/>
  <c r="Y164" i="3"/>
  <c r="Z164" i="3"/>
  <c r="AA164" i="3"/>
  <c r="AB164" i="3"/>
  <c r="AC164" i="3"/>
  <c r="AD164" i="3"/>
  <c r="AE164" i="3"/>
  <c r="R165" i="3"/>
  <c r="S165" i="3"/>
  <c r="T165" i="3"/>
  <c r="U165" i="3"/>
  <c r="V165" i="3"/>
  <c r="W165" i="3"/>
  <c r="X165" i="3"/>
  <c r="Y165" i="3"/>
  <c r="Z165" i="3"/>
  <c r="AA165" i="3"/>
  <c r="AB165" i="3"/>
  <c r="AC165" i="3"/>
  <c r="AD165" i="3"/>
  <c r="AE165" i="3"/>
  <c r="R166" i="3"/>
  <c r="S166" i="3"/>
  <c r="T166" i="3"/>
  <c r="U166" i="3"/>
  <c r="V166" i="3"/>
  <c r="W166" i="3"/>
  <c r="X166" i="3"/>
  <c r="Y166" i="3"/>
  <c r="Z166" i="3"/>
  <c r="AA166" i="3"/>
  <c r="AB166" i="3"/>
  <c r="AC166" i="3"/>
  <c r="AD166" i="3"/>
  <c r="AE166" i="3"/>
  <c r="R167" i="3"/>
  <c r="S167" i="3"/>
  <c r="T167" i="3"/>
  <c r="U167" i="3"/>
  <c r="V167" i="3"/>
  <c r="W167" i="3"/>
  <c r="X167" i="3"/>
  <c r="Y167" i="3"/>
  <c r="Z167" i="3"/>
  <c r="AA167" i="3"/>
  <c r="AB167" i="3"/>
  <c r="AC167" i="3"/>
  <c r="AD167" i="3"/>
  <c r="AE167" i="3"/>
  <c r="R168" i="3"/>
  <c r="S168" i="3"/>
  <c r="T168" i="3"/>
  <c r="U168" i="3"/>
  <c r="V168" i="3"/>
  <c r="W168" i="3"/>
  <c r="X168" i="3"/>
  <c r="Y168" i="3"/>
  <c r="Z168" i="3"/>
  <c r="AA168" i="3"/>
  <c r="AB168" i="3"/>
  <c r="AC168" i="3"/>
  <c r="AD168" i="3"/>
  <c r="AE168" i="3"/>
  <c r="R169" i="3"/>
  <c r="S169" i="3"/>
  <c r="T169" i="3"/>
  <c r="U169" i="3"/>
  <c r="V169" i="3"/>
  <c r="W169" i="3"/>
  <c r="X169" i="3"/>
  <c r="Y169" i="3"/>
  <c r="Z169" i="3"/>
  <c r="AA169" i="3"/>
  <c r="AB169" i="3"/>
  <c r="AC169" i="3"/>
  <c r="AD169" i="3"/>
  <c r="AE169" i="3"/>
  <c r="R170" i="3"/>
  <c r="S170" i="3"/>
  <c r="T170" i="3"/>
  <c r="U170" i="3"/>
  <c r="V170" i="3"/>
  <c r="W170" i="3"/>
  <c r="X170" i="3"/>
  <c r="Y170" i="3"/>
  <c r="Z170" i="3"/>
  <c r="AA170" i="3"/>
  <c r="AB170" i="3"/>
  <c r="AC170" i="3"/>
  <c r="AD170" i="3"/>
  <c r="AE170" i="3"/>
  <c r="R171" i="3"/>
  <c r="S171" i="3"/>
  <c r="T171" i="3"/>
  <c r="U171" i="3"/>
  <c r="V171" i="3"/>
  <c r="W171" i="3"/>
  <c r="X171" i="3"/>
  <c r="Y171" i="3"/>
  <c r="Z171" i="3"/>
  <c r="AA171" i="3"/>
  <c r="AB171" i="3"/>
  <c r="AC171" i="3"/>
  <c r="AD171" i="3"/>
  <c r="AE171" i="3"/>
  <c r="R172" i="3"/>
  <c r="S172" i="3"/>
  <c r="T172" i="3"/>
  <c r="U172" i="3"/>
  <c r="V172" i="3"/>
  <c r="W172" i="3"/>
  <c r="X172" i="3"/>
  <c r="Y172" i="3"/>
  <c r="Z172" i="3"/>
  <c r="AA172" i="3"/>
  <c r="AB172" i="3"/>
  <c r="AC172" i="3"/>
  <c r="AD172" i="3"/>
  <c r="AE172" i="3"/>
  <c r="R173" i="3"/>
  <c r="S173" i="3"/>
  <c r="T173" i="3"/>
  <c r="U173" i="3"/>
  <c r="V173" i="3"/>
  <c r="W173" i="3"/>
  <c r="X173" i="3"/>
  <c r="Y173" i="3"/>
  <c r="Z173" i="3"/>
  <c r="AA173" i="3"/>
  <c r="AB173" i="3"/>
  <c r="AC173" i="3"/>
  <c r="AD173" i="3"/>
  <c r="AE173" i="3"/>
  <c r="R174" i="3"/>
  <c r="S174" i="3"/>
  <c r="T174" i="3"/>
  <c r="U174" i="3"/>
  <c r="V174" i="3"/>
  <c r="W174" i="3"/>
  <c r="X174" i="3"/>
  <c r="Y174" i="3"/>
  <c r="Z174" i="3"/>
  <c r="AA174" i="3"/>
  <c r="AB174" i="3"/>
  <c r="AC174" i="3"/>
  <c r="AD174" i="3"/>
  <c r="AE174" i="3"/>
  <c r="R175" i="3"/>
  <c r="S175" i="3"/>
  <c r="T175" i="3"/>
  <c r="U175" i="3"/>
  <c r="V175" i="3"/>
  <c r="W175" i="3"/>
  <c r="X175" i="3"/>
  <c r="Y175" i="3"/>
  <c r="Z175" i="3"/>
  <c r="AA175" i="3"/>
  <c r="AB175" i="3"/>
  <c r="AC175" i="3"/>
  <c r="AD175" i="3"/>
  <c r="AE175" i="3"/>
  <c r="R176" i="3"/>
  <c r="S176" i="3"/>
  <c r="T176" i="3"/>
  <c r="U176" i="3"/>
  <c r="V176" i="3"/>
  <c r="W176" i="3"/>
  <c r="X176" i="3"/>
  <c r="Y176" i="3"/>
  <c r="Z176" i="3"/>
  <c r="AA176" i="3"/>
  <c r="AB176" i="3"/>
  <c r="AC176" i="3"/>
  <c r="AD176" i="3"/>
  <c r="AE176" i="3"/>
  <c r="R177" i="3"/>
  <c r="S177" i="3"/>
  <c r="T177" i="3"/>
  <c r="U177" i="3"/>
  <c r="V177" i="3"/>
  <c r="W177" i="3"/>
  <c r="X177" i="3"/>
  <c r="Y177" i="3"/>
  <c r="Z177" i="3"/>
  <c r="AA177" i="3"/>
  <c r="AB177" i="3"/>
  <c r="AC177" i="3"/>
  <c r="AD177" i="3"/>
  <c r="AE177" i="3"/>
  <c r="R178" i="3"/>
  <c r="S178" i="3"/>
  <c r="T178" i="3"/>
  <c r="U178" i="3"/>
  <c r="V178" i="3"/>
  <c r="W178" i="3"/>
  <c r="X178" i="3"/>
  <c r="Y178" i="3"/>
  <c r="Z178" i="3"/>
  <c r="AA178" i="3"/>
  <c r="AB178" i="3"/>
  <c r="AC178" i="3"/>
  <c r="AD178" i="3"/>
  <c r="AE178" i="3"/>
  <c r="R179" i="3"/>
  <c r="S179" i="3"/>
  <c r="T179" i="3"/>
  <c r="U179" i="3"/>
  <c r="V179" i="3"/>
  <c r="W179" i="3"/>
  <c r="X179" i="3"/>
  <c r="Y179" i="3"/>
  <c r="Z179" i="3"/>
  <c r="AA179" i="3"/>
  <c r="AB179" i="3"/>
  <c r="AC179" i="3"/>
  <c r="AD179" i="3"/>
  <c r="AE179" i="3"/>
  <c r="R180" i="3"/>
  <c r="S180" i="3"/>
  <c r="T180" i="3"/>
  <c r="U180" i="3"/>
  <c r="V180" i="3"/>
  <c r="W180" i="3"/>
  <c r="X180" i="3"/>
  <c r="Y180" i="3"/>
  <c r="Z180" i="3"/>
  <c r="AA180" i="3"/>
  <c r="AB180" i="3"/>
  <c r="AC180" i="3"/>
  <c r="AD180" i="3"/>
  <c r="AE180" i="3"/>
  <c r="R181" i="3"/>
  <c r="S181" i="3"/>
  <c r="T181" i="3"/>
  <c r="U181" i="3"/>
  <c r="V181" i="3"/>
  <c r="W181" i="3"/>
  <c r="X181" i="3"/>
  <c r="Y181" i="3"/>
  <c r="Z181" i="3"/>
  <c r="AA181" i="3"/>
  <c r="AB181" i="3"/>
  <c r="AC181" i="3"/>
  <c r="AD181" i="3"/>
  <c r="AE181" i="3"/>
  <c r="R182" i="3"/>
  <c r="S182" i="3"/>
  <c r="T182" i="3"/>
  <c r="U182" i="3"/>
  <c r="V182" i="3"/>
  <c r="W182" i="3"/>
  <c r="X182" i="3"/>
  <c r="Y182" i="3"/>
  <c r="Z182" i="3"/>
  <c r="AA182" i="3"/>
  <c r="AB182" i="3"/>
  <c r="AC182" i="3"/>
  <c r="AD182" i="3"/>
  <c r="AE182" i="3"/>
  <c r="R183" i="3"/>
  <c r="S183" i="3"/>
  <c r="T183" i="3"/>
  <c r="U183" i="3"/>
  <c r="V183" i="3"/>
  <c r="W183" i="3"/>
  <c r="X183" i="3"/>
  <c r="Y183" i="3"/>
  <c r="Z183" i="3"/>
  <c r="AA183" i="3"/>
  <c r="AB183" i="3"/>
  <c r="AC183" i="3"/>
  <c r="AD183" i="3"/>
  <c r="AE183" i="3"/>
  <c r="R184" i="3"/>
  <c r="S184" i="3"/>
  <c r="T184" i="3"/>
  <c r="U184" i="3"/>
  <c r="V184" i="3"/>
  <c r="W184" i="3"/>
  <c r="X184" i="3"/>
  <c r="Y184" i="3"/>
  <c r="Z184" i="3"/>
  <c r="AA184" i="3"/>
  <c r="AB184" i="3"/>
  <c r="AC184" i="3"/>
  <c r="AD184" i="3"/>
  <c r="AE184" i="3"/>
  <c r="R185" i="3"/>
  <c r="S185" i="3"/>
  <c r="T185" i="3"/>
  <c r="U185" i="3"/>
  <c r="V185" i="3"/>
  <c r="W185" i="3"/>
  <c r="X185" i="3"/>
  <c r="Y185" i="3"/>
  <c r="Z185" i="3"/>
  <c r="AA185" i="3"/>
  <c r="AB185" i="3"/>
  <c r="AC185" i="3"/>
  <c r="AD185" i="3"/>
  <c r="AE185" i="3"/>
  <c r="R186" i="3"/>
  <c r="S186" i="3"/>
  <c r="T186" i="3"/>
  <c r="U186" i="3"/>
  <c r="V186" i="3"/>
  <c r="W186" i="3"/>
  <c r="X186" i="3"/>
  <c r="Y186" i="3"/>
  <c r="Z186" i="3"/>
  <c r="AA186" i="3"/>
  <c r="AB186" i="3"/>
  <c r="AC186" i="3"/>
  <c r="AD186" i="3"/>
  <c r="AE186" i="3"/>
  <c r="R187" i="3"/>
  <c r="S187" i="3"/>
  <c r="T187" i="3"/>
  <c r="U187" i="3"/>
  <c r="V187" i="3"/>
  <c r="W187" i="3"/>
  <c r="X187" i="3"/>
  <c r="Y187" i="3"/>
  <c r="Z187" i="3"/>
  <c r="AA187" i="3"/>
  <c r="AB187" i="3"/>
  <c r="AC187" i="3"/>
  <c r="AD187" i="3"/>
  <c r="AE187" i="3"/>
  <c r="R188" i="3"/>
  <c r="S188" i="3"/>
  <c r="T188" i="3"/>
  <c r="U188" i="3"/>
  <c r="V188" i="3"/>
  <c r="W188" i="3"/>
  <c r="X188" i="3"/>
  <c r="Y188" i="3"/>
  <c r="Z188" i="3"/>
  <c r="AA188" i="3"/>
  <c r="AB188" i="3"/>
  <c r="AC188" i="3"/>
  <c r="AD188" i="3"/>
  <c r="AE188" i="3"/>
  <c r="R189" i="3"/>
  <c r="S189" i="3"/>
  <c r="T189" i="3"/>
  <c r="U189" i="3"/>
  <c r="V189" i="3"/>
  <c r="W189" i="3"/>
  <c r="X189" i="3"/>
  <c r="Y189" i="3"/>
  <c r="Z189" i="3"/>
  <c r="AA189" i="3"/>
  <c r="AB189" i="3"/>
  <c r="AC189" i="3"/>
  <c r="AD189" i="3"/>
  <c r="AE189" i="3"/>
  <c r="R190" i="3"/>
  <c r="S190" i="3"/>
  <c r="T190" i="3"/>
  <c r="U190" i="3"/>
  <c r="V190" i="3"/>
  <c r="W190" i="3"/>
  <c r="X190" i="3"/>
  <c r="Y190" i="3"/>
  <c r="Z190" i="3"/>
  <c r="AA190" i="3"/>
  <c r="AB190" i="3"/>
  <c r="AC190" i="3"/>
  <c r="AD190" i="3"/>
  <c r="AE190" i="3"/>
  <c r="R191" i="3"/>
  <c r="S191" i="3"/>
  <c r="T191" i="3"/>
  <c r="U191" i="3"/>
  <c r="V191" i="3"/>
  <c r="W191" i="3"/>
  <c r="X191" i="3"/>
  <c r="Y191" i="3"/>
  <c r="Z191" i="3"/>
  <c r="AA191" i="3"/>
  <c r="AB191" i="3"/>
  <c r="AC191" i="3"/>
  <c r="AD191" i="3"/>
  <c r="AE191" i="3"/>
  <c r="R192" i="3"/>
  <c r="S192" i="3"/>
  <c r="T192" i="3"/>
  <c r="U192" i="3"/>
  <c r="V192" i="3"/>
  <c r="W192" i="3"/>
  <c r="X192" i="3"/>
  <c r="Y192" i="3"/>
  <c r="Z192" i="3"/>
  <c r="AA192" i="3"/>
  <c r="AB192" i="3"/>
  <c r="AC192" i="3"/>
  <c r="AD192" i="3"/>
  <c r="AE192" i="3"/>
  <c r="R193" i="3"/>
  <c r="S193" i="3"/>
  <c r="T193" i="3"/>
  <c r="U193" i="3"/>
  <c r="V193" i="3"/>
  <c r="W193" i="3"/>
  <c r="X193" i="3"/>
  <c r="Y193" i="3"/>
  <c r="Z193" i="3"/>
  <c r="AA193" i="3"/>
  <c r="AB193" i="3"/>
  <c r="AC193" i="3"/>
  <c r="AD193" i="3"/>
  <c r="AE193" i="3"/>
  <c r="R194" i="3"/>
  <c r="S194" i="3"/>
  <c r="T194" i="3"/>
  <c r="U194" i="3"/>
  <c r="V194" i="3"/>
  <c r="W194" i="3"/>
  <c r="X194" i="3"/>
  <c r="Y194" i="3"/>
  <c r="Z194" i="3"/>
  <c r="AA194" i="3"/>
  <c r="AB194" i="3"/>
  <c r="AC194" i="3"/>
  <c r="AD194" i="3"/>
  <c r="AE194" i="3"/>
  <c r="R195" i="3"/>
  <c r="S195" i="3"/>
  <c r="T195" i="3"/>
  <c r="U195" i="3"/>
  <c r="V195" i="3"/>
  <c r="W195" i="3"/>
  <c r="X195" i="3"/>
  <c r="Y195" i="3"/>
  <c r="Z195" i="3"/>
  <c r="AA195" i="3"/>
  <c r="AB195" i="3"/>
  <c r="AC195" i="3"/>
  <c r="AD195" i="3"/>
  <c r="AE195" i="3"/>
  <c r="R196" i="3"/>
  <c r="S196" i="3"/>
  <c r="T196" i="3"/>
  <c r="U196" i="3"/>
  <c r="V196" i="3"/>
  <c r="W196" i="3"/>
  <c r="X196" i="3"/>
  <c r="Y196" i="3"/>
  <c r="Z196" i="3"/>
  <c r="AA196" i="3"/>
  <c r="AB196" i="3"/>
  <c r="AC196" i="3"/>
  <c r="AD196" i="3"/>
  <c r="AE196" i="3"/>
  <c r="R197" i="3"/>
  <c r="S197" i="3"/>
  <c r="T197" i="3"/>
  <c r="U197" i="3"/>
  <c r="V197" i="3"/>
  <c r="W197" i="3"/>
  <c r="X197" i="3"/>
  <c r="Y197" i="3"/>
  <c r="Z197" i="3"/>
  <c r="AA197" i="3"/>
  <c r="AB197" i="3"/>
  <c r="AC197" i="3"/>
  <c r="AD197" i="3"/>
  <c r="AE197" i="3"/>
  <c r="R198" i="3"/>
  <c r="S198" i="3"/>
  <c r="T198" i="3"/>
  <c r="U198" i="3"/>
  <c r="V198" i="3"/>
  <c r="W198" i="3"/>
  <c r="X198" i="3"/>
  <c r="Y198" i="3"/>
  <c r="Z198" i="3"/>
  <c r="AA198" i="3"/>
  <c r="AB198" i="3"/>
  <c r="AC198" i="3"/>
  <c r="AD198" i="3"/>
  <c r="AE198" i="3"/>
  <c r="R199" i="3"/>
  <c r="S199" i="3"/>
  <c r="T199" i="3"/>
  <c r="U199" i="3"/>
  <c r="V199" i="3"/>
  <c r="W199" i="3"/>
  <c r="X199" i="3"/>
  <c r="Y199" i="3"/>
  <c r="Z199" i="3"/>
  <c r="AA199" i="3"/>
  <c r="AB199" i="3"/>
  <c r="AC199" i="3"/>
  <c r="AD199" i="3"/>
  <c r="AE199" i="3"/>
  <c r="R200" i="3"/>
  <c r="S200" i="3"/>
  <c r="T200" i="3"/>
  <c r="U200" i="3"/>
  <c r="V200" i="3"/>
  <c r="W200" i="3"/>
  <c r="X200" i="3"/>
  <c r="Y200" i="3"/>
  <c r="Z200" i="3"/>
  <c r="AA200" i="3"/>
  <c r="AB200" i="3"/>
  <c r="AC200" i="3"/>
  <c r="AD200" i="3"/>
  <c r="AE200" i="3"/>
  <c r="R201" i="3"/>
  <c r="S201" i="3"/>
  <c r="T201" i="3"/>
  <c r="U201" i="3"/>
  <c r="V201" i="3"/>
  <c r="W201" i="3"/>
  <c r="X201" i="3"/>
  <c r="Y201" i="3"/>
  <c r="Z201" i="3"/>
  <c r="AA201" i="3"/>
  <c r="AB201" i="3"/>
  <c r="AC201" i="3"/>
  <c r="AD201" i="3"/>
  <c r="AE201" i="3"/>
  <c r="S7" i="3"/>
  <c r="T7" i="3"/>
  <c r="U7" i="3"/>
  <c r="V7" i="3"/>
  <c r="W7" i="3"/>
  <c r="X7" i="3"/>
  <c r="Y7" i="3"/>
  <c r="Z7" i="3"/>
  <c r="AA7" i="3"/>
  <c r="AB7" i="3"/>
  <c r="AC7" i="3"/>
  <c r="AD7" i="3"/>
  <c r="AE7" i="3"/>
  <c r="R7" i="3"/>
  <c r="O5" i="7" l="1"/>
  <c r="E18" i="7" s="1" a="1"/>
  <c r="E18" i="7" s="1"/>
  <c r="E207" i="4"/>
  <c r="E208" i="4"/>
  <c r="N6" i="4"/>
  <c r="K207" i="4"/>
  <c r="K208" i="4"/>
  <c r="T6" i="4"/>
  <c r="J207" i="4"/>
  <c r="J208" i="4"/>
  <c r="S6" i="4"/>
  <c r="I207" i="4"/>
  <c r="I208" i="4"/>
  <c r="R6" i="4"/>
  <c r="H207" i="4"/>
  <c r="H208" i="4"/>
  <c r="Q6" i="4"/>
  <c r="G207" i="4"/>
  <c r="G208" i="4"/>
  <c r="P6" i="4"/>
  <c r="F207" i="4"/>
  <c r="F208" i="4"/>
  <c r="O6" i="4"/>
  <c r="E247" i="3"/>
  <c r="E252" i="3" s="1"/>
  <c r="S251" i="2"/>
  <c r="W253" i="2"/>
  <c r="X253" i="2"/>
  <c r="X254" i="2"/>
  <c r="W255" i="2"/>
  <c r="AF255" i="2"/>
  <c r="AC256" i="2"/>
  <c r="AD256" i="2"/>
  <c r="AF258" i="2"/>
  <c r="AB259" i="2"/>
  <c r="Z260" i="2"/>
  <c r="X261" i="2"/>
  <c r="AA261" i="2"/>
  <c r="U263" i="2"/>
  <c r="Z264" i="2"/>
  <c r="AA264" i="2"/>
  <c r="Y265" i="2"/>
  <c r="T267" i="2"/>
  <c r="X267" i="2"/>
  <c r="AB268" i="2"/>
  <c r="AD268" i="2"/>
  <c r="AA269" i="2"/>
  <c r="Y271" i="2"/>
  <c r="T272" i="2"/>
  <c r="U272" i="2"/>
  <c r="AA272" i="2"/>
  <c r="AA273" i="2"/>
  <c r="Z275" i="2"/>
  <c r="T276" i="2"/>
  <c r="Z276" i="2"/>
  <c r="X277" i="2"/>
  <c r="AC278" i="2"/>
  <c r="T279" i="2"/>
  <c r="AA280" i="2"/>
  <c r="Y281" i="2"/>
  <c r="T283" i="2"/>
  <c r="U283" i="2"/>
  <c r="X283" i="2"/>
  <c r="T284" i="2"/>
  <c r="Z284" i="2"/>
  <c r="X285" i="2"/>
  <c r="AB285" i="2"/>
  <c r="S286" i="2"/>
  <c r="AC286" i="2"/>
  <c r="W289" i="2"/>
  <c r="AF289" i="2"/>
  <c r="AA290" i="2"/>
  <c r="X291" i="2"/>
  <c r="AB293" i="2"/>
  <c r="Z294" i="2"/>
  <c r="S295" i="2"/>
  <c r="T295" i="2"/>
  <c r="X297" i="2"/>
  <c r="AA297" i="2"/>
  <c r="U298" i="2"/>
  <c r="AC298" i="2"/>
  <c r="U300" i="2"/>
  <c r="X300" i="2"/>
  <c r="X301" i="2"/>
  <c r="AB301" i="2"/>
  <c r="AE302" i="2"/>
  <c r="Z303" i="2"/>
  <c r="AA303" i="2"/>
  <c r="AB303" i="2"/>
  <c r="Z304" i="2"/>
  <c r="AF305" i="2"/>
  <c r="AA306" i="2"/>
  <c r="AF306" i="2"/>
  <c r="X307" i="2"/>
  <c r="Z307" i="2"/>
  <c r="AA307" i="2"/>
  <c r="AB308" i="2"/>
  <c r="AC308" i="2"/>
  <c r="X309" i="2"/>
  <c r="Z310" i="2"/>
  <c r="AE310" i="2"/>
  <c r="AF311" i="2"/>
  <c r="S312" i="2"/>
  <c r="X313" i="2"/>
  <c r="Z313" i="2"/>
  <c r="AF313" i="2"/>
  <c r="X315" i="2"/>
  <c r="Z316" i="2"/>
  <c r="AA316" i="2"/>
  <c r="X317" i="2"/>
  <c r="AF317" i="2"/>
  <c r="T318" i="2"/>
  <c r="X318" i="2"/>
  <c r="AC318" i="2"/>
  <c r="AB319" i="2"/>
  <c r="AF319" i="2"/>
  <c r="S320" i="2"/>
  <c r="Z320" i="2"/>
  <c r="W321" i="2"/>
  <c r="AA321" i="2"/>
  <c r="AB321" i="2"/>
  <c r="Z322" i="2"/>
  <c r="AB322" i="2"/>
  <c r="T323" i="2"/>
  <c r="AA323" i="2"/>
  <c r="AF323" i="2"/>
  <c r="AF324" i="2"/>
  <c r="T325" i="2"/>
  <c r="AE325" i="2"/>
  <c r="AF325" i="2"/>
  <c r="AA327" i="2"/>
  <c r="AF327" i="2"/>
  <c r="AA328" i="2"/>
  <c r="AF328" i="2"/>
  <c r="X329" i="2"/>
  <c r="Z329" i="2"/>
  <c r="AA329" i="2"/>
  <c r="AE329" i="2"/>
  <c r="Z330" i="2"/>
  <c r="AB330" i="2"/>
  <c r="V331" i="2"/>
  <c r="X331" i="2"/>
  <c r="Z331" i="2"/>
  <c r="T332" i="2"/>
  <c r="Z332" i="2"/>
  <c r="T333" i="2"/>
  <c r="AF333" i="2"/>
  <c r="T334" i="2"/>
  <c r="U334" i="2"/>
  <c r="AB334" i="2"/>
  <c r="AB335" i="2"/>
  <c r="AF335" i="2"/>
  <c r="Z336" i="2"/>
  <c r="AC336" i="2"/>
  <c r="X337" i="2"/>
  <c r="AB337" i="2"/>
  <c r="AC337" i="2"/>
  <c r="AE337" i="2"/>
  <c r="X338" i="2"/>
  <c r="Z338" i="2"/>
  <c r="AC338" i="2"/>
  <c r="T339" i="2"/>
  <c r="V339" i="2"/>
  <c r="X339" i="2"/>
  <c r="AF339" i="2"/>
  <c r="X340" i="2"/>
  <c r="AB340" i="2"/>
  <c r="T341" i="2"/>
  <c r="AB341" i="2"/>
  <c r="AF341" i="2"/>
  <c r="W342" i="2"/>
  <c r="Z342" i="2"/>
  <c r="AF342" i="2"/>
  <c r="W343" i="2"/>
  <c r="Z343" i="2"/>
  <c r="AA343" i="2"/>
  <c r="AB343" i="2"/>
  <c r="Z344" i="2"/>
  <c r="AA344" i="2"/>
  <c r="AF344" i="2"/>
  <c r="T345" i="2"/>
  <c r="V345" i="2"/>
  <c r="AA345" i="2"/>
  <c r="X346" i="2"/>
  <c r="AF346" i="2"/>
  <c r="T347" i="2"/>
  <c r="AE347" i="2"/>
  <c r="T348" i="2"/>
  <c r="U348" i="2"/>
  <c r="X348" i="2"/>
  <c r="Z348" i="2"/>
  <c r="Z349" i="2"/>
  <c r="AA349" i="2"/>
  <c r="AB349" i="2"/>
  <c r="W350" i="2"/>
  <c r="X350" i="2"/>
  <c r="T351" i="2"/>
  <c r="Z351" i="2"/>
  <c r="AA351" i="2"/>
  <c r="AF352" i="2"/>
  <c r="T353" i="2"/>
  <c r="X353" i="2"/>
  <c r="AF353" i="2"/>
  <c r="T354" i="2"/>
  <c r="U354" i="2"/>
  <c r="AE354" i="2"/>
  <c r="AF354" i="2"/>
  <c r="X355" i="2"/>
  <c r="Z355" i="2"/>
  <c r="AB355" i="2"/>
  <c r="S356" i="2"/>
  <c r="X356" i="2"/>
  <c r="AA356" i="2"/>
  <c r="W357" i="2"/>
  <c r="X357" i="2"/>
  <c r="Z357" i="2"/>
  <c r="AA357" i="2"/>
  <c r="AB357" i="2"/>
  <c r="Z358" i="2"/>
  <c r="AB358" i="2"/>
  <c r="AF358" i="2"/>
  <c r="W359" i="2"/>
  <c r="AA359" i="2"/>
  <c r="AF359" i="2"/>
  <c r="T360" i="2"/>
  <c r="V360" i="2"/>
  <c r="AC360" i="2"/>
  <c r="AD360" i="2"/>
  <c r="AF360" i="2"/>
  <c r="AA361" i="2"/>
  <c r="AF361" i="2"/>
  <c r="U362" i="2"/>
  <c r="Y362" i="2"/>
  <c r="Z362" i="2"/>
  <c r="U363" i="2"/>
  <c r="Z363" i="2"/>
  <c r="AA363" i="2"/>
  <c r="U364" i="2"/>
  <c r="W364" i="2"/>
  <c r="AC364" i="2"/>
  <c r="AF364" i="2"/>
  <c r="X365" i="2"/>
  <c r="Z365" i="2"/>
  <c r="AE365" i="2"/>
  <c r="T366" i="2"/>
  <c r="AA366" i="2"/>
  <c r="AF366" i="2"/>
  <c r="T367" i="2"/>
  <c r="V367" i="2"/>
  <c r="X368" i="2"/>
  <c r="W369" i="2"/>
  <c r="X369" i="2"/>
  <c r="Z369" i="2"/>
  <c r="AF369" i="2"/>
  <c r="T370" i="2"/>
  <c r="U370" i="2"/>
  <c r="X370" i="2"/>
  <c r="AA370" i="2"/>
  <c r="W371" i="2"/>
  <c r="Z371" i="2"/>
  <c r="AB371" i="2"/>
  <c r="AE371" i="2"/>
  <c r="W372" i="2"/>
  <c r="AE372" i="2"/>
  <c r="AF372" i="2"/>
  <c r="S373" i="2"/>
  <c r="X373" i="2"/>
  <c r="AA373" i="2"/>
  <c r="AF373" i="2"/>
  <c r="U374" i="2"/>
  <c r="Z374" i="2"/>
  <c r="AA374" i="2"/>
  <c r="AB374" i="2"/>
  <c r="AC374" i="2"/>
  <c r="AF374" i="2"/>
  <c r="W375" i="2"/>
  <c r="Z375" i="2"/>
  <c r="AC375" i="2"/>
  <c r="T376" i="2"/>
  <c r="W376" i="2"/>
  <c r="X376" i="2"/>
  <c r="S377" i="2"/>
  <c r="W377" i="2"/>
  <c r="Z377" i="2"/>
  <c r="AF377" i="2"/>
  <c r="X378" i="2"/>
  <c r="Z378" i="2"/>
  <c r="AA378" i="2"/>
  <c r="U379" i="2"/>
  <c r="Z379" i="2"/>
  <c r="AC379" i="2"/>
  <c r="AE379" i="2"/>
  <c r="W380" i="2"/>
  <c r="AB380" i="2"/>
  <c r="AC380" i="2"/>
  <c r="AF380" i="2"/>
  <c r="Z381" i="2"/>
  <c r="AA381" i="2"/>
  <c r="AE381" i="2"/>
  <c r="T382" i="2"/>
  <c r="X382" i="2"/>
  <c r="Z382" i="2"/>
  <c r="AA382" i="2"/>
  <c r="AC382" i="2"/>
  <c r="U383" i="2"/>
  <c r="W383" i="2"/>
  <c r="T384" i="2"/>
  <c r="U384" i="2"/>
  <c r="W384" i="2"/>
  <c r="X384" i="2"/>
  <c r="Y384" i="2"/>
  <c r="X385" i="2"/>
  <c r="Z385" i="2"/>
  <c r="AE385" i="2"/>
  <c r="AF385" i="2"/>
  <c r="T386" i="2"/>
  <c r="Y386" i="2"/>
  <c r="AB386" i="2"/>
  <c r="AF386" i="2"/>
  <c r="W387" i="2"/>
  <c r="AA387" i="2"/>
  <c r="AB387" i="2"/>
  <c r="AD387" i="2"/>
  <c r="X388" i="2"/>
  <c r="Y388" i="2"/>
  <c r="AB388" i="2"/>
  <c r="AC388" i="2"/>
  <c r="AE388" i="2"/>
  <c r="W389" i="2"/>
  <c r="X389" i="2"/>
  <c r="AA389" i="2"/>
  <c r="AF389" i="2"/>
  <c r="T390" i="2"/>
  <c r="U390" i="2"/>
  <c r="X390" i="2"/>
  <c r="Z390" i="2"/>
  <c r="AB390" i="2"/>
  <c r="S391" i="2"/>
  <c r="T391" i="2"/>
  <c r="U391" i="2"/>
  <c r="X391" i="2"/>
  <c r="AA391" i="2"/>
  <c r="AB391" i="2"/>
  <c r="AE391" i="2"/>
  <c r="S392" i="2"/>
  <c r="X392" i="2"/>
  <c r="Z392" i="2"/>
  <c r="AE392" i="2"/>
  <c r="AF392" i="2"/>
  <c r="S393" i="2"/>
  <c r="X393" i="2"/>
  <c r="Z393" i="2"/>
  <c r="AA393" i="2"/>
  <c r="AB393" i="2"/>
  <c r="AE393" i="2"/>
  <c r="W394" i="2"/>
  <c r="Z394" i="2"/>
  <c r="AB394" i="2"/>
  <c r="T395" i="2"/>
  <c r="U395" i="2"/>
  <c r="W395" i="2"/>
  <c r="AA395" i="2"/>
  <c r="AB395" i="2"/>
  <c r="AF395" i="2"/>
  <c r="W396" i="2"/>
  <c r="X396" i="2"/>
  <c r="Y396" i="2"/>
  <c r="Z396" i="2"/>
  <c r="AA396" i="2"/>
  <c r="AF396" i="2"/>
  <c r="S397" i="2"/>
  <c r="T397" i="2"/>
  <c r="W397" i="2"/>
  <c r="Z397" i="2"/>
  <c r="AA397" i="2"/>
  <c r="AB397" i="2"/>
  <c r="AF397" i="2"/>
  <c r="T398" i="2"/>
  <c r="U398" i="2"/>
  <c r="Y398" i="2"/>
  <c r="Z398" i="2"/>
  <c r="AA398" i="2"/>
  <c r="AC398" i="2"/>
  <c r="AE398" i="2"/>
  <c r="X399" i="2"/>
  <c r="Y399" i="2"/>
  <c r="AA399" i="2"/>
  <c r="AB399" i="2"/>
  <c r="AC399" i="2"/>
  <c r="W400" i="2"/>
  <c r="X400" i="2"/>
  <c r="Z400" i="2"/>
  <c r="AC400" i="2"/>
  <c r="AF400" i="2"/>
  <c r="S401" i="2"/>
  <c r="X401" i="2"/>
  <c r="Y401" i="2"/>
  <c r="Z401" i="2"/>
  <c r="AE401" i="2"/>
  <c r="T402" i="2"/>
  <c r="U402" i="2"/>
  <c r="W402" i="2"/>
  <c r="Z402" i="2"/>
  <c r="AC402" i="2"/>
  <c r="AE402" i="2"/>
  <c r="U403" i="2"/>
  <c r="X403" i="2"/>
  <c r="AA403" i="2"/>
  <c r="AB403" i="2"/>
  <c r="AF403" i="2"/>
  <c r="U404" i="2"/>
  <c r="AA404" i="2"/>
  <c r="AC404" i="2"/>
  <c r="AE404" i="2"/>
  <c r="AF404" i="2"/>
  <c r="X405" i="2"/>
  <c r="Y405" i="2"/>
  <c r="Z405" i="2"/>
  <c r="AA405" i="2"/>
  <c r="AC405" i="2"/>
  <c r="AF405" i="2"/>
  <c r="U406" i="2"/>
  <c r="V406" i="2"/>
  <c r="AA406" i="2"/>
  <c r="AB406" i="2"/>
  <c r="T407" i="2"/>
  <c r="W407" i="2"/>
  <c r="X407" i="2"/>
  <c r="AA407" i="2"/>
  <c r="AF407" i="2"/>
  <c r="U408" i="2"/>
  <c r="X408" i="2"/>
  <c r="Z408" i="2"/>
  <c r="AE408" i="2"/>
  <c r="W409" i="2"/>
  <c r="X409" i="2"/>
  <c r="Z409" i="2"/>
  <c r="AB409" i="2"/>
  <c r="AE409" i="2"/>
  <c r="AF409" i="2"/>
  <c r="T410" i="2"/>
  <c r="U410" i="2"/>
  <c r="Z410" i="2"/>
  <c r="AA410" i="2"/>
  <c r="AB410" i="2"/>
  <c r="X411" i="2"/>
  <c r="AB411" i="2"/>
  <c r="AE411" i="2"/>
  <c r="AF411" i="2"/>
  <c r="Z412" i="2"/>
  <c r="AA412" i="2"/>
  <c r="AC412" i="2"/>
  <c r="AD412" i="2"/>
  <c r="AF412" i="2"/>
  <c r="U413" i="2"/>
  <c r="X413" i="2"/>
  <c r="Z413" i="2"/>
  <c r="AA413" i="2"/>
  <c r="AF413" i="2"/>
  <c r="T414" i="2"/>
  <c r="Z414" i="2"/>
  <c r="AC414" i="2"/>
  <c r="AE414" i="2"/>
  <c r="T415" i="2"/>
  <c r="X415" i="2"/>
  <c r="Z415" i="2"/>
  <c r="AB415" i="2"/>
  <c r="AC415" i="2"/>
  <c r="AD415" i="2"/>
  <c r="AE415" i="2"/>
  <c r="AF415" i="2"/>
  <c r="T416" i="2"/>
  <c r="X416" i="2"/>
  <c r="Z416" i="2"/>
  <c r="AB416" i="2"/>
  <c r="AD416" i="2"/>
  <c r="AE416" i="2"/>
  <c r="AF416" i="2"/>
  <c r="T417" i="2"/>
  <c r="X417" i="2"/>
  <c r="Z417" i="2"/>
  <c r="AA417" i="2"/>
  <c r="AF417" i="2"/>
  <c r="S418" i="2"/>
  <c r="T418" i="2"/>
  <c r="X418" i="2"/>
  <c r="Z418" i="2"/>
  <c r="AA418" i="2"/>
  <c r="AB418" i="2"/>
  <c r="AC418" i="2"/>
  <c r="AF418" i="2"/>
  <c r="T419" i="2"/>
  <c r="U419" i="2"/>
  <c r="X419" i="2"/>
  <c r="Z419" i="2"/>
  <c r="AB419" i="2"/>
  <c r="AC419" i="2"/>
  <c r="AE419" i="2"/>
  <c r="AF419" i="2"/>
  <c r="W420" i="2"/>
  <c r="X420" i="2"/>
  <c r="Z420" i="2"/>
  <c r="AB420" i="2"/>
  <c r="AF420" i="2"/>
  <c r="S421" i="2"/>
  <c r="T421" i="2"/>
  <c r="V421" i="2"/>
  <c r="X421" i="2"/>
  <c r="Z421" i="2"/>
  <c r="AA421" i="2"/>
  <c r="AB421" i="2"/>
  <c r="AF421" i="2"/>
  <c r="S422" i="2"/>
  <c r="T422" i="2"/>
  <c r="X422" i="2"/>
  <c r="Z422" i="2"/>
  <c r="AA422" i="2"/>
  <c r="AB422" i="2"/>
  <c r="AC422" i="2"/>
  <c r="AF422" i="2"/>
  <c r="W423" i="2"/>
  <c r="X423" i="2"/>
  <c r="Z423" i="2"/>
  <c r="AB423" i="2"/>
  <c r="AC423" i="2"/>
  <c r="AF423" i="2"/>
  <c r="T424" i="2"/>
  <c r="W424" i="2"/>
  <c r="X424" i="2"/>
  <c r="Z424" i="2"/>
  <c r="AE424" i="2"/>
  <c r="AF424" i="2"/>
  <c r="T425" i="2"/>
  <c r="X425" i="2"/>
  <c r="Z425" i="2"/>
  <c r="AA425" i="2"/>
  <c r="AB425" i="2"/>
  <c r="AD425" i="2"/>
  <c r="AF425" i="2"/>
  <c r="X426" i="2"/>
  <c r="Z426" i="2"/>
  <c r="AA426" i="2"/>
  <c r="AB426" i="2"/>
  <c r="AC426" i="2"/>
  <c r="AF426" i="2"/>
  <c r="T427" i="2"/>
  <c r="W427" i="2"/>
  <c r="X427" i="2"/>
  <c r="Z427" i="2"/>
  <c r="AE427" i="2"/>
  <c r="AF427" i="2"/>
  <c r="T428" i="2"/>
  <c r="W428" i="2"/>
  <c r="X428" i="2"/>
  <c r="Z428" i="2"/>
  <c r="AB428" i="2"/>
  <c r="AE428" i="2"/>
  <c r="AF428" i="2"/>
  <c r="X429" i="2"/>
  <c r="Z429" i="2"/>
  <c r="AA429" i="2"/>
  <c r="AB429" i="2"/>
  <c r="AF429" i="2"/>
  <c r="T430" i="2"/>
  <c r="U430" i="2"/>
  <c r="X430" i="2"/>
  <c r="Z430" i="2"/>
  <c r="AA430" i="2"/>
  <c r="AF430" i="2"/>
  <c r="T431" i="2"/>
  <c r="U431" i="2"/>
  <c r="W431" i="2"/>
  <c r="X431" i="2"/>
  <c r="Z431" i="2"/>
  <c r="AB431" i="2"/>
  <c r="AE431" i="2"/>
  <c r="AF431" i="2"/>
  <c r="T432" i="2"/>
  <c r="X432" i="2"/>
  <c r="Z432" i="2"/>
  <c r="AB432" i="2"/>
  <c r="AE432" i="2"/>
  <c r="AF432" i="2"/>
  <c r="T433" i="2"/>
  <c r="X433" i="2"/>
  <c r="Y433" i="2"/>
  <c r="Z433" i="2"/>
  <c r="AA433" i="2"/>
  <c r="AF433" i="2"/>
  <c r="T434" i="2"/>
  <c r="U434" i="2"/>
  <c r="X434" i="2"/>
  <c r="Z434" i="2"/>
  <c r="AA434" i="2"/>
  <c r="AB434" i="2"/>
  <c r="AC434" i="2"/>
  <c r="AF434" i="2"/>
  <c r="T435" i="2"/>
  <c r="U435" i="2"/>
  <c r="X435" i="2"/>
  <c r="Z435" i="2"/>
  <c r="AB435" i="2"/>
  <c r="AC435" i="2"/>
  <c r="AE435" i="2"/>
  <c r="AF435" i="2"/>
  <c r="X436" i="2"/>
  <c r="Y436" i="2"/>
  <c r="Z436" i="2"/>
  <c r="AB436" i="2"/>
  <c r="AF436" i="2"/>
  <c r="T437" i="2"/>
  <c r="X437" i="2"/>
  <c r="Z437" i="2"/>
  <c r="AA437" i="2"/>
  <c r="AB437" i="2"/>
  <c r="AF437" i="2"/>
  <c r="T438" i="2"/>
  <c r="U438" i="2"/>
  <c r="X438" i="2"/>
  <c r="Z438" i="2"/>
  <c r="AA438" i="2"/>
  <c r="AB438" i="2"/>
  <c r="AC438" i="2"/>
  <c r="AF438" i="2"/>
  <c r="V439" i="2"/>
  <c r="W439" i="2"/>
  <c r="X439" i="2"/>
  <c r="Z439" i="2"/>
  <c r="AB439" i="2"/>
  <c r="AC439" i="2"/>
  <c r="AF439" i="2"/>
  <c r="T440" i="2"/>
  <c r="V440" i="2"/>
  <c r="W440" i="2"/>
  <c r="X440" i="2"/>
  <c r="Z440" i="2"/>
  <c r="AF440" i="2"/>
  <c r="S441" i="2"/>
  <c r="T441" i="2"/>
  <c r="X441" i="2"/>
  <c r="Z441" i="2"/>
  <c r="AA441" i="2"/>
  <c r="AB441" i="2"/>
  <c r="AF441" i="2"/>
  <c r="V442" i="2"/>
  <c r="X442" i="2"/>
  <c r="Z442" i="2"/>
  <c r="AA442" i="2"/>
  <c r="AB442" i="2"/>
  <c r="AF442" i="2"/>
  <c r="T443" i="2"/>
  <c r="U443" i="2"/>
  <c r="V443" i="2"/>
  <c r="W443" i="2"/>
  <c r="X443" i="2"/>
  <c r="Z443" i="2"/>
  <c r="AE443" i="2"/>
  <c r="AF443" i="2"/>
  <c r="T444" i="2"/>
  <c r="W444" i="2"/>
  <c r="X444" i="2"/>
  <c r="Z444" i="2"/>
  <c r="AB444" i="2"/>
  <c r="AE444" i="2"/>
  <c r="AF444" i="2"/>
  <c r="S445" i="2"/>
  <c r="X445" i="2"/>
  <c r="Y445" i="2"/>
  <c r="Z445" i="2"/>
  <c r="AA445" i="2"/>
  <c r="AB445" i="2"/>
  <c r="AF445" i="2"/>
  <c r="E448" i="2"/>
  <c r="F448" i="2"/>
  <c r="U275" i="2" s="1"/>
  <c r="G448" i="2"/>
  <c r="H448" i="2"/>
  <c r="W271" i="2" s="1"/>
  <c r="I448" i="2"/>
  <c r="X255" i="2" s="1"/>
  <c r="J448" i="2"/>
  <c r="Y279" i="2" s="1"/>
  <c r="K448" i="2"/>
  <c r="L448" i="2"/>
  <c r="M448" i="2"/>
  <c r="AB336" i="2" s="1"/>
  <c r="N448" i="2"/>
  <c r="AC330" i="2" s="1"/>
  <c r="O448" i="2"/>
  <c r="P448" i="2"/>
  <c r="AE259" i="2" s="1"/>
  <c r="Q448" i="2"/>
  <c r="AF257" i="2" s="1"/>
  <c r="D448" i="2"/>
  <c r="S402" i="2" s="1"/>
  <c r="AD251" i="2" l="1"/>
  <c r="AD255" i="2"/>
  <c r="AD259" i="2"/>
  <c r="AD263" i="2"/>
  <c r="AD267" i="2"/>
  <c r="AD271" i="2"/>
  <c r="AD275" i="2"/>
  <c r="AD279" i="2"/>
  <c r="AD283" i="2"/>
  <c r="AD287" i="2"/>
  <c r="AD291" i="2"/>
  <c r="AD295" i="2"/>
  <c r="AD273" i="2"/>
  <c r="AD288" i="2"/>
  <c r="AD290" i="2"/>
  <c r="AD253" i="2"/>
  <c r="AD264" i="2"/>
  <c r="AD270" i="2"/>
  <c r="AD299" i="2"/>
  <c r="AD301" i="2"/>
  <c r="AD261" i="2"/>
  <c r="AD262" i="2"/>
  <c r="AD297" i="2"/>
  <c r="AD254" i="2"/>
  <c r="AD269" i="2"/>
  <c r="AD272" i="2"/>
  <c r="AD276" i="2"/>
  <c r="AD278" i="2"/>
  <c r="AD280" i="2"/>
  <c r="AD281" i="2"/>
  <c r="AD282" i="2"/>
  <c r="AD285" i="2"/>
  <c r="AD286" i="2"/>
  <c r="AD289" i="2"/>
  <c r="AD292" i="2"/>
  <c r="AD294" i="2"/>
  <c r="AD298" i="2"/>
  <c r="AD304" i="2"/>
  <c r="AD316" i="2"/>
  <c r="AD318" i="2"/>
  <c r="AD284" i="2"/>
  <c r="AD293" i="2"/>
  <c r="AD296" i="2"/>
  <c r="AD307" i="2"/>
  <c r="AD320" i="2"/>
  <c r="AD322" i="2"/>
  <c r="AD260" i="2"/>
  <c r="AD300" i="2"/>
  <c r="AD308" i="2"/>
  <c r="AD309" i="2"/>
  <c r="AD336" i="2"/>
  <c r="AD338" i="2"/>
  <c r="AD353" i="2"/>
  <c r="AD355" i="2"/>
  <c r="AD362" i="2"/>
  <c r="AD366" i="2"/>
  <c r="AD370" i="2"/>
  <c r="AD374" i="2"/>
  <c r="AD378" i="2"/>
  <c r="AD382" i="2"/>
  <c r="AD386" i="2"/>
  <c r="AD257" i="2"/>
  <c r="AD323" i="2"/>
  <c r="AD327" i="2"/>
  <c r="AD340" i="2"/>
  <c r="AD342" i="2"/>
  <c r="AD357" i="2"/>
  <c r="AD359" i="2"/>
  <c r="AD303" i="2"/>
  <c r="AD330" i="2"/>
  <c r="AD331" i="2"/>
  <c r="AD337" i="2"/>
  <c r="AD344" i="2"/>
  <c r="AD369" i="2"/>
  <c r="AD372" i="2"/>
  <c r="AD375" i="2"/>
  <c r="AD385" i="2"/>
  <c r="AD388" i="2"/>
  <c r="AD393" i="2"/>
  <c r="AD397" i="2"/>
  <c r="AD401" i="2"/>
  <c r="AD405" i="2"/>
  <c r="AD409" i="2"/>
  <c r="AD413" i="2"/>
  <c r="AD302" i="2"/>
  <c r="AD311" i="2"/>
  <c r="AD319" i="2"/>
  <c r="AD339" i="2"/>
  <c r="AD345" i="2"/>
  <c r="AD346" i="2"/>
  <c r="AD352" i="2"/>
  <c r="AD363" i="2"/>
  <c r="AD274" i="2"/>
  <c r="AD321" i="2"/>
  <c r="AD328" i="2"/>
  <c r="AD376" i="2"/>
  <c r="AD399" i="2"/>
  <c r="AD414" i="2"/>
  <c r="AD265" i="2"/>
  <c r="AD306" i="2"/>
  <c r="AD317" i="2"/>
  <c r="AD326" i="2"/>
  <c r="AD347" i="2"/>
  <c r="AD354" i="2"/>
  <c r="AD361" i="2"/>
  <c r="AD364" i="2"/>
  <c r="AD384" i="2"/>
  <c r="AD392" i="2"/>
  <c r="AD407" i="2"/>
  <c r="AD252" i="2"/>
  <c r="AD277" i="2"/>
  <c r="AD332" i="2"/>
  <c r="AD314" i="2"/>
  <c r="AD400" i="2"/>
  <c r="AD406" i="2"/>
  <c r="AD420" i="2"/>
  <c r="AD423" i="2"/>
  <c r="AD426" i="2"/>
  <c r="AD436" i="2"/>
  <c r="AD439" i="2"/>
  <c r="AD442" i="2"/>
  <c r="AD356" i="2"/>
  <c r="AD395" i="2"/>
  <c r="AD433" i="2"/>
  <c r="AD258" i="2"/>
  <c r="AD266" i="2"/>
  <c r="AD324" i="2"/>
  <c r="AD333" i="2"/>
  <c r="AD417" i="2"/>
  <c r="AD310" i="2"/>
  <c r="AD313" i="2"/>
  <c r="AD325" i="2"/>
  <c r="AD343" i="2"/>
  <c r="AD349" i="2"/>
  <c r="AD351" i="2"/>
  <c r="AD408" i="2"/>
  <c r="AD428" i="2"/>
  <c r="AD437" i="2"/>
  <c r="AD305" i="2"/>
  <c r="AD334" i="2"/>
  <c r="AD380" i="2"/>
  <c r="AD383" i="2"/>
  <c r="AD394" i="2"/>
  <c r="AD398" i="2"/>
  <c r="AD418" i="2"/>
  <c r="AD419" i="2"/>
  <c r="AD438" i="2"/>
  <c r="AD350" i="2"/>
  <c r="AD390" i="2"/>
  <c r="AD431" i="2"/>
  <c r="AD432" i="2"/>
  <c r="AD441" i="2"/>
  <c r="AD443" i="2"/>
  <c r="AD312" i="2"/>
  <c r="AD315" i="2"/>
  <c r="AD335" i="2"/>
  <c r="AD358" i="2"/>
  <c r="AD379" i="2"/>
  <c r="AD404" i="2"/>
  <c r="AD424" i="2"/>
  <c r="AD445" i="2"/>
  <c r="AD348" i="2"/>
  <c r="AD367" i="2"/>
  <c r="AD402" i="2"/>
  <c r="AD365" i="2"/>
  <c r="AD381" i="2"/>
  <c r="AD430" i="2"/>
  <c r="AD329" i="2"/>
  <c r="AD368" i="2"/>
  <c r="AD377" i="2"/>
  <c r="AD396" i="2"/>
  <c r="AD429" i="2"/>
  <c r="AD444" i="2"/>
  <c r="AD391" i="2"/>
  <c r="AD410" i="2"/>
  <c r="AD421" i="2"/>
  <c r="V251" i="2"/>
  <c r="V255" i="2"/>
  <c r="V259" i="2"/>
  <c r="V263" i="2"/>
  <c r="V267" i="2"/>
  <c r="V271" i="2"/>
  <c r="V275" i="2"/>
  <c r="V279" i="2"/>
  <c r="V283" i="2"/>
  <c r="V287" i="2"/>
  <c r="V291" i="2"/>
  <c r="V295" i="2"/>
  <c r="V299" i="2"/>
  <c r="V269" i="2"/>
  <c r="V284" i="2"/>
  <c r="V286" i="2"/>
  <c r="V257" i="2"/>
  <c r="V258" i="2"/>
  <c r="V272" i="2"/>
  <c r="V278" i="2"/>
  <c r="V281" i="2"/>
  <c r="V290" i="2"/>
  <c r="V252" i="2"/>
  <c r="V264" i="2"/>
  <c r="V270" i="2"/>
  <c r="V273" i="2"/>
  <c r="V303" i="2"/>
  <c r="V305" i="2"/>
  <c r="V312" i="2"/>
  <c r="V314" i="2"/>
  <c r="V316" i="2"/>
  <c r="V318" i="2"/>
  <c r="V298" i="2"/>
  <c r="V304" i="2"/>
  <c r="V307" i="2"/>
  <c r="V313" i="2"/>
  <c r="V320" i="2"/>
  <c r="V326" i="2"/>
  <c r="V332" i="2"/>
  <c r="V334" i="2"/>
  <c r="V349" i="2"/>
  <c r="V351" i="2"/>
  <c r="V362" i="2"/>
  <c r="V366" i="2"/>
  <c r="V370" i="2"/>
  <c r="V374" i="2"/>
  <c r="V378" i="2"/>
  <c r="V382" i="2"/>
  <c r="V386" i="2"/>
  <c r="V253" i="2"/>
  <c r="V256" i="2"/>
  <c r="V265" i="2"/>
  <c r="V277" i="2"/>
  <c r="V285" i="2"/>
  <c r="V306" i="2"/>
  <c r="V336" i="2"/>
  <c r="V338" i="2"/>
  <c r="V353" i="2"/>
  <c r="V355" i="2"/>
  <c r="V292" i="2"/>
  <c r="V335" i="2"/>
  <c r="V341" i="2"/>
  <c r="V342" i="2"/>
  <c r="V348" i="2"/>
  <c r="V365" i="2"/>
  <c r="V368" i="2"/>
  <c r="V371" i="2"/>
  <c r="V381" i="2"/>
  <c r="V384" i="2"/>
  <c r="V387" i="2"/>
  <c r="V390" i="2"/>
  <c r="V393" i="2"/>
  <c r="V397" i="2"/>
  <c r="V401" i="2"/>
  <c r="V405" i="2"/>
  <c r="V409" i="2"/>
  <c r="V413" i="2"/>
  <c r="V254" i="2"/>
  <c r="V260" i="2"/>
  <c r="V280" i="2"/>
  <c r="V289" i="2"/>
  <c r="V296" i="2"/>
  <c r="V301" i="2"/>
  <c r="V315" i="2"/>
  <c r="V322" i="2"/>
  <c r="V323" i="2"/>
  <c r="V343" i="2"/>
  <c r="V350" i="2"/>
  <c r="V356" i="2"/>
  <c r="V357" i="2"/>
  <c r="V317" i="2"/>
  <c r="V359" i="2"/>
  <c r="V380" i="2"/>
  <c r="V395" i="2"/>
  <c r="V410" i="2"/>
  <c r="V412" i="2"/>
  <c r="V261" i="2"/>
  <c r="V294" i="2"/>
  <c r="V325" i="2"/>
  <c r="V329" i="2"/>
  <c r="V358" i="2"/>
  <c r="V369" i="2"/>
  <c r="V375" i="2"/>
  <c r="V389" i="2"/>
  <c r="V403" i="2"/>
  <c r="V266" i="2"/>
  <c r="V319" i="2"/>
  <c r="V262" i="2"/>
  <c r="V330" i="2"/>
  <c r="V347" i="2"/>
  <c r="V361" i="2"/>
  <c r="V373" i="2"/>
  <c r="V388" i="2"/>
  <c r="V398" i="2"/>
  <c r="V404" i="2"/>
  <c r="V411" i="2"/>
  <c r="V416" i="2"/>
  <c r="V419" i="2"/>
  <c r="V422" i="2"/>
  <c r="V432" i="2"/>
  <c r="V435" i="2"/>
  <c r="V438" i="2"/>
  <c r="V302" i="2"/>
  <c r="V310" i="2"/>
  <c r="V352" i="2"/>
  <c r="V429" i="2"/>
  <c r="V445" i="2"/>
  <c r="V372" i="2"/>
  <c r="V328" i="2"/>
  <c r="V340" i="2"/>
  <c r="V376" i="2"/>
  <c r="V383" i="2"/>
  <c r="V423" i="2"/>
  <c r="V424" i="2"/>
  <c r="V434" i="2"/>
  <c r="V293" i="2"/>
  <c r="V308" i="2"/>
  <c r="V311" i="2"/>
  <c r="V337" i="2"/>
  <c r="V354" i="2"/>
  <c r="V363" i="2"/>
  <c r="V379" i="2"/>
  <c r="V402" i="2"/>
  <c r="V414" i="2"/>
  <c r="V425" i="2"/>
  <c r="V426" i="2"/>
  <c r="V437" i="2"/>
  <c r="V288" i="2"/>
  <c r="V321" i="2"/>
  <c r="V396" i="2"/>
  <c r="V400" i="2"/>
  <c r="V417" i="2"/>
  <c r="V427" i="2"/>
  <c r="V428" i="2"/>
  <c r="V276" i="2"/>
  <c r="V309" i="2"/>
  <c r="V324" i="2"/>
  <c r="V377" i="2"/>
  <c r="V394" i="2"/>
  <c r="V407" i="2"/>
  <c r="V408" i="2"/>
  <c r="V420" i="2"/>
  <c r="V430" i="2"/>
  <c r="V431" i="2"/>
  <c r="V297" i="2"/>
  <c r="V344" i="2"/>
  <c r="V385" i="2"/>
  <c r="V418" i="2"/>
  <c r="V441" i="2"/>
  <c r="V415" i="2"/>
  <c r="V268" i="2"/>
  <c r="V327" i="2"/>
  <c r="V399" i="2"/>
  <c r="V433" i="2"/>
  <c r="V436" i="2"/>
  <c r="V274" i="2"/>
  <c r="V364" i="2"/>
  <c r="V444" i="2"/>
  <c r="AD440" i="2"/>
  <c r="V391" i="2"/>
  <c r="AD341" i="2"/>
  <c r="V333" i="2"/>
  <c r="V282" i="2"/>
  <c r="AD422" i="2"/>
  <c r="AD403" i="2"/>
  <c r="V346" i="2"/>
  <c r="V300" i="2"/>
  <c r="AD435" i="2"/>
  <c r="AD434" i="2"/>
  <c r="AD427" i="2"/>
  <c r="AD411" i="2"/>
  <c r="V392" i="2"/>
  <c r="AD389" i="2"/>
  <c r="AD373" i="2"/>
  <c r="AD371" i="2"/>
  <c r="Y416" i="2"/>
  <c r="Y394" i="2"/>
  <c r="S369" i="2"/>
  <c r="S362" i="2"/>
  <c r="S353" i="2"/>
  <c r="Y336" i="2"/>
  <c r="Y440" i="2"/>
  <c r="Y437" i="2"/>
  <c r="S254" i="2"/>
  <c r="S258" i="2"/>
  <c r="S262" i="2"/>
  <c r="S252" i="2"/>
  <c r="C454" i="2" s="1" a="1"/>
  <c r="S255" i="2"/>
  <c r="S264" i="2"/>
  <c r="S279" i="2"/>
  <c r="S281" i="2"/>
  <c r="S294" i="2"/>
  <c r="S296" i="2"/>
  <c r="S301" i="2"/>
  <c r="S305" i="2"/>
  <c r="S253" i="2"/>
  <c r="S259" i="2"/>
  <c r="S267" i="2"/>
  <c r="S270" i="2"/>
  <c r="S273" i="2"/>
  <c r="S276" i="2"/>
  <c r="S285" i="2"/>
  <c r="S261" i="2"/>
  <c r="S265" i="2"/>
  <c r="S268" i="2"/>
  <c r="S300" i="2"/>
  <c r="S310" i="2"/>
  <c r="S314" i="2"/>
  <c r="S318" i="2"/>
  <c r="S322" i="2"/>
  <c r="S326" i="2"/>
  <c r="S330" i="2"/>
  <c r="S334" i="2"/>
  <c r="S338" i="2"/>
  <c r="S342" i="2"/>
  <c r="S346" i="2"/>
  <c r="S350" i="2"/>
  <c r="S354" i="2"/>
  <c r="S358" i="2"/>
  <c r="S256" i="2"/>
  <c r="S307" i="2"/>
  <c r="S309" i="2"/>
  <c r="S324" i="2"/>
  <c r="S263" i="2"/>
  <c r="S266" i="2"/>
  <c r="S269" i="2"/>
  <c r="S271" i="2"/>
  <c r="S272" i="2"/>
  <c r="S274" i="2"/>
  <c r="S277" i="2"/>
  <c r="S280" i="2"/>
  <c r="S283" i="2"/>
  <c r="S289" i="2"/>
  <c r="S311" i="2"/>
  <c r="S313" i="2"/>
  <c r="S293" i="2"/>
  <c r="S297" i="2"/>
  <c r="S308" i="2"/>
  <c r="S315" i="2"/>
  <c r="S329" i="2"/>
  <c r="S344" i="2"/>
  <c r="S359" i="2"/>
  <c r="S361" i="2"/>
  <c r="S302" i="2"/>
  <c r="S303" i="2"/>
  <c r="S327" i="2"/>
  <c r="S331" i="2"/>
  <c r="S333" i="2"/>
  <c r="S348" i="2"/>
  <c r="S364" i="2"/>
  <c r="S368" i="2"/>
  <c r="S372" i="2"/>
  <c r="S376" i="2"/>
  <c r="S380" i="2"/>
  <c r="S384" i="2"/>
  <c r="S388" i="2"/>
  <c r="S260" i="2"/>
  <c r="S278" i="2"/>
  <c r="S287" i="2"/>
  <c r="S316" i="2"/>
  <c r="S323" i="2"/>
  <c r="S336" i="2"/>
  <c r="S337" i="2"/>
  <c r="S343" i="2"/>
  <c r="S275" i="2"/>
  <c r="S282" i="2"/>
  <c r="S284" i="2"/>
  <c r="S291" i="2"/>
  <c r="S298" i="2"/>
  <c r="S345" i="2"/>
  <c r="S351" i="2"/>
  <c r="S352" i="2"/>
  <c r="S325" i="2"/>
  <c r="S375" i="2"/>
  <c r="S381" i="2"/>
  <c r="S382" i="2"/>
  <c r="S405" i="2"/>
  <c r="S407" i="2"/>
  <c r="S416" i="2"/>
  <c r="S420" i="2"/>
  <c r="S424" i="2"/>
  <c r="S428" i="2"/>
  <c r="S432" i="2"/>
  <c r="S436" i="2"/>
  <c r="S440" i="2"/>
  <c r="S444" i="2"/>
  <c r="S292" i="2"/>
  <c r="S328" i="2"/>
  <c r="S335" i="2"/>
  <c r="S357" i="2"/>
  <c r="S370" i="2"/>
  <c r="S390" i="2"/>
  <c r="S396" i="2"/>
  <c r="S398" i="2"/>
  <c r="S413" i="2"/>
  <c r="S415" i="2"/>
  <c r="S419" i="2"/>
  <c r="S423" i="2"/>
  <c r="S427" i="2"/>
  <c r="S431" i="2"/>
  <c r="S435" i="2"/>
  <c r="S439" i="2"/>
  <c r="S443" i="2"/>
  <c r="S299" i="2"/>
  <c r="S321" i="2"/>
  <c r="S349" i="2"/>
  <c r="S355" i="2"/>
  <c r="S365" i="2"/>
  <c r="S371" i="2"/>
  <c r="S379" i="2"/>
  <c r="S387" i="2"/>
  <c r="S394" i="2"/>
  <c r="S399" i="2"/>
  <c r="S406" i="2"/>
  <c r="S412" i="2"/>
  <c r="S332" i="2"/>
  <c r="S378" i="2"/>
  <c r="S386" i="2"/>
  <c r="S400" i="2"/>
  <c r="S417" i="2"/>
  <c r="S360" i="2"/>
  <c r="S395" i="2"/>
  <c r="S430" i="2"/>
  <c r="S433" i="2"/>
  <c r="S257" i="2"/>
  <c r="S304" i="2"/>
  <c r="S317" i="2"/>
  <c r="S363" i="2"/>
  <c r="S366" i="2"/>
  <c r="S385" i="2"/>
  <c r="S389" i="2"/>
  <c r="S403" i="2"/>
  <c r="S404" i="2"/>
  <c r="S414" i="2"/>
  <c r="S425" i="2"/>
  <c r="S437" i="2"/>
  <c r="S288" i="2"/>
  <c r="S339" i="2"/>
  <c r="S409" i="2"/>
  <c r="S410" i="2"/>
  <c r="S411" i="2"/>
  <c r="S438" i="2"/>
  <c r="S341" i="2"/>
  <c r="S408" i="2"/>
  <c r="S429" i="2"/>
  <c r="S347" i="2"/>
  <c r="S367" i="2"/>
  <c r="S434" i="2"/>
  <c r="S442" i="2"/>
  <c r="Y253" i="2"/>
  <c r="Y257" i="2"/>
  <c r="Y261" i="2"/>
  <c r="Y260" i="2"/>
  <c r="Y274" i="2"/>
  <c r="Y276" i="2"/>
  <c r="Y289" i="2"/>
  <c r="Y291" i="2"/>
  <c r="Y300" i="2"/>
  <c r="Y304" i="2"/>
  <c r="Y256" i="2"/>
  <c r="Y262" i="2"/>
  <c r="Y277" i="2"/>
  <c r="Y283" i="2"/>
  <c r="Y286" i="2"/>
  <c r="Y292" i="2"/>
  <c r="Y295" i="2"/>
  <c r="Y302" i="2"/>
  <c r="Y251" i="2"/>
  <c r="Y266" i="2"/>
  <c r="Y269" i="2"/>
  <c r="Y272" i="2"/>
  <c r="Y275" i="2"/>
  <c r="Y278" i="2"/>
  <c r="Y284" i="2"/>
  <c r="Y309" i="2"/>
  <c r="Y313" i="2"/>
  <c r="Y317" i="2"/>
  <c r="Y321" i="2"/>
  <c r="Y325" i="2"/>
  <c r="Y329" i="2"/>
  <c r="Y333" i="2"/>
  <c r="Y337" i="2"/>
  <c r="Y341" i="2"/>
  <c r="Y345" i="2"/>
  <c r="Y349" i="2"/>
  <c r="Y353" i="2"/>
  <c r="Y357" i="2"/>
  <c r="Y361" i="2"/>
  <c r="Y259" i="2"/>
  <c r="Y301" i="2"/>
  <c r="Y319" i="2"/>
  <c r="Y258" i="2"/>
  <c r="Y308" i="2"/>
  <c r="Y323" i="2"/>
  <c r="Y254" i="2"/>
  <c r="Y311" i="2"/>
  <c r="Y312" i="2"/>
  <c r="Y318" i="2"/>
  <c r="Y339" i="2"/>
  <c r="Y354" i="2"/>
  <c r="Y356" i="2"/>
  <c r="Y270" i="2"/>
  <c r="Y282" i="2"/>
  <c r="Y290" i="2"/>
  <c r="Y328" i="2"/>
  <c r="Y343" i="2"/>
  <c r="Y358" i="2"/>
  <c r="Y360" i="2"/>
  <c r="Y363" i="2"/>
  <c r="Y367" i="2"/>
  <c r="Y371" i="2"/>
  <c r="Y375" i="2"/>
  <c r="Y379" i="2"/>
  <c r="Y383" i="2"/>
  <c r="Y387" i="2"/>
  <c r="Y267" i="2"/>
  <c r="Y297" i="2"/>
  <c r="Y340" i="2"/>
  <c r="Y346" i="2"/>
  <c r="Y347" i="2"/>
  <c r="Y264" i="2"/>
  <c r="Y285" i="2"/>
  <c r="Y294" i="2"/>
  <c r="Y310" i="2"/>
  <c r="Y348" i="2"/>
  <c r="Y355" i="2"/>
  <c r="Y298" i="2"/>
  <c r="Y306" i="2"/>
  <c r="Y320" i="2"/>
  <c r="Y326" i="2"/>
  <c r="Y332" i="2"/>
  <c r="Y364" i="2"/>
  <c r="Y365" i="2"/>
  <c r="Y385" i="2"/>
  <c r="Y400" i="2"/>
  <c r="Y402" i="2"/>
  <c r="Y415" i="2"/>
  <c r="Y419" i="2"/>
  <c r="Y423" i="2"/>
  <c r="Y427" i="2"/>
  <c r="Y431" i="2"/>
  <c r="Y435" i="2"/>
  <c r="Y439" i="2"/>
  <c r="Y443" i="2"/>
  <c r="Y263" i="2"/>
  <c r="Y303" i="2"/>
  <c r="Y330" i="2"/>
  <c r="Y331" i="2"/>
  <c r="Y338" i="2"/>
  <c r="Y373" i="2"/>
  <c r="Y374" i="2"/>
  <c r="Y380" i="2"/>
  <c r="Y391" i="2"/>
  <c r="Y393" i="2"/>
  <c r="Y408" i="2"/>
  <c r="Y410" i="2"/>
  <c r="Y418" i="2"/>
  <c r="Y422" i="2"/>
  <c r="Y426" i="2"/>
  <c r="Y430" i="2"/>
  <c r="Y434" i="2"/>
  <c r="Y438" i="2"/>
  <c r="Y442" i="2"/>
  <c r="Y255" i="2"/>
  <c r="Y268" i="2"/>
  <c r="Y273" i="2"/>
  <c r="Y280" i="2"/>
  <c r="Y287" i="2"/>
  <c r="Y316" i="2"/>
  <c r="Y322" i="2"/>
  <c r="Y299" i="2"/>
  <c r="Y307" i="2"/>
  <c r="Y324" i="2"/>
  <c r="Y344" i="2"/>
  <c r="Y350" i="2"/>
  <c r="Y382" i="2"/>
  <c r="Y390" i="2"/>
  <c r="Y397" i="2"/>
  <c r="Y409" i="2"/>
  <c r="Y288" i="2"/>
  <c r="Y305" i="2"/>
  <c r="Y366" i="2"/>
  <c r="Y381" i="2"/>
  <c r="Y403" i="2"/>
  <c r="Y389" i="2"/>
  <c r="Y425" i="2"/>
  <c r="Y428" i="2"/>
  <c r="Y441" i="2"/>
  <c r="Y444" i="2"/>
  <c r="Y252" i="2"/>
  <c r="Y296" i="2"/>
  <c r="Y334" i="2"/>
  <c r="Y359" i="2"/>
  <c r="Y370" i="2"/>
  <c r="Y406" i="2"/>
  <c r="Y407" i="2"/>
  <c r="Y420" i="2"/>
  <c r="Y421" i="2"/>
  <c r="Y432" i="2"/>
  <c r="Y314" i="2"/>
  <c r="Y369" i="2"/>
  <c r="Y372" i="2"/>
  <c r="Y404" i="2"/>
  <c r="Y293" i="2"/>
  <c r="Y335" i="2"/>
  <c r="Y376" i="2"/>
  <c r="Y412" i="2"/>
  <c r="Y414" i="2"/>
  <c r="Y424" i="2"/>
  <c r="Y327" i="2"/>
  <c r="Y351" i="2"/>
  <c r="Y368" i="2"/>
  <c r="Y378" i="2"/>
  <c r="Y411" i="2"/>
  <c r="Y417" i="2"/>
  <c r="Y429" i="2"/>
  <c r="S426" i="2"/>
  <c r="Y395" i="2"/>
  <c r="S374" i="2"/>
  <c r="Y352" i="2"/>
  <c r="Y342" i="2"/>
  <c r="S340" i="2"/>
  <c r="S319" i="2"/>
  <c r="Y315" i="2"/>
  <c r="S290" i="2"/>
  <c r="Y413" i="2"/>
  <c r="Y392" i="2"/>
  <c r="S383" i="2"/>
  <c r="Y377" i="2"/>
  <c r="S306" i="2"/>
  <c r="AC442" i="2"/>
  <c r="U418" i="2"/>
  <c r="U411" i="2"/>
  <c r="U409" i="2"/>
  <c r="AC406" i="2"/>
  <c r="AC393" i="2"/>
  <c r="AC392" i="2"/>
  <c r="AC391" i="2"/>
  <c r="AC386" i="2"/>
  <c r="AE380" i="2"/>
  <c r="U378" i="2"/>
  <c r="U375" i="2"/>
  <c r="AC372" i="2"/>
  <c r="U371" i="2"/>
  <c r="U368" i="2"/>
  <c r="AC366" i="2"/>
  <c r="W363" i="2"/>
  <c r="AC354" i="2"/>
  <c r="AE346" i="2"/>
  <c r="U333" i="2"/>
  <c r="AE330" i="2"/>
  <c r="U326" i="2"/>
  <c r="AC301" i="2"/>
  <c r="W279" i="2"/>
  <c r="AC264" i="2"/>
  <c r="AE252" i="2"/>
  <c r="AE256" i="2"/>
  <c r="AE260" i="2"/>
  <c r="AE255" i="2"/>
  <c r="AE258" i="2"/>
  <c r="AE261" i="2"/>
  <c r="AE269" i="2"/>
  <c r="AE271" i="2"/>
  <c r="AE284" i="2"/>
  <c r="AE286" i="2"/>
  <c r="AE299" i="2"/>
  <c r="AE303" i="2"/>
  <c r="AE293" i="2"/>
  <c r="AE296" i="2"/>
  <c r="AE254" i="2"/>
  <c r="AE276" i="2"/>
  <c r="AE282" i="2"/>
  <c r="AE285" i="2"/>
  <c r="AE288" i="2"/>
  <c r="AE291" i="2"/>
  <c r="AE294" i="2"/>
  <c r="AE305" i="2"/>
  <c r="AE308" i="2"/>
  <c r="AE312" i="2"/>
  <c r="AE316" i="2"/>
  <c r="AE320" i="2"/>
  <c r="AE324" i="2"/>
  <c r="AE328" i="2"/>
  <c r="AE332" i="2"/>
  <c r="AE336" i="2"/>
  <c r="AE340" i="2"/>
  <c r="AE344" i="2"/>
  <c r="AE348" i="2"/>
  <c r="AE352" i="2"/>
  <c r="AE356" i="2"/>
  <c r="AE360" i="2"/>
  <c r="AE263" i="2"/>
  <c r="AE264" i="2"/>
  <c r="AE265" i="2"/>
  <c r="AE266" i="2"/>
  <c r="AE267" i="2"/>
  <c r="AE268" i="2"/>
  <c r="AE270" i="2"/>
  <c r="AE273" i="2"/>
  <c r="AE274" i="2"/>
  <c r="AE275" i="2"/>
  <c r="AE277" i="2"/>
  <c r="AE279" i="2"/>
  <c r="AE283" i="2"/>
  <c r="AE314" i="2"/>
  <c r="AE272" i="2"/>
  <c r="AE278" i="2"/>
  <c r="AE280" i="2"/>
  <c r="AE281" i="2"/>
  <c r="AE287" i="2"/>
  <c r="AE289" i="2"/>
  <c r="AE290" i="2"/>
  <c r="AE292" i="2"/>
  <c r="AE295" i="2"/>
  <c r="AE297" i="2"/>
  <c r="AE298" i="2"/>
  <c r="AE304" i="2"/>
  <c r="AE318" i="2"/>
  <c r="AE301" i="2"/>
  <c r="AE315" i="2"/>
  <c r="AE321" i="2"/>
  <c r="AE322" i="2"/>
  <c r="AE334" i="2"/>
  <c r="AE349" i="2"/>
  <c r="AE351" i="2"/>
  <c r="AE300" i="2"/>
  <c r="AE309" i="2"/>
  <c r="AE338" i="2"/>
  <c r="AE353" i="2"/>
  <c r="AE355" i="2"/>
  <c r="AE362" i="2"/>
  <c r="AE366" i="2"/>
  <c r="AE370" i="2"/>
  <c r="AE374" i="2"/>
  <c r="AE378" i="2"/>
  <c r="AE382" i="2"/>
  <c r="AE386" i="2"/>
  <c r="AE390" i="2"/>
  <c r="AE251" i="2"/>
  <c r="AE253" i="2"/>
  <c r="AE257" i="2"/>
  <c r="AE307" i="2"/>
  <c r="AE343" i="2"/>
  <c r="AE350" i="2"/>
  <c r="AE357" i="2"/>
  <c r="AE306" i="2"/>
  <c r="AE313" i="2"/>
  <c r="AE358" i="2"/>
  <c r="AE359" i="2"/>
  <c r="AE327" i="2"/>
  <c r="AE335" i="2"/>
  <c r="AE342" i="2"/>
  <c r="AE368" i="2"/>
  <c r="AE369" i="2"/>
  <c r="AE375" i="2"/>
  <c r="AE389" i="2"/>
  <c r="AE395" i="2"/>
  <c r="AE397" i="2"/>
  <c r="AE410" i="2"/>
  <c r="AE412" i="2"/>
  <c r="AE418" i="2"/>
  <c r="AE422" i="2"/>
  <c r="AE426" i="2"/>
  <c r="AE430" i="2"/>
  <c r="AE434" i="2"/>
  <c r="AE438" i="2"/>
  <c r="AE442" i="2"/>
  <c r="AE323" i="2"/>
  <c r="AE333" i="2"/>
  <c r="AE341" i="2"/>
  <c r="AE377" i="2"/>
  <c r="AE383" i="2"/>
  <c r="AE403" i="2"/>
  <c r="AE405" i="2"/>
  <c r="AE417" i="2"/>
  <c r="AE421" i="2"/>
  <c r="AE425" i="2"/>
  <c r="AE429" i="2"/>
  <c r="AE433" i="2"/>
  <c r="AE437" i="2"/>
  <c r="AE441" i="2"/>
  <c r="AE445" i="2"/>
  <c r="AE311" i="2"/>
  <c r="AE317" i="2"/>
  <c r="AE326" i="2"/>
  <c r="AE319" i="2"/>
  <c r="AE331" i="2"/>
  <c r="AE339" i="2"/>
  <c r="AE345" i="2"/>
  <c r="AE363" i="2"/>
  <c r="AE394" i="2"/>
  <c r="AE399" i="2"/>
  <c r="AE406" i="2"/>
  <c r="AE413" i="2"/>
  <c r="AE420" i="2"/>
  <c r="AE423" i="2"/>
  <c r="AE262" i="2"/>
  <c r="AE376" i="2"/>
  <c r="AE384" i="2"/>
  <c r="AE400" i="2"/>
  <c r="AE407" i="2"/>
  <c r="AE436" i="2"/>
  <c r="AE439" i="2"/>
  <c r="W252" i="2"/>
  <c r="W256" i="2"/>
  <c r="W260" i="2"/>
  <c r="W251" i="2"/>
  <c r="W254" i="2"/>
  <c r="W257" i="2"/>
  <c r="W265" i="2"/>
  <c r="W267" i="2"/>
  <c r="W280" i="2"/>
  <c r="W282" i="2"/>
  <c r="W297" i="2"/>
  <c r="W299" i="2"/>
  <c r="W303" i="2"/>
  <c r="W263" i="2"/>
  <c r="W266" i="2"/>
  <c r="W269" i="2"/>
  <c r="W275" i="2"/>
  <c r="W259" i="2"/>
  <c r="W293" i="2"/>
  <c r="W296" i="2"/>
  <c r="W301" i="2"/>
  <c r="W308" i="2"/>
  <c r="W312" i="2"/>
  <c r="W316" i="2"/>
  <c r="W320" i="2"/>
  <c r="W324" i="2"/>
  <c r="W328" i="2"/>
  <c r="W332" i="2"/>
  <c r="W336" i="2"/>
  <c r="W340" i="2"/>
  <c r="W344" i="2"/>
  <c r="W348" i="2"/>
  <c r="W352" i="2"/>
  <c r="W356" i="2"/>
  <c r="W360" i="2"/>
  <c r="W258" i="2"/>
  <c r="W302" i="2"/>
  <c r="W306" i="2"/>
  <c r="W310" i="2"/>
  <c r="W325" i="2"/>
  <c r="W314" i="2"/>
  <c r="W262" i="2"/>
  <c r="W274" i="2"/>
  <c r="W278" i="2"/>
  <c r="W286" i="2"/>
  <c r="W290" i="2"/>
  <c r="W294" i="2"/>
  <c r="W319" i="2"/>
  <c r="W330" i="2"/>
  <c r="W345" i="2"/>
  <c r="W347" i="2"/>
  <c r="W273" i="2"/>
  <c r="W298" i="2"/>
  <c r="W304" i="2"/>
  <c r="W305" i="2"/>
  <c r="W307" i="2"/>
  <c r="W313" i="2"/>
  <c r="W326" i="2"/>
  <c r="W334" i="2"/>
  <c r="W349" i="2"/>
  <c r="W351" i="2"/>
  <c r="W362" i="2"/>
  <c r="W366" i="2"/>
  <c r="W370" i="2"/>
  <c r="W374" i="2"/>
  <c r="W378" i="2"/>
  <c r="W382" i="2"/>
  <c r="W386" i="2"/>
  <c r="W390" i="2"/>
  <c r="W276" i="2"/>
  <c r="W283" i="2"/>
  <c r="W285" i="2"/>
  <c r="W311" i="2"/>
  <c r="W318" i="2"/>
  <c r="W327" i="2"/>
  <c r="W354" i="2"/>
  <c r="W355" i="2"/>
  <c r="W361" i="2"/>
  <c r="W287" i="2"/>
  <c r="W309" i="2"/>
  <c r="W317" i="2"/>
  <c r="W329" i="2"/>
  <c r="W272" i="2"/>
  <c r="W277" i="2"/>
  <c r="W284" i="2"/>
  <c r="W291" i="2"/>
  <c r="W300" i="2"/>
  <c r="W331" i="2"/>
  <c r="W338" i="2"/>
  <c r="W339" i="2"/>
  <c r="W346" i="2"/>
  <c r="W353" i="2"/>
  <c r="W373" i="2"/>
  <c r="W379" i="2"/>
  <c r="W391" i="2"/>
  <c r="W393" i="2"/>
  <c r="W406" i="2"/>
  <c r="W408" i="2"/>
  <c r="W418" i="2"/>
  <c r="W422" i="2"/>
  <c r="W426" i="2"/>
  <c r="W430" i="2"/>
  <c r="W434" i="2"/>
  <c r="W438" i="2"/>
  <c r="W442" i="2"/>
  <c r="W268" i="2"/>
  <c r="W337" i="2"/>
  <c r="W367" i="2"/>
  <c r="W368" i="2"/>
  <c r="W388" i="2"/>
  <c r="W399" i="2"/>
  <c r="W401" i="2"/>
  <c r="W414" i="2"/>
  <c r="W417" i="2"/>
  <c r="W421" i="2"/>
  <c r="W425" i="2"/>
  <c r="W429" i="2"/>
  <c r="W433" i="2"/>
  <c r="W437" i="2"/>
  <c r="W441" i="2"/>
  <c r="W445" i="2"/>
  <c r="W261" i="2"/>
  <c r="W288" i="2"/>
  <c r="W292" i="2"/>
  <c r="W322" i="2"/>
  <c r="W333" i="2"/>
  <c r="W358" i="2"/>
  <c r="W381" i="2"/>
  <c r="W392" i="2"/>
  <c r="W410" i="2"/>
  <c r="W281" i="2"/>
  <c r="W315" i="2"/>
  <c r="W335" i="2"/>
  <c r="W341" i="2"/>
  <c r="W365" i="2"/>
  <c r="W398" i="2"/>
  <c r="W405" i="2"/>
  <c r="W432" i="2"/>
  <c r="W270" i="2"/>
  <c r="W295" i="2"/>
  <c r="W404" i="2"/>
  <c r="W411" i="2"/>
  <c r="W416" i="2"/>
  <c r="W419" i="2"/>
  <c r="W435" i="2"/>
  <c r="AE440" i="2"/>
  <c r="W436" i="2"/>
  <c r="AC431" i="2"/>
  <c r="U427" i="2"/>
  <c r="W415" i="2"/>
  <c r="W413" i="2"/>
  <c r="W412" i="2"/>
  <c r="W403" i="2"/>
  <c r="U401" i="2"/>
  <c r="U400" i="2"/>
  <c r="AC397" i="2"/>
  <c r="AE396" i="2"/>
  <c r="U396" i="2"/>
  <c r="AE387" i="2"/>
  <c r="W385" i="2"/>
  <c r="AE373" i="2"/>
  <c r="AC370" i="2"/>
  <c r="AE367" i="2"/>
  <c r="AE364" i="2"/>
  <c r="AE361" i="2"/>
  <c r="U358" i="2"/>
  <c r="U356" i="2"/>
  <c r="AC352" i="2"/>
  <c r="W323" i="2"/>
  <c r="AC251" i="2"/>
  <c r="AC255" i="2"/>
  <c r="AC259" i="2"/>
  <c r="AC252" i="2"/>
  <c r="AC262" i="2"/>
  <c r="AC275" i="2"/>
  <c r="AC277" i="2"/>
  <c r="AC292" i="2"/>
  <c r="AC294" i="2"/>
  <c r="AC302" i="2"/>
  <c r="AC306" i="2"/>
  <c r="AC254" i="2"/>
  <c r="AC260" i="2"/>
  <c r="AC267" i="2"/>
  <c r="AC273" i="2"/>
  <c r="AC276" i="2"/>
  <c r="AC279" i="2"/>
  <c r="AC282" i="2"/>
  <c r="AC285" i="2"/>
  <c r="AC303" i="2"/>
  <c r="AC265" i="2"/>
  <c r="AC268" i="2"/>
  <c r="AC274" i="2"/>
  <c r="AC307" i="2"/>
  <c r="AC311" i="2"/>
  <c r="AC315" i="2"/>
  <c r="AC319" i="2"/>
  <c r="AC323" i="2"/>
  <c r="AC327" i="2"/>
  <c r="AC331" i="2"/>
  <c r="AC335" i="2"/>
  <c r="AC339" i="2"/>
  <c r="AC343" i="2"/>
  <c r="AC347" i="2"/>
  <c r="AC351" i="2"/>
  <c r="AC355" i="2"/>
  <c r="AC359" i="2"/>
  <c r="AC261" i="2"/>
  <c r="AC284" i="2"/>
  <c r="AC287" i="2"/>
  <c r="AC288" i="2"/>
  <c r="AC290" i="2"/>
  <c r="AC291" i="2"/>
  <c r="AC293" i="2"/>
  <c r="AC295" i="2"/>
  <c r="AC296" i="2"/>
  <c r="AC297" i="2"/>
  <c r="AC320" i="2"/>
  <c r="AC322" i="2"/>
  <c r="AC253" i="2"/>
  <c r="AC299" i="2"/>
  <c r="AC300" i="2"/>
  <c r="AC309" i="2"/>
  <c r="AC324" i="2"/>
  <c r="AC326" i="2"/>
  <c r="AC257" i="2"/>
  <c r="AC340" i="2"/>
  <c r="AC342" i="2"/>
  <c r="AC357" i="2"/>
  <c r="AC263" i="2"/>
  <c r="AC271" i="2"/>
  <c r="AC283" i="2"/>
  <c r="AC310" i="2"/>
  <c r="AC316" i="2"/>
  <c r="AC317" i="2"/>
  <c r="AC329" i="2"/>
  <c r="AC344" i="2"/>
  <c r="AC346" i="2"/>
  <c r="AC361" i="2"/>
  <c r="AC365" i="2"/>
  <c r="AC369" i="2"/>
  <c r="AC373" i="2"/>
  <c r="AC377" i="2"/>
  <c r="AC381" i="2"/>
  <c r="AC385" i="2"/>
  <c r="AC389" i="2"/>
  <c r="AC313" i="2"/>
  <c r="AC314" i="2"/>
  <c r="AC321" i="2"/>
  <c r="AC358" i="2"/>
  <c r="AC305" i="2"/>
  <c r="AC312" i="2"/>
  <c r="AC332" i="2"/>
  <c r="AC333" i="2"/>
  <c r="AC281" i="2"/>
  <c r="AC334" i="2"/>
  <c r="AC341" i="2"/>
  <c r="AC348" i="2"/>
  <c r="AC349" i="2"/>
  <c r="AC356" i="2"/>
  <c r="AC383" i="2"/>
  <c r="AC401" i="2"/>
  <c r="AC403" i="2"/>
  <c r="AC417" i="2"/>
  <c r="AC421" i="2"/>
  <c r="AC425" i="2"/>
  <c r="AC429" i="2"/>
  <c r="AC433" i="2"/>
  <c r="AC437" i="2"/>
  <c r="AC441" i="2"/>
  <c r="AC445" i="2"/>
  <c r="AC272" i="2"/>
  <c r="AC363" i="2"/>
  <c r="AC371" i="2"/>
  <c r="AC390" i="2"/>
  <c r="AC394" i="2"/>
  <c r="AC396" i="2"/>
  <c r="AC409" i="2"/>
  <c r="AC411" i="2"/>
  <c r="AC416" i="2"/>
  <c r="AC420" i="2"/>
  <c r="AC424" i="2"/>
  <c r="AC428" i="2"/>
  <c r="AC432" i="2"/>
  <c r="AC436" i="2"/>
  <c r="AC440" i="2"/>
  <c r="AC444" i="2"/>
  <c r="AC258" i="2"/>
  <c r="AC270" i="2"/>
  <c r="AC289" i="2"/>
  <c r="AC325" i="2"/>
  <c r="AC266" i="2"/>
  <c r="AC269" i="2"/>
  <c r="AC280" i="2"/>
  <c r="AC304" i="2"/>
  <c r="AC353" i="2"/>
  <c r="AC376" i="2"/>
  <c r="AC384" i="2"/>
  <c r="AC395" i="2"/>
  <c r="AC407" i="2"/>
  <c r="AC413" i="2"/>
  <c r="AC328" i="2"/>
  <c r="AC362" i="2"/>
  <c r="AC368" i="2"/>
  <c r="AC408" i="2"/>
  <c r="AC427" i="2"/>
  <c r="AC430" i="2"/>
  <c r="AC443" i="2"/>
  <c r="AC350" i="2"/>
  <c r="U251" i="2"/>
  <c r="U255" i="2"/>
  <c r="U259" i="2"/>
  <c r="U258" i="2"/>
  <c r="U261" i="2"/>
  <c r="U271" i="2"/>
  <c r="U273" i="2"/>
  <c r="U288" i="2"/>
  <c r="U290" i="2"/>
  <c r="U302" i="2"/>
  <c r="U306" i="2"/>
  <c r="U284" i="2"/>
  <c r="U287" i="2"/>
  <c r="U293" i="2"/>
  <c r="U296" i="2"/>
  <c r="U301" i="2"/>
  <c r="U253" i="2"/>
  <c r="U267" i="2"/>
  <c r="U276" i="2"/>
  <c r="U279" i="2"/>
  <c r="U282" i="2"/>
  <c r="U285" i="2"/>
  <c r="U294" i="2"/>
  <c r="U307" i="2"/>
  <c r="U311" i="2"/>
  <c r="U315" i="2"/>
  <c r="U319" i="2"/>
  <c r="U323" i="2"/>
  <c r="U327" i="2"/>
  <c r="U331" i="2"/>
  <c r="U335" i="2"/>
  <c r="U339" i="2"/>
  <c r="U343" i="2"/>
  <c r="U347" i="2"/>
  <c r="U351" i="2"/>
  <c r="U355" i="2"/>
  <c r="U359" i="2"/>
  <c r="U303" i="2"/>
  <c r="U316" i="2"/>
  <c r="U318" i="2"/>
  <c r="U257" i="2"/>
  <c r="U304" i="2"/>
  <c r="U320" i="2"/>
  <c r="U322" i="2"/>
  <c r="U256" i="2"/>
  <c r="U265" i="2"/>
  <c r="U277" i="2"/>
  <c r="U305" i="2"/>
  <c r="U336" i="2"/>
  <c r="U338" i="2"/>
  <c r="U353" i="2"/>
  <c r="U269" i="2"/>
  <c r="U281" i="2"/>
  <c r="U289" i="2"/>
  <c r="U297" i="2"/>
  <c r="U314" i="2"/>
  <c r="U321" i="2"/>
  <c r="U340" i="2"/>
  <c r="U342" i="2"/>
  <c r="U357" i="2"/>
  <c r="U365" i="2"/>
  <c r="U369" i="2"/>
  <c r="U373" i="2"/>
  <c r="U377" i="2"/>
  <c r="U381" i="2"/>
  <c r="U385" i="2"/>
  <c r="U389" i="2"/>
  <c r="U262" i="2"/>
  <c r="U264" i="2"/>
  <c r="U299" i="2"/>
  <c r="U309" i="2"/>
  <c r="U310" i="2"/>
  <c r="U317" i="2"/>
  <c r="U324" i="2"/>
  <c r="U325" i="2"/>
  <c r="U328" i="2"/>
  <c r="U329" i="2"/>
  <c r="U252" i="2"/>
  <c r="U266" i="2"/>
  <c r="U268" i="2"/>
  <c r="U308" i="2"/>
  <c r="U330" i="2"/>
  <c r="U337" i="2"/>
  <c r="U344" i="2"/>
  <c r="U260" i="2"/>
  <c r="U270" i="2"/>
  <c r="U345" i="2"/>
  <c r="U352" i="2"/>
  <c r="U360" i="2"/>
  <c r="U367" i="2"/>
  <c r="U387" i="2"/>
  <c r="U388" i="2"/>
  <c r="U397" i="2"/>
  <c r="U399" i="2"/>
  <c r="U414" i="2"/>
  <c r="U417" i="2"/>
  <c r="U421" i="2"/>
  <c r="U425" i="2"/>
  <c r="U429" i="2"/>
  <c r="U433" i="2"/>
  <c r="U437" i="2"/>
  <c r="U441" i="2"/>
  <c r="U445" i="2"/>
  <c r="U280" i="2"/>
  <c r="U350" i="2"/>
  <c r="U376" i="2"/>
  <c r="U382" i="2"/>
  <c r="U392" i="2"/>
  <c r="U405" i="2"/>
  <c r="U407" i="2"/>
  <c r="U416" i="2"/>
  <c r="U420" i="2"/>
  <c r="U424" i="2"/>
  <c r="U428" i="2"/>
  <c r="U432" i="2"/>
  <c r="U436" i="2"/>
  <c r="U440" i="2"/>
  <c r="U444" i="2"/>
  <c r="U292" i="2"/>
  <c r="U313" i="2"/>
  <c r="U295" i="2"/>
  <c r="U341" i="2"/>
  <c r="U366" i="2"/>
  <c r="U372" i="2"/>
  <c r="U274" i="2"/>
  <c r="U312" i="2"/>
  <c r="U346" i="2"/>
  <c r="U349" i="2"/>
  <c r="U380" i="2"/>
  <c r="U394" i="2"/>
  <c r="U412" i="2"/>
  <c r="U426" i="2"/>
  <c r="U439" i="2"/>
  <c r="U442" i="2"/>
  <c r="U254" i="2"/>
  <c r="U393" i="2"/>
  <c r="U423" i="2"/>
  <c r="U422" i="2"/>
  <c r="U415" i="2"/>
  <c r="AC410" i="2"/>
  <c r="AC387" i="2"/>
  <c r="U386" i="2"/>
  <c r="AC378" i="2"/>
  <c r="AC367" i="2"/>
  <c r="U361" i="2"/>
  <c r="AC345" i="2"/>
  <c r="U332" i="2"/>
  <c r="U291" i="2"/>
  <c r="U286" i="2"/>
  <c r="U278" i="2"/>
  <c r="W264" i="2"/>
  <c r="T254" i="2"/>
  <c r="T258" i="2"/>
  <c r="T262" i="2"/>
  <c r="T266" i="2"/>
  <c r="T270" i="2"/>
  <c r="T274" i="2"/>
  <c r="T278" i="2"/>
  <c r="T282" i="2"/>
  <c r="T286" i="2"/>
  <c r="T290" i="2"/>
  <c r="T294" i="2"/>
  <c r="T298" i="2"/>
  <c r="T275" i="2"/>
  <c r="T277" i="2"/>
  <c r="T292" i="2"/>
  <c r="T251" i="2"/>
  <c r="T252" i="2"/>
  <c r="T264" i="2"/>
  <c r="T299" i="2"/>
  <c r="T303" i="2"/>
  <c r="T260" i="2"/>
  <c r="T288" i="2"/>
  <c r="T291" i="2"/>
  <c r="T297" i="2"/>
  <c r="T257" i="2"/>
  <c r="T304" i="2"/>
  <c r="T320" i="2"/>
  <c r="T322" i="2"/>
  <c r="T256" i="2"/>
  <c r="T265" i="2"/>
  <c r="T268" i="2"/>
  <c r="T307" i="2"/>
  <c r="T309" i="2"/>
  <c r="T324" i="2"/>
  <c r="T326" i="2"/>
  <c r="T253" i="2"/>
  <c r="T259" i="2"/>
  <c r="T269" i="2"/>
  <c r="T273" i="2"/>
  <c r="T281" i="2"/>
  <c r="T285" i="2"/>
  <c r="T289" i="2"/>
  <c r="T306" i="2"/>
  <c r="T314" i="2"/>
  <c r="T321" i="2"/>
  <c r="T340" i="2"/>
  <c r="T342" i="2"/>
  <c r="T355" i="2"/>
  <c r="T357" i="2"/>
  <c r="T365" i="2"/>
  <c r="T369" i="2"/>
  <c r="T373" i="2"/>
  <c r="T377" i="2"/>
  <c r="T381" i="2"/>
  <c r="T385" i="2"/>
  <c r="T389" i="2"/>
  <c r="T261" i="2"/>
  <c r="T293" i="2"/>
  <c r="T308" i="2"/>
  <c r="T315" i="2"/>
  <c r="T329" i="2"/>
  <c r="T344" i="2"/>
  <c r="T346" i="2"/>
  <c r="T359" i="2"/>
  <c r="T361" i="2"/>
  <c r="T271" i="2"/>
  <c r="T280" i="2"/>
  <c r="T349" i="2"/>
  <c r="T350" i="2"/>
  <c r="T356" i="2"/>
  <c r="T362" i="2"/>
  <c r="T372" i="2"/>
  <c r="T375" i="2"/>
  <c r="T378" i="2"/>
  <c r="T388" i="2"/>
  <c r="T392" i="2"/>
  <c r="T396" i="2"/>
  <c r="T400" i="2"/>
  <c r="T404" i="2"/>
  <c r="T408" i="2"/>
  <c r="T412" i="2"/>
  <c r="T331" i="2"/>
  <c r="T358" i="2"/>
  <c r="T363" i="2"/>
  <c r="T255" i="2"/>
  <c r="T263" i="2"/>
  <c r="T296" i="2"/>
  <c r="T311" i="2"/>
  <c r="T330" i="2"/>
  <c r="T337" i="2"/>
  <c r="T368" i="2"/>
  <c r="T374" i="2"/>
  <c r="T401" i="2"/>
  <c r="T403" i="2"/>
  <c r="T287" i="2"/>
  <c r="T301" i="2"/>
  <c r="T313" i="2"/>
  <c r="T316" i="2"/>
  <c r="T319" i="2"/>
  <c r="T336" i="2"/>
  <c r="T343" i="2"/>
  <c r="T383" i="2"/>
  <c r="T394" i="2"/>
  <c r="T409" i="2"/>
  <c r="T411" i="2"/>
  <c r="T305" i="2"/>
  <c r="T310" i="2"/>
  <c r="T328" i="2"/>
  <c r="T420" i="2"/>
  <c r="AB414" i="2"/>
  <c r="T413" i="2"/>
  <c r="T406" i="2"/>
  <c r="AB402" i="2"/>
  <c r="AB401" i="2"/>
  <c r="T399" i="2"/>
  <c r="T387" i="2"/>
  <c r="T379" i="2"/>
  <c r="AB367" i="2"/>
  <c r="T364" i="2"/>
  <c r="AB254" i="2"/>
  <c r="AB258" i="2"/>
  <c r="AB262" i="2"/>
  <c r="AB266" i="2"/>
  <c r="AB270" i="2"/>
  <c r="AB274" i="2"/>
  <c r="AB278" i="2"/>
  <c r="AB282" i="2"/>
  <c r="AB286" i="2"/>
  <c r="AB290" i="2"/>
  <c r="AB294" i="2"/>
  <c r="AB298" i="2"/>
  <c r="AB264" i="2"/>
  <c r="AB279" i="2"/>
  <c r="AB281" i="2"/>
  <c r="AB296" i="2"/>
  <c r="AB261" i="2"/>
  <c r="AB288" i="2"/>
  <c r="AB291" i="2"/>
  <c r="AB297" i="2"/>
  <c r="AB255" i="2"/>
  <c r="AB256" i="2"/>
  <c r="AB271" i="2"/>
  <c r="AB277" i="2"/>
  <c r="AB280" i="2"/>
  <c r="AB283" i="2"/>
  <c r="AB289" i="2"/>
  <c r="AB300" i="2"/>
  <c r="AB253" i="2"/>
  <c r="AB299" i="2"/>
  <c r="AB307" i="2"/>
  <c r="AB309" i="2"/>
  <c r="AB324" i="2"/>
  <c r="AB260" i="2"/>
  <c r="AB305" i="2"/>
  <c r="AB311" i="2"/>
  <c r="AB313" i="2"/>
  <c r="AB263" i="2"/>
  <c r="AB310" i="2"/>
  <c r="AB316" i="2"/>
  <c r="AB317" i="2"/>
  <c r="AB323" i="2"/>
  <c r="AB327" i="2"/>
  <c r="AB329" i="2"/>
  <c r="AB344" i="2"/>
  <c r="AB346" i="2"/>
  <c r="AB359" i="2"/>
  <c r="AB361" i="2"/>
  <c r="AB365" i="2"/>
  <c r="AB369" i="2"/>
  <c r="AB373" i="2"/>
  <c r="AB377" i="2"/>
  <c r="AB381" i="2"/>
  <c r="AB385" i="2"/>
  <c r="AB389" i="2"/>
  <c r="AB251" i="2"/>
  <c r="AB267" i="2"/>
  <c r="AB275" i="2"/>
  <c r="AB287" i="2"/>
  <c r="AB295" i="2"/>
  <c r="AB331" i="2"/>
  <c r="AB333" i="2"/>
  <c r="AB348" i="2"/>
  <c r="AB350" i="2"/>
  <c r="AB265" i="2"/>
  <c r="AB272" i="2"/>
  <c r="AB306" i="2"/>
  <c r="AB338" i="2"/>
  <c r="AB345" i="2"/>
  <c r="AB351" i="2"/>
  <c r="AB352" i="2"/>
  <c r="AB363" i="2"/>
  <c r="AB366" i="2"/>
  <c r="AB376" i="2"/>
  <c r="AB379" i="2"/>
  <c r="AB382" i="2"/>
  <c r="AB392" i="2"/>
  <c r="AB396" i="2"/>
  <c r="AB400" i="2"/>
  <c r="AB404" i="2"/>
  <c r="AB408" i="2"/>
  <c r="AB412" i="2"/>
  <c r="AB269" i="2"/>
  <c r="AB318" i="2"/>
  <c r="AB325" i="2"/>
  <c r="AB353" i="2"/>
  <c r="AB354" i="2"/>
  <c r="AB360" i="2"/>
  <c r="AB364" i="2"/>
  <c r="AB302" i="2"/>
  <c r="AB304" i="2"/>
  <c r="AB312" i="2"/>
  <c r="AB315" i="2"/>
  <c r="AB370" i="2"/>
  <c r="AB384" i="2"/>
  <c r="AB405" i="2"/>
  <c r="AB407" i="2"/>
  <c r="AB252" i="2"/>
  <c r="AB320" i="2"/>
  <c r="AB332" i="2"/>
  <c r="AB339" i="2"/>
  <c r="AB362" i="2"/>
  <c r="AB372" i="2"/>
  <c r="AB378" i="2"/>
  <c r="AB398" i="2"/>
  <c r="AB413" i="2"/>
  <c r="AB284" i="2"/>
  <c r="AB314" i="2"/>
  <c r="AB440" i="2"/>
  <c r="T436" i="2"/>
  <c r="AB424" i="2"/>
  <c r="AB383" i="2"/>
  <c r="AB375" i="2"/>
  <c r="T371" i="2"/>
  <c r="AB347" i="2"/>
  <c r="T327" i="2"/>
  <c r="T300" i="2"/>
  <c r="AB292" i="2"/>
  <c r="AA254" i="2"/>
  <c r="AA258" i="2"/>
  <c r="AA262" i="2"/>
  <c r="AA253" i="2"/>
  <c r="AA256" i="2"/>
  <c r="AA259" i="2"/>
  <c r="AA266" i="2"/>
  <c r="AA268" i="2"/>
  <c r="AA283" i="2"/>
  <c r="AA285" i="2"/>
  <c r="AA298" i="2"/>
  <c r="AA301" i="2"/>
  <c r="AA305" i="2"/>
  <c r="AA265" i="2"/>
  <c r="AA294" i="2"/>
  <c r="AA257" i="2"/>
  <c r="AA286" i="2"/>
  <c r="AA292" i="2"/>
  <c r="AA295" i="2"/>
  <c r="AA302" i="2"/>
  <c r="AA304" i="2"/>
  <c r="AA310" i="2"/>
  <c r="AA314" i="2"/>
  <c r="AA318" i="2"/>
  <c r="AA322" i="2"/>
  <c r="AA326" i="2"/>
  <c r="AA330" i="2"/>
  <c r="AA334" i="2"/>
  <c r="AA338" i="2"/>
  <c r="AA342" i="2"/>
  <c r="AA346" i="2"/>
  <c r="AA350" i="2"/>
  <c r="AA354" i="2"/>
  <c r="AA358" i="2"/>
  <c r="AA260" i="2"/>
  <c r="AA300" i="2"/>
  <c r="AA311" i="2"/>
  <c r="AA313" i="2"/>
  <c r="AA252" i="2"/>
  <c r="AA315" i="2"/>
  <c r="AA317" i="2"/>
  <c r="AA251" i="2"/>
  <c r="AA267" i="2"/>
  <c r="AA271" i="2"/>
  <c r="AA275" i="2"/>
  <c r="AA287" i="2"/>
  <c r="AA331" i="2"/>
  <c r="AA333" i="2"/>
  <c r="AA348" i="2"/>
  <c r="AA279" i="2"/>
  <c r="AA291" i="2"/>
  <c r="AA299" i="2"/>
  <c r="AA324" i="2"/>
  <c r="AA325" i="2"/>
  <c r="AA335" i="2"/>
  <c r="AA337" i="2"/>
  <c r="AA352" i="2"/>
  <c r="AA364" i="2"/>
  <c r="AA368" i="2"/>
  <c r="AA372" i="2"/>
  <c r="AA376" i="2"/>
  <c r="AA380" i="2"/>
  <c r="AA384" i="2"/>
  <c r="AA388" i="2"/>
  <c r="AA255" i="2"/>
  <c r="AA274" i="2"/>
  <c r="AA281" i="2"/>
  <c r="AA312" i="2"/>
  <c r="AA319" i="2"/>
  <c r="AA320" i="2"/>
  <c r="AA332" i="2"/>
  <c r="AA339" i="2"/>
  <c r="AA276" i="2"/>
  <c r="AA278" i="2"/>
  <c r="AA340" i="2"/>
  <c r="AA341" i="2"/>
  <c r="AA347" i="2"/>
  <c r="AA288" i="2"/>
  <c r="AA293" i="2"/>
  <c r="AA355" i="2"/>
  <c r="AA371" i="2"/>
  <c r="AA377" i="2"/>
  <c r="AA390" i="2"/>
  <c r="AA392" i="2"/>
  <c r="AA394" i="2"/>
  <c r="AA409" i="2"/>
  <c r="AA411" i="2"/>
  <c r="AA416" i="2"/>
  <c r="AA420" i="2"/>
  <c r="AA424" i="2"/>
  <c r="AA428" i="2"/>
  <c r="AA432" i="2"/>
  <c r="AA436" i="2"/>
  <c r="AA440" i="2"/>
  <c r="AA444" i="2"/>
  <c r="AA270" i="2"/>
  <c r="AA277" i="2"/>
  <c r="AA284" i="2"/>
  <c r="AA289" i="2"/>
  <c r="AA353" i="2"/>
  <c r="AA360" i="2"/>
  <c r="AA365" i="2"/>
  <c r="AA379" i="2"/>
  <c r="AA385" i="2"/>
  <c r="AA386" i="2"/>
  <c r="AA400" i="2"/>
  <c r="AA402" i="2"/>
  <c r="AA415" i="2"/>
  <c r="AA419" i="2"/>
  <c r="AA423" i="2"/>
  <c r="AA427" i="2"/>
  <c r="AA431" i="2"/>
  <c r="AA435" i="2"/>
  <c r="AA439" i="2"/>
  <c r="AA443" i="2"/>
  <c r="AA263" i="2"/>
  <c r="AA282" i="2"/>
  <c r="AA296" i="2"/>
  <c r="AA308" i="2"/>
  <c r="T445" i="2"/>
  <c r="AB443" i="2"/>
  <c r="T442" i="2"/>
  <c r="T439" i="2"/>
  <c r="AB433" i="2"/>
  <c r="AB430" i="2"/>
  <c r="T429" i="2"/>
  <c r="AB427" i="2"/>
  <c r="T426" i="2"/>
  <c r="T423" i="2"/>
  <c r="AB417" i="2"/>
  <c r="AA414" i="2"/>
  <c r="AA408" i="2"/>
  <c r="T405" i="2"/>
  <c r="AA401" i="2"/>
  <c r="T393" i="2"/>
  <c r="AA383" i="2"/>
  <c r="T380" i="2"/>
  <c r="AA375" i="2"/>
  <c r="AA369" i="2"/>
  <c r="AB368" i="2"/>
  <c r="AA367" i="2"/>
  <c r="AA362" i="2"/>
  <c r="AB356" i="2"/>
  <c r="T352" i="2"/>
  <c r="AB342" i="2"/>
  <c r="T338" i="2"/>
  <c r="AA336" i="2"/>
  <c r="T335" i="2"/>
  <c r="AB328" i="2"/>
  <c r="AB326" i="2"/>
  <c r="T317" i="2"/>
  <c r="T312" i="2"/>
  <c r="AA309" i="2"/>
  <c r="T302" i="2"/>
  <c r="AB276" i="2"/>
  <c r="AB273" i="2"/>
  <c r="AB257" i="2"/>
  <c r="Z253" i="2"/>
  <c r="Z257" i="2"/>
  <c r="Z261" i="2"/>
  <c r="Z265" i="2"/>
  <c r="Z269" i="2"/>
  <c r="Z273" i="2"/>
  <c r="Z277" i="2"/>
  <c r="Z281" i="2"/>
  <c r="Z285" i="2"/>
  <c r="Z289" i="2"/>
  <c r="Z293" i="2"/>
  <c r="Z297" i="2"/>
  <c r="Z270" i="2"/>
  <c r="Z272" i="2"/>
  <c r="Z287" i="2"/>
  <c r="Z255" i="2"/>
  <c r="Z268" i="2"/>
  <c r="Z271" i="2"/>
  <c r="Z274" i="2"/>
  <c r="Z280" i="2"/>
  <c r="Z300" i="2"/>
  <c r="Z263" i="2"/>
  <c r="Z298" i="2"/>
  <c r="Z306" i="2"/>
  <c r="Z252" i="2"/>
  <c r="Z305" i="2"/>
  <c r="Z315" i="2"/>
  <c r="Z317" i="2"/>
  <c r="Z251" i="2"/>
  <c r="Z259" i="2"/>
  <c r="Z301" i="2"/>
  <c r="Z319" i="2"/>
  <c r="Z321" i="2"/>
  <c r="Z279" i="2"/>
  <c r="Z283" i="2"/>
  <c r="Z291" i="2"/>
  <c r="Z295" i="2"/>
  <c r="Z299" i="2"/>
  <c r="Z324" i="2"/>
  <c r="Z325" i="2"/>
  <c r="Z335" i="2"/>
  <c r="Z337" i="2"/>
  <c r="Z350" i="2"/>
  <c r="Z352" i="2"/>
  <c r="Z364" i="2"/>
  <c r="Z368" i="2"/>
  <c r="Z372" i="2"/>
  <c r="Z376" i="2"/>
  <c r="Z380" i="2"/>
  <c r="Z384" i="2"/>
  <c r="Z388" i="2"/>
  <c r="Z254" i="2"/>
  <c r="Z266" i="2"/>
  <c r="Z278" i="2"/>
  <c r="Z311" i="2"/>
  <c r="Z312" i="2"/>
  <c r="Z318" i="2"/>
  <c r="Z339" i="2"/>
  <c r="Z341" i="2"/>
  <c r="Z354" i="2"/>
  <c r="Z356" i="2"/>
  <c r="Z288" i="2"/>
  <c r="Z290" i="2"/>
  <c r="Z302" i="2"/>
  <c r="Z353" i="2"/>
  <c r="Z359" i="2"/>
  <c r="Z360" i="2"/>
  <c r="Z367" i="2"/>
  <c r="Z370" i="2"/>
  <c r="Z373" i="2"/>
  <c r="Z383" i="2"/>
  <c r="Z386" i="2"/>
  <c r="Z389" i="2"/>
  <c r="Z391" i="2"/>
  <c r="Z395" i="2"/>
  <c r="Z399" i="2"/>
  <c r="Z403" i="2"/>
  <c r="Z407" i="2"/>
  <c r="Z411" i="2"/>
  <c r="Z256" i="2"/>
  <c r="Z258" i="2"/>
  <c r="Z262" i="2"/>
  <c r="Z292" i="2"/>
  <c r="Z326" i="2"/>
  <c r="Z327" i="2"/>
  <c r="Z328" i="2"/>
  <c r="Z334" i="2"/>
  <c r="Z361" i="2"/>
  <c r="X412" i="2"/>
  <c r="Z406" i="2"/>
  <c r="Z404" i="2"/>
  <c r="AF401" i="2"/>
  <c r="AF399" i="2"/>
  <c r="X397" i="2"/>
  <c r="X395" i="2"/>
  <c r="Z387" i="2"/>
  <c r="X381" i="2"/>
  <c r="AF376" i="2"/>
  <c r="AF370" i="2"/>
  <c r="Z366" i="2"/>
  <c r="X359" i="2"/>
  <c r="AF355" i="2"/>
  <c r="X352" i="2"/>
  <c r="X351" i="2"/>
  <c r="AF348" i="2"/>
  <c r="Z346" i="2"/>
  <c r="Z345" i="2"/>
  <c r="X344" i="2"/>
  <c r="AF340" i="2"/>
  <c r="X322" i="2"/>
  <c r="Z314" i="2"/>
  <c r="X311" i="2"/>
  <c r="AF309" i="2"/>
  <c r="Z308" i="2"/>
  <c r="AF304" i="2"/>
  <c r="AF298" i="2"/>
  <c r="Z296" i="2"/>
  <c r="Z282" i="2"/>
  <c r="X275" i="2"/>
  <c r="AF252" i="2"/>
  <c r="AF256" i="2"/>
  <c r="AF260" i="2"/>
  <c r="AF264" i="2"/>
  <c r="AF268" i="2"/>
  <c r="AF272" i="2"/>
  <c r="AF276" i="2"/>
  <c r="AF280" i="2"/>
  <c r="AF284" i="2"/>
  <c r="AF288" i="2"/>
  <c r="AF292" i="2"/>
  <c r="AF296" i="2"/>
  <c r="AF265" i="2"/>
  <c r="AF267" i="2"/>
  <c r="AF282" i="2"/>
  <c r="AF297" i="2"/>
  <c r="AF259" i="2"/>
  <c r="AF278" i="2"/>
  <c r="AF281" i="2"/>
  <c r="AF287" i="2"/>
  <c r="AF290" i="2"/>
  <c r="AF253" i="2"/>
  <c r="AF270" i="2"/>
  <c r="AF273" i="2"/>
  <c r="AF279" i="2"/>
  <c r="AF301" i="2"/>
  <c r="AF303" i="2"/>
  <c r="AF262" i="2"/>
  <c r="AF271" i="2"/>
  <c r="AF310" i="2"/>
  <c r="AF312" i="2"/>
  <c r="AF254" i="2"/>
  <c r="AF261" i="2"/>
  <c r="AF263" i="2"/>
  <c r="AF266" i="2"/>
  <c r="AF269" i="2"/>
  <c r="AF274" i="2"/>
  <c r="AF275" i="2"/>
  <c r="AF277" i="2"/>
  <c r="AF283" i="2"/>
  <c r="AF285" i="2"/>
  <c r="AF286" i="2"/>
  <c r="AF291" i="2"/>
  <c r="AF294" i="2"/>
  <c r="AF314" i="2"/>
  <c r="AF316" i="2"/>
  <c r="AF302" i="2"/>
  <c r="AF326" i="2"/>
  <c r="AF330" i="2"/>
  <c r="AF332" i="2"/>
  <c r="AF345" i="2"/>
  <c r="AF347" i="2"/>
  <c r="AF363" i="2"/>
  <c r="AF367" i="2"/>
  <c r="AF371" i="2"/>
  <c r="AF375" i="2"/>
  <c r="AF379" i="2"/>
  <c r="AF383" i="2"/>
  <c r="AF387" i="2"/>
  <c r="AF308" i="2"/>
  <c r="AF315" i="2"/>
  <c r="AF321" i="2"/>
  <c r="AF322" i="2"/>
  <c r="AF334" i="2"/>
  <c r="AF336" i="2"/>
  <c r="AF349" i="2"/>
  <c r="AF351" i="2"/>
  <c r="AF293" i="2"/>
  <c r="AF295" i="2"/>
  <c r="AF300" i="2"/>
  <c r="AF329" i="2"/>
  <c r="AF356" i="2"/>
  <c r="AF362" i="2"/>
  <c r="AF365" i="2"/>
  <c r="AF368" i="2"/>
  <c r="AF378" i="2"/>
  <c r="AF381" i="2"/>
  <c r="AF384" i="2"/>
  <c r="AF390" i="2"/>
  <c r="AF394" i="2"/>
  <c r="AF398" i="2"/>
  <c r="AF402" i="2"/>
  <c r="AF406" i="2"/>
  <c r="AF410" i="2"/>
  <c r="AF414" i="2"/>
  <c r="AF299" i="2"/>
  <c r="AF320" i="2"/>
  <c r="AF331" i="2"/>
  <c r="AF337" i="2"/>
  <c r="AF338" i="2"/>
  <c r="X252" i="2"/>
  <c r="X256" i="2"/>
  <c r="X260" i="2"/>
  <c r="X264" i="2"/>
  <c r="X268" i="2"/>
  <c r="X272" i="2"/>
  <c r="X276" i="2"/>
  <c r="X280" i="2"/>
  <c r="X284" i="2"/>
  <c r="X288" i="2"/>
  <c r="X292" i="2"/>
  <c r="X296" i="2"/>
  <c r="X263" i="2"/>
  <c r="X278" i="2"/>
  <c r="X293" i="2"/>
  <c r="X295" i="2"/>
  <c r="X289" i="2"/>
  <c r="X298" i="2"/>
  <c r="X258" i="2"/>
  <c r="X281" i="2"/>
  <c r="X287" i="2"/>
  <c r="X290" i="2"/>
  <c r="X299" i="2"/>
  <c r="X251" i="2"/>
  <c r="X308" i="2"/>
  <c r="X321" i="2"/>
  <c r="X323" i="2"/>
  <c r="X302" i="2"/>
  <c r="X303" i="2"/>
  <c r="X306" i="2"/>
  <c r="X310" i="2"/>
  <c r="X312" i="2"/>
  <c r="X325" i="2"/>
  <c r="X327" i="2"/>
  <c r="X266" i="2"/>
  <c r="X270" i="2"/>
  <c r="X282" i="2"/>
  <c r="X328" i="2"/>
  <c r="X341" i="2"/>
  <c r="X343" i="2"/>
  <c r="X358" i="2"/>
  <c r="X360" i="2"/>
  <c r="X363" i="2"/>
  <c r="X367" i="2"/>
  <c r="X371" i="2"/>
  <c r="X375" i="2"/>
  <c r="X379" i="2"/>
  <c r="X383" i="2"/>
  <c r="X387" i="2"/>
  <c r="X259" i="2"/>
  <c r="X262" i="2"/>
  <c r="X274" i="2"/>
  <c r="X286" i="2"/>
  <c r="X294" i="2"/>
  <c r="X319" i="2"/>
  <c r="X320" i="2"/>
  <c r="X330" i="2"/>
  <c r="X332" i="2"/>
  <c r="X345" i="2"/>
  <c r="X347" i="2"/>
  <c r="X269" i="2"/>
  <c r="X305" i="2"/>
  <c r="X326" i="2"/>
  <c r="X333" i="2"/>
  <c r="X334" i="2"/>
  <c r="X364" i="2"/>
  <c r="X374" i="2"/>
  <c r="X377" i="2"/>
  <c r="X380" i="2"/>
  <c r="X394" i="2"/>
  <c r="X398" i="2"/>
  <c r="X402" i="2"/>
  <c r="X406" i="2"/>
  <c r="X410" i="2"/>
  <c r="X414" i="2"/>
  <c r="X271" i="2"/>
  <c r="X273" i="2"/>
  <c r="X304" i="2"/>
  <c r="X316" i="2"/>
  <c r="X324" i="2"/>
  <c r="X335" i="2"/>
  <c r="X336" i="2"/>
  <c r="X342" i="2"/>
  <c r="X349" i="2"/>
  <c r="X362" i="2"/>
  <c r="AF408" i="2"/>
  <c r="X404" i="2"/>
  <c r="AF393" i="2"/>
  <c r="AF391" i="2"/>
  <c r="AF388" i="2"/>
  <c r="X386" i="2"/>
  <c r="AF382" i="2"/>
  <c r="X372" i="2"/>
  <c r="X366" i="2"/>
  <c r="X361" i="2"/>
  <c r="AF357" i="2"/>
  <c r="X354" i="2"/>
  <c r="AF350" i="2"/>
  <c r="Z347" i="2"/>
  <c r="AF343" i="2"/>
  <c r="Z340" i="2"/>
  <c r="Z333" i="2"/>
  <c r="Z323" i="2"/>
  <c r="AF318" i="2"/>
  <c r="X314" i="2"/>
  <c r="Z309" i="2"/>
  <c r="AF307" i="2"/>
  <c r="Z286" i="2"/>
  <c r="X279" i="2"/>
  <c r="Z267" i="2"/>
  <c r="X265" i="2"/>
  <c r="X257" i="2"/>
  <c r="AF251" i="2"/>
  <c r="P207" i="4"/>
  <c r="Y207" i="4"/>
  <c r="D34" i="5" s="1"/>
  <c r="AB207" i="4"/>
  <c r="D37" i="5" s="1"/>
  <c r="S207" i="4"/>
  <c r="Z208" i="4"/>
  <c r="H209" i="4"/>
  <c r="Q208" i="4"/>
  <c r="S208" i="4"/>
  <c r="AB208" i="4"/>
  <c r="J209" i="4"/>
  <c r="Z207" i="4"/>
  <c r="D35" i="5" s="1"/>
  <c r="Q207" i="4"/>
  <c r="T208" i="4"/>
  <c r="AC208" i="4"/>
  <c r="K209" i="4"/>
  <c r="O208" i="4"/>
  <c r="X208" i="4"/>
  <c r="F209" i="4"/>
  <c r="T207" i="4"/>
  <c r="AC207" i="4"/>
  <c r="D38" i="5" s="1"/>
  <c r="AA208" i="4"/>
  <c r="I209" i="4"/>
  <c r="R208" i="4"/>
  <c r="AA207" i="4"/>
  <c r="D36" i="5" s="1"/>
  <c r="R207" i="4"/>
  <c r="E209" i="4"/>
  <c r="N208" i="4"/>
  <c r="W208" i="4"/>
  <c r="X207" i="4"/>
  <c r="D33" i="5" s="1"/>
  <c r="O207" i="4"/>
  <c r="Y208" i="4"/>
  <c r="G209" i="4"/>
  <c r="P208" i="4"/>
  <c r="N207" i="4"/>
  <c r="W207" i="4"/>
  <c r="D32" i="5" s="1"/>
  <c r="R229" i="3" a="1"/>
  <c r="R229" i="3" s="1"/>
  <c r="R230" i="3" s="1"/>
  <c r="G229" i="3"/>
  <c r="G234" i="3"/>
  <c r="G235" i="3"/>
  <c r="G236" i="3"/>
  <c r="G232" i="3"/>
  <c r="G239" i="3"/>
  <c r="G240" i="3"/>
  <c r="G230" i="3"/>
  <c r="G238" i="3"/>
  <c r="G231" i="3"/>
  <c r="C454" i="2" l="1"/>
  <c r="S454" i="2" a="1"/>
  <c r="P5" i="5" a="1"/>
  <c r="Y209" i="4"/>
  <c r="P209" i="4"/>
  <c r="T209" i="4"/>
  <c r="AC209" i="4"/>
  <c r="R209" i="4"/>
  <c r="AA209" i="4"/>
  <c r="Z209" i="4"/>
  <c r="Q209" i="4"/>
  <c r="N209" i="4"/>
  <c r="W209" i="4"/>
  <c r="X209" i="4"/>
  <c r="O209" i="4"/>
  <c r="S209" i="4"/>
  <c r="AB209" i="4"/>
  <c r="G242" i="3"/>
  <c r="G237" i="3"/>
  <c r="G241" i="3"/>
  <c r="D230" i="1" a="1"/>
  <c r="S454" i="2" l="1"/>
  <c r="S471" i="2" a="1"/>
  <c r="E478" i="2" a="1"/>
  <c r="P5" i="5"/>
  <c r="F17" i="5" s="1" a="1"/>
  <c r="G244" i="3"/>
  <c r="D230" i="1"/>
  <c r="F230" i="1" s="1"/>
  <c r="S471" i="2" l="1"/>
  <c r="S475" i="2" a="1"/>
  <c r="S475" i="2" s="1"/>
  <c r="S476" i="2" s="1"/>
  <c r="S474" i="2"/>
  <c r="E478" i="2"/>
  <c r="G478" i="2" s="1"/>
  <c r="G482" i="2"/>
  <c r="G490" i="2"/>
  <c r="G483" i="2"/>
  <c r="G491" i="2"/>
  <c r="G479" i="2"/>
  <c r="G487" i="2"/>
  <c r="G480" i="2"/>
  <c r="G488" i="2"/>
  <c r="G481" i="2"/>
  <c r="F32" i="5" a="1"/>
  <c r="F17" i="5"/>
  <c r="F19" i="5" s="1"/>
  <c r="F233" i="1"/>
  <c r="F236" i="1"/>
  <c r="F232" i="1"/>
  <c r="F231" i="1"/>
  <c r="F235" i="1"/>
  <c r="F234" i="1"/>
  <c r="F20" i="5" l="1" a="1"/>
  <c r="F20" i="5" s="1"/>
  <c r="F21" i="5" s="1"/>
  <c r="F32" i="5"/>
  <c r="H36" i="5" s="1"/>
  <c r="G486" i="2"/>
  <c r="G485" i="2"/>
  <c r="G489" i="2"/>
  <c r="G484" i="2"/>
  <c r="G493" i="2" s="1"/>
  <c r="H32" i="5"/>
  <c r="H37" i="5"/>
  <c r="F238" i="1"/>
  <c r="F242" i="1"/>
  <c r="F243" i="1" a="1"/>
  <c r="F243" i="1" s="1"/>
  <c r="F244" i="1" s="1"/>
  <c r="H35" i="5" l="1"/>
  <c r="H38" i="5"/>
  <c r="H33" i="5"/>
  <c r="H34" i="5"/>
  <c r="D497" i="2" a="1"/>
  <c r="D497" i="2" s="1"/>
  <c r="D498" i="2" s="1"/>
  <c r="D496" i="2"/>
  <c r="H40" i="5"/>
  <c r="E247" i="1"/>
  <c r="F44" i="5" l="1"/>
  <c r="F45" i="5" a="1"/>
  <c r="F45" i="5" s="1"/>
  <c r="F46" i="5" s="1"/>
  <c r="F49" i="5" s="1"/>
  <c r="D50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<sst xmlns="http://schemas.openxmlformats.org/spreadsheetml/2006/main" count="773" uniqueCount="138">
  <si>
    <t>PRICE</t>
  </si>
  <si>
    <t xml:space="preserve">RETURNS </t>
  </si>
  <si>
    <t>Date</t>
  </si>
  <si>
    <t>APPLE</t>
  </si>
  <si>
    <t>NVIDIA</t>
  </si>
  <si>
    <t>Microsoft</t>
  </si>
  <si>
    <t>GOOGLE</t>
  </si>
  <si>
    <t>TESLA</t>
  </si>
  <si>
    <t>AMAZON</t>
  </si>
  <si>
    <t>META</t>
  </si>
  <si>
    <t>NA</t>
  </si>
  <si>
    <t>Mean</t>
  </si>
  <si>
    <t>Excess Return</t>
  </si>
  <si>
    <t>Matrix Inverse</t>
  </si>
  <si>
    <t>GMVP</t>
  </si>
  <si>
    <t xml:space="preserve">Variance </t>
  </si>
  <si>
    <t>Standard Deviation</t>
  </si>
  <si>
    <t>S^-1(E®)</t>
  </si>
  <si>
    <t>Variance</t>
  </si>
  <si>
    <t>Std. deviation</t>
  </si>
  <si>
    <t>Sum</t>
  </si>
  <si>
    <t>Allocated Weigths</t>
  </si>
  <si>
    <t>Efficient Portfolio 1</t>
  </si>
  <si>
    <t>Mean (E®)</t>
  </si>
  <si>
    <t>SNAP</t>
  </si>
  <si>
    <t>CRWD</t>
  </si>
  <si>
    <t>COIN</t>
  </si>
  <si>
    <t>UBER</t>
  </si>
  <si>
    <t>PLTR</t>
  </si>
  <si>
    <t>ROKU</t>
  </si>
  <si>
    <t>ZM</t>
  </si>
  <si>
    <t>Returns</t>
  </si>
  <si>
    <t xml:space="preserve">Excess Return </t>
  </si>
  <si>
    <t xml:space="preserve">Vector </t>
  </si>
  <si>
    <t>Return</t>
  </si>
  <si>
    <t>Std. Deviation</t>
  </si>
  <si>
    <t>S^-1*(E®)</t>
  </si>
  <si>
    <t xml:space="preserve">Allocated Weight </t>
  </si>
  <si>
    <t>Efficient Portfolio 2</t>
  </si>
  <si>
    <t>Combined Portfolio</t>
  </si>
  <si>
    <t>Excess Returns</t>
  </si>
  <si>
    <t xml:space="preserve">Variance Covariance Matrix </t>
  </si>
  <si>
    <t xml:space="preserve">Matrix Inverse </t>
  </si>
  <si>
    <t>Sharpie Ratio</t>
  </si>
  <si>
    <t>S^-1(E(r))</t>
  </si>
  <si>
    <t xml:space="preserve">Weights </t>
  </si>
  <si>
    <t xml:space="preserve">Mean </t>
  </si>
  <si>
    <t xml:space="preserve">Stocks  </t>
  </si>
  <si>
    <t xml:space="preserve">Base Scenario </t>
  </si>
  <si>
    <t>1)</t>
  </si>
  <si>
    <t>2)</t>
  </si>
  <si>
    <t xml:space="preserve">Bull Case Returns </t>
  </si>
  <si>
    <t>Vector</t>
  </si>
  <si>
    <t>Weights</t>
  </si>
  <si>
    <t>Shapie Ratio</t>
  </si>
  <si>
    <t xml:space="preserve">Variance Coveriance Matrix </t>
  </si>
  <si>
    <t>Monthly Data</t>
  </si>
  <si>
    <t>Weekly Data</t>
  </si>
  <si>
    <t xml:space="preserve">Yearly Data </t>
  </si>
  <si>
    <t>Yearly Data</t>
  </si>
  <si>
    <t xml:space="preserve">Global Minimum Variance Portfolio </t>
  </si>
  <si>
    <t>Proportion</t>
  </si>
  <si>
    <t xml:space="preserve">Exp Return </t>
  </si>
  <si>
    <t>SD</t>
  </si>
  <si>
    <t>S^-1*E®</t>
  </si>
  <si>
    <t>Total</t>
  </si>
  <si>
    <t>Sharpe Ratio</t>
  </si>
  <si>
    <t>Data for Top 7 Stocks</t>
  </si>
  <si>
    <t xml:space="preserve">Price </t>
  </si>
  <si>
    <t xml:space="preserve">High Volatile Stocks </t>
  </si>
  <si>
    <t xml:space="preserve">Monthly Data </t>
  </si>
  <si>
    <t xml:space="preserve">Total </t>
  </si>
  <si>
    <t xml:space="preserve">Monthly Return </t>
  </si>
  <si>
    <t xml:space="preserve">Yearly Return </t>
  </si>
  <si>
    <t>Allocated Weights</t>
  </si>
  <si>
    <t>Avg Return</t>
  </si>
  <si>
    <t>Portfolio Optimization — Executive Dashboard</t>
  </si>
  <si>
    <t>Markowitz Mean-Variance Optimization  |  Weekly Data 2022–2024  |  14 Stocks: Mega-Cap &amp; High-Volatility Universes</t>
  </si>
  <si>
    <t xml:space="preserve">  📌  Portfolio Statistics — Global Minimum Variance Portfolios</t>
  </si>
  <si>
    <t>Metric</t>
  </si>
  <si>
    <t>Mega-Cap (7 Stocks)</t>
  </si>
  <si>
    <t>High-Vol (7 Stocks)</t>
  </si>
  <si>
    <t>Combined (14 Stocks)</t>
  </si>
  <si>
    <t>Notes</t>
  </si>
  <si>
    <t>Expected Return (Weekly)</t>
  </si>
  <si>
    <t>Weekly log return of GMV portfolio</t>
  </si>
  <si>
    <t>Portfolio Variance</t>
  </si>
  <si>
    <t>wᵀΣw — lower is better</t>
  </si>
  <si>
    <t>Std Deviation (Weekly)</t>
  </si>
  <si>
    <t>Square root of portfolio variance</t>
  </si>
  <si>
    <t>As calculated in model (not annualized)</t>
  </si>
  <si>
    <t xml:space="preserve">  📐  Optimal Weights — Global Minimum Variance Portfolio</t>
  </si>
  <si>
    <t>Stock</t>
  </si>
  <si>
    <t>Universe</t>
  </si>
  <si>
    <t>Mega-Cap Weight</t>
  </si>
  <si>
    <t>High-Vol Weight</t>
  </si>
  <si>
    <t>Combined Weight</t>
  </si>
  <si>
    <t>Direction</t>
  </si>
  <si>
    <t>Mega-Cap</t>
  </si>
  <si>
    <t>—</t>
  </si>
  <si>
    <t>Long</t>
  </si>
  <si>
    <t>Short</t>
  </si>
  <si>
    <t>High-Vol</t>
  </si>
  <si>
    <t xml:space="preserve">  🔬  Methodology</t>
  </si>
  <si>
    <t>Return Calculation</t>
  </si>
  <si>
    <t>Log returns: ln(Pt / Pt-1) applied to weekly price data for all 14 stocks</t>
  </si>
  <si>
    <t>Excess return = Weekly return minus mean return (avg subtracted via AVERAGE formula in row 203)</t>
  </si>
  <si>
    <t>Covariance Matrix</t>
  </si>
  <si>
    <t>7×7 and 14×14 variance-covariance matrices built from excess return data</t>
  </si>
  <si>
    <t>MINVERSE applied to covariance matrix to solve for optimal weights</t>
  </si>
  <si>
    <t>Optimization Target</t>
  </si>
  <si>
    <t>Global Minimum Variance Portfolio — minimizes portfolio variance subject to weights summing to 1</t>
  </si>
  <si>
    <t>Short Selling</t>
  </si>
  <si>
    <t>Permitted — negative weights indicate short positions in the model</t>
  </si>
  <si>
    <t>Scenario Analysis</t>
  </si>
  <si>
    <t>Bull case tab: positive returns scaled ×1.2, negative returns scaled ×0.8</t>
  </si>
  <si>
    <t>Data Period</t>
  </si>
  <si>
    <t>Stock Universe 1</t>
  </si>
  <si>
    <t>Mega-Cap: APPLE, NVIDIA, Microsoft, GOOGLE, TESLA, AMAZON, META</t>
  </si>
  <si>
    <t>Stock Universe 2</t>
  </si>
  <si>
    <t>High-Volatility: SNAP, CRWD, COIN, UBER, PLTR, ROKU, ZM</t>
  </si>
  <si>
    <t xml:space="preserve">  💡  Key Findings</t>
  </si>
  <si>
    <t xml:space="preserve">  1.</t>
  </si>
  <si>
    <t>Combined portfolio achieves the lowest variance (0.000786) — lower than either the mega-cap (0.000913) or high-vol (0.002100) sub-portfolios alone, confirming cross-universe diversification benefits.</t>
  </si>
  <si>
    <t xml:space="preserve">  2.</t>
  </si>
  <si>
    <t>Microsoft dominates the mega-cap optimal portfolio at 78.3% weight — its low variance relative to peers makes it the anchor of the minimum variance solution.</t>
  </si>
  <si>
    <t xml:space="preserve">  3.</t>
  </si>
  <si>
    <t>ZM (54.6%) and UBER (34.5%) carry the highest weights in the high-volatility universe due to their relatively low correlation with other high-vol stocks.</t>
  </si>
  <si>
    <t xml:space="preserve">  4.</t>
  </si>
  <si>
    <t>NVIDIA, TESLA, META (mega-cap) and CRWD, COIN, ROKU (high-vol) all receive negative weights (short positions), indicating they add more risk than return in this sample period.</t>
  </si>
  <si>
    <t xml:space="preserve">  5.</t>
  </si>
  <si>
    <t>High-volatility portfolio shows a negative expected return (-1.3% weekly) and negative Sharpe ratio (-11.99), confirming that high-vol stocks individually underperformed in 2022–2024.</t>
  </si>
  <si>
    <t xml:space="preserve">  6.</t>
  </si>
  <si>
    <t>Combined 14-stock portfolio has the best Sharpe ratio (14.57) and lowest SD (2.80%), demonstrating that combining both universes improves the risk-return tradeoff significantly.</t>
  </si>
  <si>
    <t xml:space="preserve">  7.</t>
  </si>
  <si>
    <t>Note: The Sharpe ratios in this model are calculated on a weekly basis and are not annualized. Annualizing would require multiplying by √52.</t>
  </si>
  <si>
    <t>Built by Tirth Thakkar  |  MS Finance, University of Texas at Dallas  |  Independent Research Project  |  Data: Yahoo Finance</t>
  </si>
  <si>
    <t>Jan 2022 – Oct 2025, weekly observations (~130 data points per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</si>
</sst>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
    <numFmt numFmtId="165" formatCode="0.000000000000000%"/>
    <numFmt numFmtId="166" formatCode="_(* #,##0.000_);_(* \(#,##0.000\);_(* &quot;-&quot;??_);_(@_)"/>
    <numFmt numFmtId="167" formatCode="_(* #,##0.0000_);_(* \(#,##0.0000\);_(* &quot;-&quot;??_);_(@_)"/>
    <numFmt numFmtId="168" formatCode="0.000"/>
    <numFmt numFmtId="169" formatCode="0.000%"/>
    <numFmt numFmtId="170" formatCode="0.000000"/>
    <numFmt numFmtId="171" formatCode="0.00\x"/>
    <numFmt numFmtId="172" formatCode="0.0%"/>
  </numFmts>
  <fonts count="33"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8"/>
      <color rgb="FFFFFFFF"/>
      <name val="Arial"/>
    </font>
    <font>
      <i/>
      <sz val="9"/>
      <color rgb="FFA8C4E0"/>
      <name val="Arial"/>
    </font>
    <font>
      <b/>
      <sz val="10"/>
      <color rgb="FFFFFFFF"/>
      <name val="Arial"/>
    </font>
    <font>
      <b/>
      <sz val="9"/>
      <color rgb="FFFFFFFF"/>
      <name val="Arial"/>
    </font>
    <font>
      <b/>
      <sz val="9"/>
      <color rgb="FF1B2A4A"/>
      <name val="Arial"/>
    </font>
    <font>
      <b/>
      <sz val="9"/>
      <color rgb="FF1E8449"/>
      <name val="Arial"/>
    </font>
    <font>
      <b/>
      <sz val="9"/>
      <color rgb="FFC0392B"/>
      <name val="Arial"/>
    </font>
    <font>
      <sz val="9"/>
      <color rgb="FF1B2A4A"/>
      <name val="Arial"/>
    </font>
    <font>
      <i/>
      <sz val="8"/>
      <color rgb="FF777777"/>
      <name val="Arial"/>
    </font>
    <font>
      <sz val="9"/>
      <color rgb="FF2D5F8A"/>
      <name val="Arial"/>
    </font>
    <font>
      <sz val="9"/>
      <color rgb="FFAAAAAA"/>
      <name val="Arial"/>
    </font>
    <font>
      <sz val="9"/>
      <color rgb="FF1E8449"/>
      <name val="Arial"/>
    </font>
    <font>
      <sz val="9"/>
      <color rgb="FFC0392B"/>
      <name val="Arial"/>
    </font>
    <font>
      <sz val="9"/>
      <color rgb="FF8B4513"/>
      <name val="Arial"/>
    </font>
    <font>
      <b/>
      <sz val="10"/>
      <color rgb="FFF5A623"/>
      <name val="Arial"/>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1B2A4A"/>
        <bgColor rgb="FF1B2A4A"/>
      </patternFill>
    </fill>
    <fill>
      <patternFill patternType="solid">
        <fgColor rgb="FF4A90D9"/>
        <bgColor rgb="FF4A90D9"/>
      </patternFill>
    </fill>
    <fill>
      <patternFill patternType="solid">
        <fgColor rgb="FF2D5F8A"/>
        <bgColor rgb="FF2D5F8A"/>
      </patternFill>
    </fill>
    <fill>
      <patternFill patternType="solid">
        <fgColor rgb="FFF2F4F8"/>
        <bgColor rgb="FFF2F4F8"/>
      </patternFill>
    </fill>
    <fill>
      <patternFill patternType="solid">
        <fgColor rgb="FFD5F5E3"/>
        <bgColor rgb="FFD5F5E3"/>
      </patternFill>
    </fill>
    <fill>
      <patternFill patternType="solid">
        <fgColor rgb="FFFADBD8"/>
        <bgColor rgb="FFFADBD8"/>
      </patternFill>
    </fill>
    <fill>
      <patternFill patternType="solid">
        <fgColor rgb="FFFFFFFF"/>
        <bgColor rgb="FFFFFFFF"/>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ck">
        <color auto="1"/>
      </top>
      <bottom/>
      <diagonal/>
    </border>
    <border>
      <left/>
      <right/>
      <top/>
      <bottom style="thin">
        <color indexed="64"/>
      </bottom>
      <diagonal/>
    </border>
    <border>
      <left style="thin">
        <color rgb="FFCCCCCC"/>
      </left>
      <right style="thin">
        <color rgb="FFCCCCCC"/>
      </right>
      <top style="thin">
        <color rgb="FFCCCCCC"/>
      </top>
      <bottom style="thin">
        <color rgb="FFCCCCCC"/>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7">
    <xf numFmtId="0" fontId="0" fillId="0" borderId="0" xfId="0"/>
    <xf numFmtId="14" fontId="0" fillId="0" borderId="0" xfId="0" applyNumberFormat="1"/>
    <xf numFmtId="0" fontId="16" fillId="0" borderId="0" xfId="0" applyFont="1"/>
    <xf numFmtId="0" fontId="16" fillId="0" borderId="0" xfId="0" applyFont="1" applyAlignment="1">
      <alignment horizontal="center"/>
    </xf>
    <xf numFmtId="10" fontId="0" fillId="0" borderId="0" xfId="0" applyNumberFormat="1"/>
    <xf numFmtId="0" fontId="16" fillId="0" borderId="10" xfId="0" applyFont="1" applyBorder="1"/>
    <xf numFmtId="0" fontId="0" fillId="0" borderId="10" xfId="0" applyBorder="1"/>
    <xf numFmtId="0" fontId="16" fillId="0" borderId="10" xfId="0" applyFont="1" applyBorder="1" applyAlignment="1">
      <alignment horizontal="center"/>
    </xf>
    <xf numFmtId="0" fontId="0" fillId="0" borderId="11" xfId="0" applyBorder="1"/>
    <xf numFmtId="164" fontId="0" fillId="0" borderId="0" xfId="0" applyNumberFormat="1"/>
    <xf numFmtId="10" fontId="0" fillId="0" borderId="10" xfId="0" applyNumberFormat="1" applyBorder="1"/>
    <xf numFmtId="9" fontId="16" fillId="0" borderId="0" xfId="0" applyNumberFormat="1" applyFont="1"/>
    <xf numFmtId="165" fontId="0" fillId="0" borderId="0" xfId="0" applyNumberFormat="1"/>
    <xf numFmtId="166" fontId="0" fillId="0" borderId="10" xfId="42" applyNumberFormat="1" applyFont="1" applyBorder="1"/>
    <xf numFmtId="166" fontId="0" fillId="0" borderId="10" xfId="0" applyNumberFormat="1" applyBorder="1"/>
    <xf numFmtId="43" fontId="0" fillId="0" borderId="10" xfId="0" applyNumberFormat="1" applyBorder="1"/>
    <xf numFmtId="0" fontId="16" fillId="34" borderId="0" xfId="0" applyFont="1" applyFill="1" applyAlignment="1">
      <alignment horizontal="center"/>
    </xf>
    <xf numFmtId="0" fontId="16" fillId="34" borderId="0" xfId="0" applyFont="1" applyFill="1"/>
    <xf numFmtId="0" fontId="16" fillId="34" borderId="0" xfId="0" applyFont="1" applyFill="1" applyAlignment="1">
      <alignment vertical="center"/>
    </xf>
    <xf numFmtId="167" fontId="0" fillId="0" borderId="0" xfId="42" applyNumberFormat="1" applyFont="1" applyBorder="1"/>
    <xf numFmtId="0" fontId="0" fillId="0" borderId="0" xfId="0" applyAlignment="1">
      <alignment vertical="center"/>
    </xf>
    <xf numFmtId="10" fontId="0" fillId="0" borderId="0" xfId="0" applyNumberFormat="1" applyAlignment="1">
      <alignment vertical="center"/>
    </xf>
    <xf numFmtId="168" fontId="0" fillId="0" borderId="0" xfId="0" applyNumberFormat="1"/>
    <xf numFmtId="0" fontId="16" fillId="33" borderId="0" xfId="0" applyFont="1" applyFill="1" applyAlignment="1">
      <alignment horizontal="center"/>
    </xf>
    <xf numFmtId="0" fontId="16" fillId="0" borderId="0" xfId="0" applyFont="1" applyAlignment="1">
      <alignment horizontal="center"/>
    </xf>
    <xf numFmtId="0" fontId="16" fillId="34" borderId="0" xfId="0" applyFont="1" applyFill="1" applyAlignment="1">
      <alignment horizontal="center"/>
    </xf>
    <xf numFmtId="0" fontId="16" fillId="34" borderId="0" xfId="0" applyFont="1" applyFill="1" applyAlignment="1">
      <alignment horizontal="center" vertical="center"/>
    </xf>
    <xf numFmtId="0" fontId="16" fillId="34" borderId="12" xfId="0" applyFont="1" applyFill="1" applyBorder="1" applyAlignment="1">
      <alignment horizontal="center" vertical="center"/>
    </xf>
    <xf numFmtId="0" fontId="16" fillId="35" borderId="0" xfId="0" applyFont="1" applyFill="1" applyAlignment="1">
      <alignment horizontal="center" vertical="center"/>
    </xf>
    <xf numFmtId="0" fontId="16" fillId="35" borderId="12" xfId="0" applyFont="1" applyFill="1" applyBorder="1" applyAlignment="1">
      <alignment horizontal="center" vertical="center"/>
    </xf>
    <xf numFmtId="0" fontId="16" fillId="0" borderId="10" xfId="0" applyFont="1" applyBorder="1" applyAlignment="1">
      <alignment horizontal="center"/>
    </xf>
    <xf numFmtId="0" fontId="16" fillId="0" borderId="11" xfId="0" applyFont="1" applyBorder="1" applyAlignment="1">
      <alignment horizontal="center"/>
    </xf>
    <xf numFmtId="0" fontId="18" fillId="36" borderId="0" xfId="0" applyFont="1" applyFill="1" applyAlignment="1">
      <alignment horizontal="center" vertical="center" wrapText="1"/>
    </xf>
    <xf numFmtId="0" fontId="0" fillId="0" borderId="0" xfId="0"/>
    <xf numFmtId="0" fontId="19" fillId="36" borderId="0" xfId="0" applyFont="1" applyFill="1" applyAlignment="1">
      <alignment horizontal="center" vertical="center" wrapText="1"/>
    </xf>
    <xf numFmtId="0" fontId="0" fillId="37" borderId="0" xfId="0" applyFill="1"/>
    <xf numFmtId="0" fontId="20" fillId="38" borderId="0" xfId="0" applyFont="1" applyFill="1" applyAlignment="1">
      <alignment horizontal="left" vertical="center" wrapText="1"/>
    </xf>
    <xf numFmtId="0" fontId="21" fillId="38" borderId="13" xfId="0" applyFont="1" applyFill="1" applyBorder="1" applyAlignment="1">
      <alignment horizontal="center" vertical="center" wrapText="1"/>
    </xf>
    <xf numFmtId="0" fontId="22" fillId="39" borderId="13" xfId="0" applyFont="1" applyFill="1" applyBorder="1" applyAlignment="1">
      <alignment horizontal="left" vertical="center" wrapText="1"/>
    </xf>
    <xf numFmtId="169" fontId="23" fillId="40" borderId="13" xfId="0" applyNumberFormat="1" applyFont="1" applyFill="1" applyBorder="1" applyAlignment="1">
      <alignment horizontal="center" vertical="center" wrapText="1"/>
    </xf>
    <xf numFmtId="169" fontId="24" fillId="41" borderId="13" xfId="0" applyNumberFormat="1" applyFont="1" applyFill="1" applyBorder="1" applyAlignment="1">
      <alignment horizontal="center" vertical="center" wrapText="1"/>
    </xf>
    <xf numFmtId="169" fontId="25" fillId="39" borderId="13" xfId="0" applyNumberFormat="1" applyFont="1" applyFill="1" applyBorder="1" applyAlignment="1">
      <alignment horizontal="center" vertical="center" wrapText="1"/>
    </xf>
    <xf numFmtId="0" fontId="26" fillId="39" borderId="13" xfId="0" applyFont="1" applyFill="1" applyBorder="1" applyAlignment="1">
      <alignment horizontal="left" vertical="center" wrapText="1"/>
    </xf>
    <xf numFmtId="0" fontId="22" fillId="42" borderId="13" xfId="0" applyFont="1" applyFill="1" applyBorder="1" applyAlignment="1">
      <alignment horizontal="left" vertical="center" wrapText="1"/>
    </xf>
    <xf numFmtId="170" fontId="25" fillId="42" borderId="13" xfId="0" applyNumberFormat="1" applyFont="1" applyFill="1" applyBorder="1" applyAlignment="1">
      <alignment horizontal="center" vertical="center" wrapText="1"/>
    </xf>
    <xf numFmtId="170" fontId="24" fillId="41" borderId="13" xfId="0" applyNumberFormat="1" applyFont="1" applyFill="1" applyBorder="1" applyAlignment="1">
      <alignment horizontal="center" vertical="center" wrapText="1"/>
    </xf>
    <xf numFmtId="170" fontId="23" fillId="40" borderId="13" xfId="0" applyNumberFormat="1" applyFont="1" applyFill="1" applyBorder="1" applyAlignment="1">
      <alignment horizontal="center" vertical="center" wrapText="1"/>
    </xf>
    <xf numFmtId="0" fontId="26" fillId="42" borderId="13" xfId="0" applyFont="1" applyFill="1" applyBorder="1" applyAlignment="1">
      <alignment horizontal="left" vertical="center" wrapText="1"/>
    </xf>
    <xf numFmtId="171" fontId="25" fillId="42" borderId="13" xfId="0" applyNumberFormat="1" applyFont="1" applyFill="1" applyBorder="1" applyAlignment="1">
      <alignment horizontal="center" vertical="center" wrapText="1"/>
    </xf>
    <xf numFmtId="171" fontId="24" fillId="41" borderId="13" xfId="0" applyNumberFormat="1" applyFont="1" applyFill="1" applyBorder="1" applyAlignment="1">
      <alignment horizontal="center" vertical="center" wrapText="1"/>
    </xf>
    <xf numFmtId="171" fontId="23" fillId="40" borderId="13" xfId="0" applyNumberFormat="1" applyFont="1" applyFill="1" applyBorder="1" applyAlignment="1">
      <alignment horizontal="center" vertical="center" wrapText="1"/>
    </xf>
    <xf numFmtId="0" fontId="27" fillId="39" borderId="13" xfId="0" applyFont="1" applyFill="1" applyBorder="1" applyAlignment="1">
      <alignment horizontal="center" vertical="center" wrapText="1"/>
    </xf>
    <xf numFmtId="172" fontId="23" fillId="40" borderId="13" xfId="0" applyNumberFormat="1" applyFont="1" applyFill="1" applyBorder="1" applyAlignment="1">
      <alignment horizontal="center" vertical="center" wrapText="1"/>
    </xf>
    <xf numFmtId="0" fontId="28" fillId="39" borderId="13" xfId="0" applyFont="1" applyFill="1" applyBorder="1" applyAlignment="1">
      <alignment horizontal="center" vertical="center" wrapText="1"/>
    </xf>
    <xf numFmtId="0" fontId="29" fillId="39" borderId="13" xfId="0" applyFont="1" applyFill="1" applyBorder="1" applyAlignment="1">
      <alignment horizontal="center" vertical="center" wrapText="1"/>
    </xf>
    <xf numFmtId="0" fontId="27" fillId="42" borderId="13" xfId="0" applyFont="1" applyFill="1" applyBorder="1" applyAlignment="1">
      <alignment horizontal="center" vertical="center" wrapText="1"/>
    </xf>
    <xf numFmtId="172" fontId="24" fillId="41" borderId="13" xfId="0" applyNumberFormat="1" applyFont="1" applyFill="1" applyBorder="1" applyAlignment="1">
      <alignment horizontal="center" vertical="center" wrapText="1"/>
    </xf>
    <xf numFmtId="0" fontId="28" fillId="42" borderId="13" xfId="0" applyFont="1" applyFill="1" applyBorder="1" applyAlignment="1">
      <alignment horizontal="center" vertical="center" wrapText="1"/>
    </xf>
    <xf numFmtId="0" fontId="30" fillId="42" borderId="13" xfId="0" applyFont="1" applyFill="1" applyBorder="1" applyAlignment="1">
      <alignment horizontal="center" vertical="center" wrapText="1"/>
    </xf>
    <xf numFmtId="0" fontId="29" fillId="42" borderId="13" xfId="0" applyFont="1" applyFill="1" applyBorder="1" applyAlignment="1">
      <alignment horizontal="center" vertical="center" wrapText="1"/>
    </xf>
    <xf numFmtId="0" fontId="30" fillId="39" borderId="13" xfId="0" applyFont="1" applyFill="1" applyBorder="1" applyAlignment="1">
      <alignment horizontal="center" vertical="center" wrapText="1"/>
    </xf>
    <xf numFmtId="0" fontId="31" fillId="42" borderId="13" xfId="0" applyFont="1" applyFill="1" applyBorder="1" applyAlignment="1">
      <alignment horizontal="center" vertical="center" wrapText="1"/>
    </xf>
    <xf numFmtId="0" fontId="31" fillId="39" borderId="13" xfId="0" applyFont="1" applyFill="1" applyBorder="1" applyAlignment="1">
      <alignment horizontal="center" vertical="center" wrapText="1"/>
    </xf>
    <xf numFmtId="0" fontId="21" fillId="38" borderId="13" xfId="0" applyFont="1" applyFill="1" applyBorder="1" applyAlignment="1">
      <alignment horizontal="left" vertical="center" wrapText="1"/>
    </xf>
    <xf numFmtId="0" fontId="25" fillId="39" borderId="13" xfId="0" applyFont="1" applyFill="1" applyBorder="1" applyAlignment="1">
      <alignment horizontal="left" vertical="center" wrapText="1"/>
    </xf>
    <xf numFmtId="0" fontId="25" fillId="42" borderId="13" xfId="0" applyFont="1" applyFill="1" applyBorder="1" applyAlignment="1">
      <alignment horizontal="left" vertical="center" wrapText="1"/>
    </xf>
    <xf numFmtId="0" fontId="32" fillId="36" borderId="13" xfId="0"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9</xdr:col>
      <xdr:colOff>266700</xdr:colOff>
      <xdr:row>18</xdr:row>
      <xdr:rowOff>156210</xdr:rowOff>
    </xdr:from>
    <xdr:to>
      <xdr:col>16</xdr:col>
      <xdr:colOff>579120</xdr:colOff>
      <xdr:row>21</xdr:row>
      <xdr:rowOff>167640</xdr:rowOff>
    </xdr:to>
    <xdr:sp macro="" textlink="">
      <xdr:nvSpPr>
        <xdr:cNvPr id="2" name="TextBox 1">
          <a:extLst>
            <a:ext uri="{FF2B5EF4-FFF2-40B4-BE49-F238E27FC236}">
              <a16:creationId xmlns:a16="http://schemas.microsoft.com/office/drawing/2014/main" id="{0FE3A985-3721-77AD-FA16-1BE37615C936}"/>
            </a:ext>
          </a:extLst>
        </xdr:cNvPr>
        <xdr:cNvSpPr txBox="1"/>
      </xdr:nvSpPr>
      <xdr:spPr>
        <a:xfrm>
          <a:off x="5867400" y="3448050"/>
          <a:ext cx="4579620" cy="560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method</a:t>
          </a:r>
          <a:r>
            <a:rPr lang="en-US" sz="1100" baseline="0"/>
            <a:t> basically helps in finding the return while keeping the lowest risk possible.</a:t>
          </a:r>
          <a:endParaRPr lang="en-US" sz="1100"/>
        </a:p>
      </xdr:txBody>
    </xdr:sp>
    <xdr:clientData/>
  </xdr:twoCellAnchor>
  <xdr:twoCellAnchor>
    <xdr:from>
      <xdr:col>9</xdr:col>
      <xdr:colOff>586740</xdr:colOff>
      <xdr:row>31</xdr:row>
      <xdr:rowOff>53340</xdr:rowOff>
    </xdr:from>
    <xdr:to>
      <xdr:col>19</xdr:col>
      <xdr:colOff>342900</xdr:colOff>
      <xdr:row>38</xdr:row>
      <xdr:rowOff>38100</xdr:rowOff>
    </xdr:to>
    <xdr:sp macro="" textlink="">
      <xdr:nvSpPr>
        <xdr:cNvPr id="3" name="TextBox 2">
          <a:extLst>
            <a:ext uri="{FF2B5EF4-FFF2-40B4-BE49-F238E27FC236}">
              <a16:creationId xmlns:a16="http://schemas.microsoft.com/office/drawing/2014/main" id="{CD1C5418-98A2-D656-6849-4397694287B0}"/>
            </a:ext>
          </a:extLst>
        </xdr:cNvPr>
        <xdr:cNvSpPr txBox="1"/>
      </xdr:nvSpPr>
      <xdr:spPr>
        <a:xfrm>
          <a:off x="6256020" y="5722620"/>
          <a:ext cx="5852160" cy="1264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a:t>
          </a:r>
          <a:r>
            <a:rPr lang="en-US" sz="1100" baseline="0"/>
            <a:t> the efficient portfolio method where we try to keep the SD in such point where we can have the highest sharpe ratio. So, that we have good return while keeping the volatality 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833718</xdr:colOff>
      <xdr:row>497</xdr:row>
      <xdr:rowOff>125506</xdr:rowOff>
    </xdr:from>
    <xdr:to>
      <xdr:col>12</xdr:col>
      <xdr:colOff>251012</xdr:colOff>
      <xdr:row>505</xdr:row>
      <xdr:rowOff>143435</xdr:rowOff>
    </xdr:to>
    <xdr:sp macro="" textlink="">
      <xdr:nvSpPr>
        <xdr:cNvPr id="2" name="TextBox 1">
          <a:extLst>
            <a:ext uri="{FF2B5EF4-FFF2-40B4-BE49-F238E27FC236}">
              <a16:creationId xmlns:a16="http://schemas.microsoft.com/office/drawing/2014/main" id="{0ADEDEEE-BBAF-D896-8174-6B2B873A75CE}"/>
            </a:ext>
          </a:extLst>
        </xdr:cNvPr>
        <xdr:cNvSpPr txBox="1"/>
      </xdr:nvSpPr>
      <xdr:spPr>
        <a:xfrm>
          <a:off x="4455459" y="89073318"/>
          <a:ext cx="4177553" cy="14522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From,</a:t>
          </a:r>
          <a:r>
            <a:rPr lang="en-US" sz="1100" baseline="0"/>
            <a:t> this we conclude that the best portfolio to generate maximum returns is Combination of both the Portfolio 1 and Portfolio 2. As Sharpie Ratio of the Portfolio 1 is 0.1674 and the sharpie ratio of Portfolio 2 is -(0.2305) and the sharpie ratio of Combined Portfolio is 0.2802. This means that the best returns that you can acheive is in the third scenario where the returns are good enough for the volatality.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182880</xdr:colOff>
      <xdr:row>18</xdr:row>
      <xdr:rowOff>15240</xdr:rowOff>
    </xdr:from>
    <xdr:to>
      <xdr:col>20</xdr:col>
      <xdr:colOff>556260</xdr:colOff>
      <xdr:row>21</xdr:row>
      <xdr:rowOff>45720</xdr:rowOff>
    </xdr:to>
    <xdr:sp macro="" textlink="">
      <xdr:nvSpPr>
        <xdr:cNvPr id="2" name="TextBox 1">
          <a:extLst>
            <a:ext uri="{FF2B5EF4-FFF2-40B4-BE49-F238E27FC236}">
              <a16:creationId xmlns:a16="http://schemas.microsoft.com/office/drawing/2014/main" id="{E8F0FF46-6A54-B106-778C-8E78004CCCE6}"/>
            </a:ext>
          </a:extLst>
        </xdr:cNvPr>
        <xdr:cNvSpPr txBox="1"/>
      </xdr:nvSpPr>
      <xdr:spPr>
        <a:xfrm>
          <a:off x="8252460" y="3307080"/>
          <a:ext cx="4640580" cy="579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This method</a:t>
          </a:r>
          <a:r>
            <a:rPr lang="en-US" sz="1100" baseline="0">
              <a:solidFill>
                <a:schemeClr val="dk1"/>
              </a:solidFill>
              <a:effectLst/>
              <a:latin typeface="+mn-lt"/>
              <a:ea typeface="+mn-ea"/>
              <a:cs typeface="+mn-cs"/>
            </a:rPr>
            <a:t> basically helps in finding the return while keeping the lowest risk possible.</a:t>
          </a:r>
          <a:endParaRPr lang="en-US">
            <a:effectLst/>
          </a:endParaRP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32</xdr:col>
      <xdr:colOff>381000</xdr:colOff>
      <xdr:row>3</xdr:row>
      <xdr:rowOff>34290</xdr:rowOff>
    </xdr:from>
    <xdr:to>
      <xdr:col>37</xdr:col>
      <xdr:colOff>190500</xdr:colOff>
      <xdr:row>6</xdr:row>
      <xdr:rowOff>76200</xdr:rowOff>
    </xdr:to>
    <xdr:sp macro="" textlink="">
      <xdr:nvSpPr>
        <xdr:cNvPr id="2" name="TextBox 1">
          <a:extLst>
            <a:ext uri="{FF2B5EF4-FFF2-40B4-BE49-F238E27FC236}">
              <a16:creationId xmlns:a16="http://schemas.microsoft.com/office/drawing/2014/main" id="{3BECDC73-DEBF-1549-393A-AC48B9E7EC18}"/>
            </a:ext>
          </a:extLst>
        </xdr:cNvPr>
        <xdr:cNvSpPr txBox="1"/>
      </xdr:nvSpPr>
      <xdr:spPr>
        <a:xfrm>
          <a:off x="19888200" y="582930"/>
          <a:ext cx="2857500"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a:t>
          </a:r>
          <a:r>
            <a:rPr lang="en-US" sz="1100" baseline="0"/>
            <a:t> Bull case we are assuming that the market is increasing by 20%.</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D916-E89F-4FEB-B00C-20D6030CEB9C}">
  <dimension ref="B2:G52"/>
  <sheetViews>
    <sheetView showGridLines="0" workbookViewId="0">
      <pane xSplit="1" ySplit="5" topLeftCell="B6" activePane="bottomRight" state="frozen"/>
      <selection pane="topRight"/>
      <selection pane="bottomLeft"/>
      <selection pane="bottomRight" activeCell="C31" sqref="C31:G31"/>
    </sheetView>
  </sheetViews>
  <sheetFormatPr defaultRowHeight="14.4" x14ac:dyDescent="0.3"/>
  <cols>
    <col min="1" max="1" width="2" customWidth="1"/>
    <col min="2" max="2" width="24" customWidth="1"/>
    <col min="3" max="7" width="17" customWidth="1"/>
    <col min="8" max="8" width="2" customWidth="1"/>
  </cols>
  <sheetData>
    <row r="2" spans="2:7" ht="48" customHeight="1" x14ac:dyDescent="0.3">
      <c r="B2" s="32" t="s">
        <v>76</v>
      </c>
      <c r="C2" s="33"/>
      <c r="D2" s="33"/>
      <c r="E2" s="33"/>
      <c r="F2" s="33"/>
      <c r="G2" s="33"/>
    </row>
    <row r="3" spans="2:7" ht="18" customHeight="1" x14ac:dyDescent="0.3">
      <c r="B3" s="34" t="s">
        <v>77</v>
      </c>
      <c r="C3" s="33"/>
      <c r="D3" s="33"/>
      <c r="E3" s="33"/>
      <c r="F3" s="33"/>
      <c r="G3" s="33"/>
    </row>
    <row r="4" spans="2:7" ht="4.05" customHeight="1" x14ac:dyDescent="0.3">
      <c r="B4" s="35"/>
      <c r="C4" s="35"/>
      <c r="D4" s="35"/>
      <c r="E4" s="35"/>
      <c r="F4" s="35"/>
      <c r="G4" s="35"/>
    </row>
    <row r="5" spans="2:7" ht="10.050000000000001" customHeight="1" x14ac:dyDescent="0.3"/>
    <row r="6" spans="2:7" ht="22.05" customHeight="1" x14ac:dyDescent="0.3">
      <c r="B6" s="36" t="s">
        <v>78</v>
      </c>
      <c r="C6" s="33"/>
      <c r="D6" s="33"/>
      <c r="E6" s="33"/>
      <c r="F6" s="33"/>
      <c r="G6" s="33"/>
    </row>
    <row r="7" spans="2:7" ht="22.05" customHeight="1" x14ac:dyDescent="0.3">
      <c r="B7" s="37" t="s">
        <v>79</v>
      </c>
      <c r="C7" s="37" t="s">
        <v>80</v>
      </c>
      <c r="D7" s="37" t="s">
        <v>81</v>
      </c>
      <c r="E7" s="37" t="s">
        <v>82</v>
      </c>
      <c r="F7" s="37" t="s">
        <v>83</v>
      </c>
    </row>
    <row r="8" spans="2:7" ht="18" customHeight="1" x14ac:dyDescent="0.3">
      <c r="B8" s="38" t="s">
        <v>84</v>
      </c>
      <c r="C8" s="39">
        <v>5.2839999999999998E-2</v>
      </c>
      <c r="D8" s="40">
        <v>-1.3034E-2</v>
      </c>
      <c r="E8" s="41">
        <v>3.2410000000000001E-2</v>
      </c>
      <c r="F8" s="42" t="s">
        <v>85</v>
      </c>
    </row>
    <row r="9" spans="2:7" ht="18" customHeight="1" x14ac:dyDescent="0.3">
      <c r="B9" s="43" t="s">
        <v>86</v>
      </c>
      <c r="C9" s="44">
        <v>9.1299999999999997E-4</v>
      </c>
      <c r="D9" s="45">
        <v>2.0999999999999999E-3</v>
      </c>
      <c r="E9" s="46">
        <v>7.8600000000000002E-4</v>
      </c>
      <c r="F9" s="47" t="s">
        <v>87</v>
      </c>
    </row>
    <row r="10" spans="2:7" ht="18" customHeight="1" x14ac:dyDescent="0.3">
      <c r="B10" s="38" t="s">
        <v>88</v>
      </c>
      <c r="C10" s="41">
        <v>3.0214999999999999E-2</v>
      </c>
      <c r="D10" s="40">
        <v>4.5822000000000002E-2</v>
      </c>
      <c r="E10" s="39">
        <v>2.8032000000000001E-2</v>
      </c>
      <c r="F10" s="42" t="s">
        <v>89</v>
      </c>
    </row>
    <row r="11" spans="2:7" ht="18" customHeight="1" x14ac:dyDescent="0.3">
      <c r="B11" s="43" t="s">
        <v>66</v>
      </c>
      <c r="C11" s="48">
        <v>8.7034000000000002</v>
      </c>
      <c r="D11" s="49">
        <v>-11.991</v>
      </c>
      <c r="E11" s="50">
        <v>14.570499999999999</v>
      </c>
      <c r="F11" s="47" t="s">
        <v>90</v>
      </c>
    </row>
    <row r="12" spans="2:7" ht="10.050000000000001" customHeight="1" x14ac:dyDescent="0.3"/>
    <row r="13" spans="2:7" ht="22.05" customHeight="1" x14ac:dyDescent="0.3">
      <c r="B13" s="36" t="s">
        <v>91</v>
      </c>
      <c r="C13" s="33"/>
      <c r="D13" s="33"/>
      <c r="E13" s="33"/>
      <c r="F13" s="33"/>
      <c r="G13" s="33"/>
    </row>
    <row r="14" spans="2:7" ht="22.05" customHeight="1" x14ac:dyDescent="0.3">
      <c r="B14" s="37" t="s">
        <v>92</v>
      </c>
      <c r="C14" s="37" t="s">
        <v>93</v>
      </c>
      <c r="D14" s="37" t="s">
        <v>94</v>
      </c>
      <c r="E14" s="37" t="s">
        <v>95</v>
      </c>
      <c r="F14" s="37" t="s">
        <v>96</v>
      </c>
      <c r="G14" s="37" t="s">
        <v>97</v>
      </c>
    </row>
    <row r="15" spans="2:7" ht="16.95" customHeight="1" x14ac:dyDescent="0.3">
      <c r="B15" s="38" t="s">
        <v>3</v>
      </c>
      <c r="C15" s="51" t="s">
        <v>98</v>
      </c>
      <c r="D15" s="52">
        <v>0.36420000000000002</v>
      </c>
      <c r="E15" s="53" t="s">
        <v>99</v>
      </c>
      <c r="F15" s="52">
        <v>0.29980000000000001</v>
      </c>
      <c r="G15" s="54" t="s">
        <v>100</v>
      </c>
    </row>
    <row r="16" spans="2:7" ht="16.95" customHeight="1" x14ac:dyDescent="0.3">
      <c r="B16" s="43" t="s">
        <v>4</v>
      </c>
      <c r="C16" s="55" t="s">
        <v>98</v>
      </c>
      <c r="D16" s="56">
        <v>-0.16980000000000001</v>
      </c>
      <c r="E16" s="57" t="s">
        <v>99</v>
      </c>
      <c r="F16" s="56">
        <v>-0.15229999999999999</v>
      </c>
      <c r="G16" s="58" t="s">
        <v>101</v>
      </c>
    </row>
    <row r="17" spans="2:7" ht="16.95" customHeight="1" x14ac:dyDescent="0.3">
      <c r="B17" s="38" t="s">
        <v>5</v>
      </c>
      <c r="C17" s="51" t="s">
        <v>98</v>
      </c>
      <c r="D17" s="52">
        <v>0.78280000000000005</v>
      </c>
      <c r="E17" s="53" t="s">
        <v>99</v>
      </c>
      <c r="F17" s="52">
        <v>0.68230000000000002</v>
      </c>
      <c r="G17" s="54" t="s">
        <v>100</v>
      </c>
    </row>
    <row r="18" spans="2:7" ht="16.95" customHeight="1" x14ac:dyDescent="0.3">
      <c r="B18" s="43" t="s">
        <v>6</v>
      </c>
      <c r="C18" s="55" t="s">
        <v>98</v>
      </c>
      <c r="D18" s="52">
        <v>6.1199999999999997E-2</v>
      </c>
      <c r="E18" s="57" t="s">
        <v>99</v>
      </c>
      <c r="F18" s="52">
        <v>7.8299999999999995E-2</v>
      </c>
      <c r="G18" s="59" t="s">
        <v>100</v>
      </c>
    </row>
    <row r="19" spans="2:7" ht="16.95" customHeight="1" x14ac:dyDescent="0.3">
      <c r="B19" s="38" t="s">
        <v>7</v>
      </c>
      <c r="C19" s="51" t="s">
        <v>98</v>
      </c>
      <c r="D19" s="56">
        <v>-4.4200000000000003E-2</v>
      </c>
      <c r="E19" s="53" t="s">
        <v>99</v>
      </c>
      <c r="F19" s="56">
        <v>-8.8000000000000005E-3</v>
      </c>
      <c r="G19" s="60" t="s">
        <v>101</v>
      </c>
    </row>
    <row r="20" spans="2:7" ht="16.95" customHeight="1" x14ac:dyDescent="0.3">
      <c r="B20" s="43" t="s">
        <v>8</v>
      </c>
      <c r="C20" s="55" t="s">
        <v>98</v>
      </c>
      <c r="D20" s="52">
        <v>5.0200000000000002E-2</v>
      </c>
      <c r="E20" s="57" t="s">
        <v>99</v>
      </c>
      <c r="F20" s="52">
        <v>1.9900000000000001E-2</v>
      </c>
      <c r="G20" s="59" t="s">
        <v>100</v>
      </c>
    </row>
    <row r="21" spans="2:7" ht="16.95" customHeight="1" x14ac:dyDescent="0.3">
      <c r="B21" s="38" t="s">
        <v>9</v>
      </c>
      <c r="C21" s="51" t="s">
        <v>98</v>
      </c>
      <c r="D21" s="56">
        <v>-4.4400000000000002E-2</v>
      </c>
      <c r="E21" s="53" t="s">
        <v>99</v>
      </c>
      <c r="F21" s="56">
        <v>-3.0700000000000002E-2</v>
      </c>
      <c r="G21" s="60" t="s">
        <v>101</v>
      </c>
    </row>
    <row r="22" spans="2:7" ht="16.95" customHeight="1" x14ac:dyDescent="0.3">
      <c r="B22" s="43" t="s">
        <v>24</v>
      </c>
      <c r="C22" s="61" t="s">
        <v>102</v>
      </c>
      <c r="D22" s="57" t="s">
        <v>99</v>
      </c>
      <c r="E22" s="52">
        <v>0.11550000000000001</v>
      </c>
      <c r="F22" s="52">
        <v>4.3099999999999999E-2</v>
      </c>
      <c r="G22" s="59" t="s">
        <v>100</v>
      </c>
    </row>
    <row r="23" spans="2:7" ht="16.95" customHeight="1" x14ac:dyDescent="0.3">
      <c r="B23" s="38" t="s">
        <v>25</v>
      </c>
      <c r="C23" s="62" t="s">
        <v>102</v>
      </c>
      <c r="D23" s="53" t="s">
        <v>99</v>
      </c>
      <c r="E23" s="52">
        <v>0.17100000000000001</v>
      </c>
      <c r="F23" s="56">
        <v>-5.4699999999999999E-2</v>
      </c>
      <c r="G23" s="60" t="s">
        <v>101</v>
      </c>
    </row>
    <row r="24" spans="2:7" ht="16.95" customHeight="1" x14ac:dyDescent="0.3">
      <c r="B24" s="43" t="s">
        <v>26</v>
      </c>
      <c r="C24" s="61" t="s">
        <v>102</v>
      </c>
      <c r="D24" s="57" t="s">
        <v>99</v>
      </c>
      <c r="E24" s="56">
        <v>-9.7799999999999998E-2</v>
      </c>
      <c r="F24" s="56">
        <v>-6.1600000000000002E-2</v>
      </c>
      <c r="G24" s="58" t="s">
        <v>101</v>
      </c>
    </row>
    <row r="25" spans="2:7" ht="16.95" customHeight="1" x14ac:dyDescent="0.3">
      <c r="B25" s="38" t="s">
        <v>27</v>
      </c>
      <c r="C25" s="62" t="s">
        <v>102</v>
      </c>
      <c r="D25" s="53" t="s">
        <v>99</v>
      </c>
      <c r="E25" s="52">
        <v>0.34499999999999997</v>
      </c>
      <c r="F25" s="52">
        <v>0.13569999999999999</v>
      </c>
      <c r="G25" s="54" t="s">
        <v>100</v>
      </c>
    </row>
    <row r="26" spans="2:7" ht="16.95" customHeight="1" x14ac:dyDescent="0.3">
      <c r="B26" s="43" t="s">
        <v>28</v>
      </c>
      <c r="C26" s="61" t="s">
        <v>102</v>
      </c>
      <c r="D26" s="57" t="s">
        <v>99</v>
      </c>
      <c r="E26" s="52">
        <v>1.67E-2</v>
      </c>
      <c r="F26" s="52">
        <v>8.8000000000000005E-3</v>
      </c>
      <c r="G26" s="59" t="s">
        <v>100</v>
      </c>
    </row>
    <row r="27" spans="2:7" ht="16.95" customHeight="1" x14ac:dyDescent="0.3">
      <c r="B27" s="38" t="s">
        <v>29</v>
      </c>
      <c r="C27" s="62" t="s">
        <v>102</v>
      </c>
      <c r="D27" s="53" t="s">
        <v>99</v>
      </c>
      <c r="E27" s="56">
        <v>-9.6299999999999997E-2</v>
      </c>
      <c r="F27" s="56">
        <v>-6.6799999999999998E-2</v>
      </c>
      <c r="G27" s="60" t="s">
        <v>101</v>
      </c>
    </row>
    <row r="28" spans="2:7" ht="16.95" customHeight="1" x14ac:dyDescent="0.3">
      <c r="B28" s="43" t="s">
        <v>30</v>
      </c>
      <c r="C28" s="61" t="s">
        <v>102</v>
      </c>
      <c r="D28" s="57" t="s">
        <v>99</v>
      </c>
      <c r="E28" s="52">
        <v>0.54610000000000003</v>
      </c>
      <c r="F28" s="52">
        <v>0.1069</v>
      </c>
      <c r="G28" s="59" t="s">
        <v>100</v>
      </c>
    </row>
    <row r="29" spans="2:7" ht="10.050000000000001" customHeight="1" x14ac:dyDescent="0.3"/>
    <row r="30" spans="2:7" ht="22.05" customHeight="1" x14ac:dyDescent="0.3">
      <c r="B30" s="36" t="s">
        <v>103</v>
      </c>
      <c r="C30" s="33"/>
      <c r="D30" s="33"/>
      <c r="E30" s="33"/>
      <c r="F30" s="33"/>
      <c r="G30" s="33"/>
    </row>
    <row r="31" spans="2:7" ht="18" customHeight="1" x14ac:dyDescent="0.3">
      <c r="B31" s="63" t="s">
        <v>104</v>
      </c>
      <c r="C31" s="64" t="s">
        <v>105</v>
      </c>
      <c r="D31" s="33"/>
      <c r="E31" s="33"/>
      <c r="F31" s="33"/>
      <c r="G31" s="33"/>
    </row>
    <row r="32" spans="2:7" ht="18" customHeight="1" x14ac:dyDescent="0.3">
      <c r="B32" s="63" t="s">
        <v>12</v>
      </c>
      <c r="C32" s="65" t="s">
        <v>106</v>
      </c>
      <c r="D32" s="33"/>
      <c r="E32" s="33"/>
      <c r="F32" s="33"/>
      <c r="G32" s="33"/>
    </row>
    <row r="33" spans="2:7" ht="18" customHeight="1" x14ac:dyDescent="0.3">
      <c r="B33" s="63" t="s">
        <v>107</v>
      </c>
      <c r="C33" s="64" t="s">
        <v>108</v>
      </c>
      <c r="D33" s="33"/>
      <c r="E33" s="33"/>
      <c r="F33" s="33"/>
      <c r="G33" s="33"/>
    </row>
    <row r="34" spans="2:7" ht="18" customHeight="1" x14ac:dyDescent="0.3">
      <c r="B34" s="63" t="s">
        <v>13</v>
      </c>
      <c r="C34" s="65" t="s">
        <v>109</v>
      </c>
      <c r="D34" s="33"/>
      <c r="E34" s="33"/>
      <c r="F34" s="33"/>
      <c r="G34" s="33"/>
    </row>
    <row r="35" spans="2:7" ht="18" customHeight="1" x14ac:dyDescent="0.3">
      <c r="B35" s="63" t="s">
        <v>110</v>
      </c>
      <c r="C35" s="64" t="s">
        <v>111</v>
      </c>
      <c r="D35" s="33"/>
      <c r="E35" s="33"/>
      <c r="F35" s="33"/>
      <c r="G35" s="33"/>
    </row>
    <row r="36" spans="2:7" ht="18" customHeight="1" x14ac:dyDescent="0.3">
      <c r="B36" s="63" t="s">
        <v>112</v>
      </c>
      <c r="C36" s="65" t="s">
        <v>113</v>
      </c>
      <c r="D36" s="33"/>
      <c r="E36" s="33"/>
      <c r="F36" s="33"/>
      <c r="G36" s="33"/>
    </row>
    <row r="37" spans="2:7" ht="18" customHeight="1" x14ac:dyDescent="0.3">
      <c r="B37" s="63" t="s">
        <v>114</v>
      </c>
      <c r="C37" s="64" t="s">
        <v>115</v>
      </c>
      <c r="D37" s="33"/>
      <c r="E37" s="33"/>
      <c r="F37" s="33"/>
      <c r="G37" s="33"/>
    </row>
    <row r="38" spans="2:7" ht="18" customHeight="1" x14ac:dyDescent="0.3">
      <c r="B38" s="63" t="s">
        <v>116</v>
      </c>
      <c r="C38" s="65" t="s">
        <v>137</v>
      </c>
      <c r="D38" s="33"/>
      <c r="E38" s="33"/>
      <c r="F38" s="33"/>
      <c r="G38" s="33"/>
    </row>
    <row r="39" spans="2:7" ht="18" customHeight="1" x14ac:dyDescent="0.3">
      <c r="B39" s="63" t="s">
        <v>117</v>
      </c>
      <c r="C39" s="64" t="s">
        <v>118</v>
      </c>
      <c r="D39" s="33"/>
      <c r="E39" s="33"/>
      <c r="F39" s="33"/>
      <c r="G39" s="33"/>
    </row>
    <row r="40" spans="2:7" ht="18" customHeight="1" x14ac:dyDescent="0.3">
      <c r="B40" s="63" t="s">
        <v>119</v>
      </c>
      <c r="C40" s="65" t="s">
        <v>120</v>
      </c>
      <c r="D40" s="33"/>
      <c r="E40" s="33"/>
      <c r="F40" s="33"/>
      <c r="G40" s="33"/>
    </row>
    <row r="41" spans="2:7" ht="10.050000000000001" customHeight="1" x14ac:dyDescent="0.3"/>
    <row r="42" spans="2:7" ht="22.05" customHeight="1" x14ac:dyDescent="0.3">
      <c r="B42" s="36" t="s">
        <v>121</v>
      </c>
      <c r="C42" s="33"/>
      <c r="D42" s="33"/>
      <c r="E42" s="33"/>
      <c r="F42" s="33"/>
      <c r="G42" s="33"/>
    </row>
    <row r="43" spans="2:7" ht="22.05" customHeight="1" x14ac:dyDescent="0.3">
      <c r="B43" s="66" t="s">
        <v>122</v>
      </c>
      <c r="C43" s="64" t="s">
        <v>123</v>
      </c>
      <c r="D43" s="33"/>
      <c r="E43" s="33"/>
      <c r="F43" s="33"/>
      <c r="G43" s="33"/>
    </row>
    <row r="44" spans="2:7" ht="22.05" customHeight="1" x14ac:dyDescent="0.3">
      <c r="B44" s="66" t="s">
        <v>124</v>
      </c>
      <c r="C44" s="65" t="s">
        <v>125</v>
      </c>
      <c r="D44" s="33"/>
      <c r="E44" s="33"/>
      <c r="F44" s="33"/>
      <c r="G44" s="33"/>
    </row>
    <row r="45" spans="2:7" ht="22.05" customHeight="1" x14ac:dyDescent="0.3">
      <c r="B45" s="66" t="s">
        <v>126</v>
      </c>
      <c r="C45" s="64" t="s">
        <v>127</v>
      </c>
      <c r="D45" s="33"/>
      <c r="E45" s="33"/>
      <c r="F45" s="33"/>
      <c r="G45" s="33"/>
    </row>
    <row r="46" spans="2:7" ht="22.05" customHeight="1" x14ac:dyDescent="0.3">
      <c r="B46" s="66" t="s">
        <v>128</v>
      </c>
      <c r="C46" s="65" t="s">
        <v>129</v>
      </c>
      <c r="D46" s="33"/>
      <c r="E46" s="33"/>
      <c r="F46" s="33"/>
      <c r="G46" s="33"/>
    </row>
    <row r="47" spans="2:7" ht="22.05" customHeight="1" x14ac:dyDescent="0.3">
      <c r="B47" s="66" t="s">
        <v>130</v>
      </c>
      <c r="C47" s="64" t="s">
        <v>131</v>
      </c>
      <c r="D47" s="33"/>
      <c r="E47" s="33"/>
      <c r="F47" s="33"/>
      <c r="G47" s="33"/>
    </row>
    <row r="48" spans="2:7" ht="22.05" customHeight="1" x14ac:dyDescent="0.3">
      <c r="B48" s="66" t="s">
        <v>132</v>
      </c>
      <c r="C48" s="65" t="s">
        <v>133</v>
      </c>
      <c r="D48" s="33"/>
      <c r="E48" s="33"/>
      <c r="F48" s="33"/>
      <c r="G48" s="33"/>
    </row>
    <row r="49" spans="2:7" ht="22.05" customHeight="1" x14ac:dyDescent="0.3">
      <c r="B49" s="66" t="s">
        <v>134</v>
      </c>
      <c r="C49" s="64" t="s">
        <v>135</v>
      </c>
      <c r="D49" s="33"/>
      <c r="E49" s="33"/>
      <c r="F49" s="33"/>
      <c r="G49" s="33"/>
    </row>
    <row r="52" spans="2:7" ht="19.95" customHeight="1" x14ac:dyDescent="0.3">
      <c r="B52" s="34" t="s">
        <v>136</v>
      </c>
      <c r="C52" s="33"/>
      <c r="D52" s="33"/>
      <c r="E52" s="33"/>
      <c r="F52" s="33"/>
      <c r="G52" s="33"/>
    </row>
  </sheetData>
  <mergeCells count="24">
    <mergeCell ref="C45:G45"/>
    <mergeCell ref="C46:G46"/>
    <mergeCell ref="C47:G47"/>
    <mergeCell ref="C48:G48"/>
    <mergeCell ref="C49:G49"/>
    <mergeCell ref="B52:G52"/>
    <mergeCell ref="C38:G38"/>
    <mergeCell ref="C39:G39"/>
    <mergeCell ref="C40:G40"/>
    <mergeCell ref="B42:G42"/>
    <mergeCell ref="C43:G43"/>
    <mergeCell ref="C44:G44"/>
    <mergeCell ref="C32:G32"/>
    <mergeCell ref="C33:G33"/>
    <mergeCell ref="C34:G34"/>
    <mergeCell ref="C35:G35"/>
    <mergeCell ref="C36:G36"/>
    <mergeCell ref="C37:G37"/>
    <mergeCell ref="B2:G2"/>
    <mergeCell ref="B3:G3"/>
    <mergeCell ref="B6:G6"/>
    <mergeCell ref="B13:G13"/>
    <mergeCell ref="B30:G30"/>
    <mergeCell ref="C31:G3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DBFB8-4C8F-4265-B2FF-B2F6FCF12E39}">
  <sheetPr codeName="Sheet1"/>
  <dimension ref="A1:Y247"/>
  <sheetViews>
    <sheetView zoomScale="87" workbookViewId="0">
      <selection activeCell="B4" sqref="B4"/>
    </sheetView>
  </sheetViews>
  <sheetFormatPr defaultRowHeight="14.4" x14ac:dyDescent="0.3"/>
  <cols>
    <col min="1" max="1" width="10.5546875" bestFit="1" customWidth="1"/>
    <col min="2" max="2" width="10.88671875" customWidth="1"/>
    <col min="5" max="5" width="13" customWidth="1"/>
    <col min="6" max="6" width="12.44140625" customWidth="1"/>
    <col min="18" max="18" width="10.109375" customWidth="1"/>
  </cols>
  <sheetData>
    <row r="1" spans="1:25" s="2" customFormat="1" x14ac:dyDescent="0.3">
      <c r="A1" s="23" t="s">
        <v>67</v>
      </c>
      <c r="B1" s="23"/>
      <c r="C1" s="23"/>
      <c r="D1" s="23"/>
      <c r="E1" s="23"/>
      <c r="F1" s="23"/>
      <c r="G1" s="23"/>
      <c r="H1" s="23"/>
      <c r="I1" s="23"/>
      <c r="J1" s="23"/>
      <c r="K1" s="23"/>
      <c r="L1" s="23"/>
      <c r="M1" s="23"/>
      <c r="N1" s="23"/>
      <c r="O1" s="23"/>
      <c r="P1" s="23"/>
      <c r="Q1" s="23"/>
      <c r="R1" s="23"/>
      <c r="S1" s="23"/>
      <c r="T1" s="23"/>
      <c r="U1" s="23"/>
      <c r="V1" s="23"/>
      <c r="W1" s="23"/>
      <c r="X1" s="23"/>
      <c r="Y1" s="23"/>
    </row>
    <row r="2" spans="1:25" x14ac:dyDescent="0.3">
      <c r="A2" s="25" t="s">
        <v>0</v>
      </c>
      <c r="B2" s="25"/>
      <c r="C2" s="25"/>
      <c r="D2" s="25"/>
      <c r="E2" s="25"/>
      <c r="F2" s="25"/>
      <c r="G2" s="25"/>
      <c r="H2" s="25"/>
      <c r="J2" s="24"/>
      <c r="K2" s="24"/>
      <c r="L2" s="24"/>
      <c r="M2" s="24"/>
      <c r="N2" s="24"/>
      <c r="O2" s="24"/>
      <c r="P2" s="24"/>
      <c r="R2" s="24"/>
      <c r="S2" s="24"/>
      <c r="T2" s="24"/>
      <c r="U2" s="24"/>
      <c r="V2" s="24"/>
      <c r="W2" s="24"/>
      <c r="X2" s="24"/>
    </row>
    <row r="3" spans="1:25" x14ac:dyDescent="0.3">
      <c r="A3" s="17" t="s">
        <v>2</v>
      </c>
      <c r="B3" s="17" t="s">
        <v>3</v>
      </c>
      <c r="C3" s="17" t="s">
        <v>4</v>
      </c>
      <c r="D3" s="17" t="s">
        <v>5</v>
      </c>
      <c r="E3" s="17" t="s">
        <v>6</v>
      </c>
      <c r="F3" s="17" t="s">
        <v>7</v>
      </c>
      <c r="G3" s="17" t="s">
        <v>8</v>
      </c>
      <c r="H3" s="17" t="s">
        <v>9</v>
      </c>
      <c r="J3" s="2"/>
      <c r="K3" s="2"/>
      <c r="L3" s="2"/>
      <c r="M3" s="2"/>
      <c r="N3" s="2"/>
      <c r="O3" s="2"/>
      <c r="P3" s="2"/>
      <c r="R3" s="2"/>
      <c r="S3" s="2"/>
      <c r="T3" s="2"/>
      <c r="U3" s="2"/>
      <c r="V3" s="2"/>
      <c r="W3" s="2"/>
      <c r="X3" s="2"/>
    </row>
    <row r="4" spans="1:25" x14ac:dyDescent="0.3">
      <c r="A4" s="1">
        <v>44570</v>
      </c>
      <c r="B4">
        <v>173.07</v>
      </c>
      <c r="C4">
        <v>26.94</v>
      </c>
      <c r="D4">
        <v>310.2</v>
      </c>
      <c r="E4">
        <v>139.47999999999999</v>
      </c>
      <c r="F4">
        <v>349.87</v>
      </c>
      <c r="G4">
        <v>162.13999999999999</v>
      </c>
      <c r="H4">
        <v>331.9</v>
      </c>
    </row>
    <row r="5" spans="1:25" x14ac:dyDescent="0.3">
      <c r="A5" s="1">
        <v>44577</v>
      </c>
      <c r="B5">
        <v>162.41</v>
      </c>
      <c r="C5">
        <v>23.37</v>
      </c>
      <c r="D5">
        <v>296.02999999999997</v>
      </c>
      <c r="E5">
        <v>130.35</v>
      </c>
      <c r="F5">
        <v>314.63</v>
      </c>
      <c r="G5">
        <v>142.63999999999999</v>
      </c>
      <c r="H5">
        <v>303.17</v>
      </c>
    </row>
    <row r="6" spans="1:25" x14ac:dyDescent="0.3">
      <c r="A6" s="1">
        <v>44584</v>
      </c>
      <c r="B6">
        <v>170.33</v>
      </c>
      <c r="C6">
        <v>22.84</v>
      </c>
      <c r="D6">
        <v>308.26</v>
      </c>
      <c r="E6">
        <v>133.35</v>
      </c>
      <c r="F6">
        <v>282.12</v>
      </c>
      <c r="G6">
        <v>143.97999999999999</v>
      </c>
      <c r="H6">
        <v>301.70999999999998</v>
      </c>
    </row>
    <row r="7" spans="1:25" x14ac:dyDescent="0.3">
      <c r="A7" s="1">
        <v>44591</v>
      </c>
      <c r="B7">
        <v>172.39</v>
      </c>
      <c r="C7">
        <v>24.32</v>
      </c>
      <c r="D7">
        <v>305.94</v>
      </c>
      <c r="E7">
        <v>143.29</v>
      </c>
      <c r="F7">
        <v>307.77</v>
      </c>
      <c r="G7">
        <v>157.63999999999999</v>
      </c>
      <c r="H7">
        <v>237.09</v>
      </c>
    </row>
    <row r="8" spans="1:25" x14ac:dyDescent="0.3">
      <c r="A8" s="1">
        <v>44598</v>
      </c>
      <c r="B8">
        <v>168.64</v>
      </c>
      <c r="C8">
        <v>23.95</v>
      </c>
      <c r="D8">
        <v>295.04000000000002</v>
      </c>
      <c r="E8">
        <v>134.28</v>
      </c>
      <c r="F8">
        <v>286.67</v>
      </c>
      <c r="G8">
        <v>153.29</v>
      </c>
      <c r="H8">
        <v>219.55</v>
      </c>
    </row>
    <row r="9" spans="1:25" x14ac:dyDescent="0.3">
      <c r="A9" s="1">
        <v>44605</v>
      </c>
      <c r="B9">
        <v>167.3</v>
      </c>
      <c r="C9">
        <v>23.64</v>
      </c>
      <c r="D9">
        <v>287.93</v>
      </c>
      <c r="E9">
        <v>130.4</v>
      </c>
      <c r="F9">
        <v>285.66000000000003</v>
      </c>
      <c r="G9">
        <v>152.6</v>
      </c>
      <c r="H9">
        <v>206.16</v>
      </c>
    </row>
    <row r="10" spans="1:25" x14ac:dyDescent="0.3">
      <c r="A10" s="1">
        <v>44612</v>
      </c>
      <c r="B10">
        <v>164.85</v>
      </c>
      <c r="C10">
        <v>24.16</v>
      </c>
      <c r="D10">
        <v>297.31</v>
      </c>
      <c r="E10">
        <v>134.46</v>
      </c>
      <c r="F10">
        <v>269.95999999999998</v>
      </c>
      <c r="G10">
        <v>153.79</v>
      </c>
      <c r="H10">
        <v>210.48</v>
      </c>
    </row>
    <row r="11" spans="1:25" x14ac:dyDescent="0.3">
      <c r="A11" s="1">
        <v>44619</v>
      </c>
      <c r="B11">
        <v>163.16999999999999</v>
      </c>
      <c r="C11">
        <v>22.94</v>
      </c>
      <c r="D11">
        <v>289.86</v>
      </c>
      <c r="E11">
        <v>131.91</v>
      </c>
      <c r="F11">
        <v>279.43</v>
      </c>
      <c r="G11">
        <v>145.63999999999999</v>
      </c>
      <c r="H11">
        <v>200.06</v>
      </c>
    </row>
    <row r="12" spans="1:25" x14ac:dyDescent="0.3">
      <c r="A12" s="1">
        <v>44626</v>
      </c>
      <c r="B12">
        <v>154.72999999999999</v>
      </c>
      <c r="C12">
        <v>22.1</v>
      </c>
      <c r="D12">
        <v>280.07</v>
      </c>
      <c r="E12">
        <v>129.87</v>
      </c>
      <c r="F12">
        <v>265.12</v>
      </c>
      <c r="G12">
        <v>145.52000000000001</v>
      </c>
      <c r="H12">
        <v>187.61</v>
      </c>
    </row>
    <row r="13" spans="1:25" x14ac:dyDescent="0.3">
      <c r="A13" s="1">
        <v>44633</v>
      </c>
      <c r="B13">
        <v>163.98</v>
      </c>
      <c r="C13">
        <v>26.45</v>
      </c>
      <c r="D13">
        <v>300.43</v>
      </c>
      <c r="E13">
        <v>136.13</v>
      </c>
      <c r="F13">
        <v>301.8</v>
      </c>
      <c r="G13">
        <v>161.25</v>
      </c>
      <c r="H13">
        <v>216.49</v>
      </c>
    </row>
    <row r="14" spans="1:25" x14ac:dyDescent="0.3">
      <c r="A14" s="1">
        <v>44640</v>
      </c>
      <c r="B14">
        <v>174.72</v>
      </c>
      <c r="C14">
        <v>27.69</v>
      </c>
      <c r="D14">
        <v>303.68</v>
      </c>
      <c r="E14">
        <v>141.66999999999999</v>
      </c>
      <c r="F14">
        <v>336.88</v>
      </c>
      <c r="G14">
        <v>164.77</v>
      </c>
      <c r="H14">
        <v>221.82</v>
      </c>
    </row>
    <row r="15" spans="1:25" x14ac:dyDescent="0.3">
      <c r="A15" s="1">
        <v>44647</v>
      </c>
      <c r="B15">
        <v>174.31</v>
      </c>
      <c r="C15">
        <v>26.71</v>
      </c>
      <c r="D15">
        <v>309.42</v>
      </c>
      <c r="E15">
        <v>140.15</v>
      </c>
      <c r="F15">
        <v>361.53</v>
      </c>
      <c r="G15">
        <v>163.56</v>
      </c>
      <c r="H15">
        <v>224.85</v>
      </c>
    </row>
    <row r="16" spans="1:25" x14ac:dyDescent="0.3">
      <c r="A16" s="1">
        <v>44654</v>
      </c>
      <c r="B16">
        <v>170.09</v>
      </c>
      <c r="C16">
        <v>23.12</v>
      </c>
      <c r="D16">
        <v>296.97000000000003</v>
      </c>
      <c r="E16">
        <v>133.29</v>
      </c>
      <c r="F16">
        <v>341.83</v>
      </c>
      <c r="G16">
        <v>154.46</v>
      </c>
      <c r="H16">
        <v>222.33</v>
      </c>
    </row>
    <row r="17" spans="1:8" x14ac:dyDescent="0.3">
      <c r="A17" s="1">
        <v>44661</v>
      </c>
      <c r="B17">
        <v>165.29</v>
      </c>
      <c r="C17">
        <v>21.26</v>
      </c>
      <c r="D17">
        <v>279.83</v>
      </c>
      <c r="E17">
        <v>126.73</v>
      </c>
      <c r="F17">
        <v>328.33</v>
      </c>
      <c r="G17">
        <v>151.71</v>
      </c>
      <c r="H17">
        <v>210.18</v>
      </c>
    </row>
    <row r="18" spans="1:8" x14ac:dyDescent="0.3">
      <c r="A18" s="1">
        <v>44668</v>
      </c>
      <c r="B18">
        <v>161.79</v>
      </c>
      <c r="C18">
        <v>19.510000000000002</v>
      </c>
      <c r="D18">
        <v>274.02999999999997</v>
      </c>
      <c r="E18">
        <v>119.64</v>
      </c>
      <c r="F18">
        <v>335.02</v>
      </c>
      <c r="G18">
        <v>144.35</v>
      </c>
      <c r="H18">
        <v>184.11</v>
      </c>
    </row>
    <row r="19" spans="1:8" x14ac:dyDescent="0.3">
      <c r="A19" s="1">
        <v>44675</v>
      </c>
      <c r="B19">
        <v>157.65</v>
      </c>
      <c r="C19">
        <v>18.55</v>
      </c>
      <c r="D19">
        <v>277.52</v>
      </c>
      <c r="E19">
        <v>114.11</v>
      </c>
      <c r="F19">
        <v>290.25</v>
      </c>
      <c r="G19">
        <v>124.28</v>
      </c>
      <c r="H19">
        <v>200.47</v>
      </c>
    </row>
    <row r="20" spans="1:8" x14ac:dyDescent="0.3">
      <c r="A20" s="1">
        <v>44682</v>
      </c>
      <c r="B20">
        <v>157.28</v>
      </c>
      <c r="C20">
        <v>18.670000000000002</v>
      </c>
      <c r="D20">
        <v>274.73</v>
      </c>
      <c r="E20">
        <v>115.75</v>
      </c>
      <c r="F20">
        <v>288.55</v>
      </c>
      <c r="G20">
        <v>114.77</v>
      </c>
      <c r="H20">
        <v>203.77</v>
      </c>
    </row>
    <row r="21" spans="1:8" x14ac:dyDescent="0.3">
      <c r="A21" s="1">
        <v>44689</v>
      </c>
      <c r="B21">
        <v>147.11000000000001</v>
      </c>
      <c r="C21">
        <v>17.71</v>
      </c>
      <c r="D21">
        <v>261.12</v>
      </c>
      <c r="E21">
        <v>116.05</v>
      </c>
      <c r="F21">
        <v>256.52999999999997</v>
      </c>
      <c r="G21">
        <v>113.06</v>
      </c>
      <c r="H21">
        <v>198.62</v>
      </c>
    </row>
    <row r="22" spans="1:8" x14ac:dyDescent="0.3">
      <c r="A22" s="1">
        <v>44696</v>
      </c>
      <c r="B22">
        <v>137.59</v>
      </c>
      <c r="C22">
        <v>16.690000000000001</v>
      </c>
      <c r="D22">
        <v>252.56</v>
      </c>
      <c r="E22">
        <v>108.91</v>
      </c>
      <c r="F22">
        <v>221.3</v>
      </c>
      <c r="G22">
        <v>107.59</v>
      </c>
      <c r="H22">
        <v>193.54</v>
      </c>
    </row>
    <row r="23" spans="1:8" x14ac:dyDescent="0.3">
      <c r="A23" s="1">
        <v>44703</v>
      </c>
      <c r="B23">
        <v>149.63999999999999</v>
      </c>
      <c r="C23">
        <v>18.809999999999999</v>
      </c>
      <c r="D23">
        <v>273.24</v>
      </c>
      <c r="E23">
        <v>112.32</v>
      </c>
      <c r="F23">
        <v>253.21</v>
      </c>
      <c r="G23">
        <v>115.15</v>
      </c>
      <c r="H23">
        <v>195.13</v>
      </c>
    </row>
    <row r="24" spans="1:8" x14ac:dyDescent="0.3">
      <c r="A24" s="1">
        <v>44710</v>
      </c>
      <c r="B24">
        <v>145.38</v>
      </c>
      <c r="C24">
        <v>18.72</v>
      </c>
      <c r="D24">
        <v>270.02</v>
      </c>
      <c r="E24">
        <v>114.54</v>
      </c>
      <c r="F24">
        <v>234.52</v>
      </c>
      <c r="G24">
        <v>122.35</v>
      </c>
      <c r="H24">
        <v>190.78</v>
      </c>
    </row>
    <row r="25" spans="1:8" x14ac:dyDescent="0.3">
      <c r="A25" s="1">
        <v>44717</v>
      </c>
      <c r="B25">
        <v>137.13</v>
      </c>
      <c r="C25">
        <v>16.97</v>
      </c>
      <c r="D25">
        <v>252.99</v>
      </c>
      <c r="E25">
        <v>111.16</v>
      </c>
      <c r="F25">
        <v>232.23</v>
      </c>
      <c r="G25">
        <v>109.65</v>
      </c>
      <c r="H25">
        <v>175.57</v>
      </c>
    </row>
    <row r="26" spans="1:8" x14ac:dyDescent="0.3">
      <c r="A26" s="1">
        <v>44724</v>
      </c>
      <c r="B26">
        <v>131.56</v>
      </c>
      <c r="C26">
        <v>15.88</v>
      </c>
      <c r="D26">
        <v>247.65</v>
      </c>
      <c r="E26">
        <v>107.14</v>
      </c>
      <c r="F26">
        <v>216.76</v>
      </c>
      <c r="G26">
        <v>106.22</v>
      </c>
      <c r="H26">
        <v>163.74</v>
      </c>
    </row>
    <row r="27" spans="1:8" x14ac:dyDescent="0.3">
      <c r="A27" s="1">
        <v>44731</v>
      </c>
      <c r="B27">
        <v>141.66</v>
      </c>
      <c r="C27">
        <v>17.13</v>
      </c>
      <c r="D27">
        <v>267.7</v>
      </c>
      <c r="E27">
        <v>117.97</v>
      </c>
      <c r="F27">
        <v>245.71</v>
      </c>
      <c r="G27">
        <v>116.46</v>
      </c>
      <c r="H27">
        <v>170.16</v>
      </c>
    </row>
    <row r="28" spans="1:8" x14ac:dyDescent="0.3">
      <c r="A28" s="1">
        <v>44738</v>
      </c>
      <c r="B28">
        <v>138.93</v>
      </c>
      <c r="C28">
        <v>14.52</v>
      </c>
      <c r="D28">
        <v>259.58</v>
      </c>
      <c r="E28">
        <v>108.74</v>
      </c>
      <c r="F28">
        <v>227.26</v>
      </c>
      <c r="G28">
        <v>109.56</v>
      </c>
      <c r="H28">
        <v>160.03</v>
      </c>
    </row>
    <row r="29" spans="1:8" x14ac:dyDescent="0.3">
      <c r="A29" s="1">
        <v>44745</v>
      </c>
      <c r="B29">
        <v>147.04</v>
      </c>
      <c r="C29">
        <v>15.84</v>
      </c>
      <c r="D29">
        <v>267.66000000000003</v>
      </c>
      <c r="E29">
        <v>119.35</v>
      </c>
      <c r="F29">
        <v>250.76</v>
      </c>
      <c r="G29">
        <v>115.54</v>
      </c>
      <c r="H29">
        <v>170.88</v>
      </c>
    </row>
    <row r="30" spans="1:8" x14ac:dyDescent="0.3">
      <c r="A30" s="1">
        <v>44752</v>
      </c>
      <c r="B30">
        <v>150.16999999999999</v>
      </c>
      <c r="C30">
        <v>15.76</v>
      </c>
      <c r="D30">
        <v>256.72000000000003</v>
      </c>
      <c r="E30">
        <v>111.78</v>
      </c>
      <c r="F30">
        <v>240.07</v>
      </c>
      <c r="G30">
        <v>113.55</v>
      </c>
      <c r="H30">
        <v>164.7</v>
      </c>
    </row>
    <row r="31" spans="1:8" x14ac:dyDescent="0.3">
      <c r="A31" s="1">
        <v>44759</v>
      </c>
      <c r="B31">
        <v>154.09</v>
      </c>
      <c r="C31">
        <v>17.32</v>
      </c>
      <c r="D31">
        <v>260.36</v>
      </c>
      <c r="E31">
        <v>107.9</v>
      </c>
      <c r="F31">
        <v>272.24</v>
      </c>
      <c r="G31">
        <v>122.42</v>
      </c>
      <c r="H31">
        <v>169.27</v>
      </c>
    </row>
    <row r="32" spans="1:8" x14ac:dyDescent="0.3">
      <c r="A32" s="1">
        <v>44766</v>
      </c>
      <c r="B32">
        <v>162.51</v>
      </c>
      <c r="C32">
        <v>18.16</v>
      </c>
      <c r="D32">
        <v>280.74</v>
      </c>
      <c r="E32">
        <v>116.32</v>
      </c>
      <c r="F32">
        <v>297.14999999999998</v>
      </c>
      <c r="G32">
        <v>134.94999999999999</v>
      </c>
      <c r="H32">
        <v>159.1</v>
      </c>
    </row>
    <row r="33" spans="1:8" x14ac:dyDescent="0.3">
      <c r="A33" s="1">
        <v>44773</v>
      </c>
      <c r="B33">
        <v>165.35</v>
      </c>
      <c r="C33">
        <v>18.989999999999998</v>
      </c>
      <c r="D33">
        <v>282.91000000000003</v>
      </c>
      <c r="E33">
        <v>117.47</v>
      </c>
      <c r="F33">
        <v>288.17</v>
      </c>
      <c r="G33">
        <v>140.80000000000001</v>
      </c>
      <c r="H33">
        <v>167.11</v>
      </c>
    </row>
    <row r="34" spans="1:8" x14ac:dyDescent="0.3">
      <c r="A34" s="1">
        <v>44780</v>
      </c>
      <c r="B34">
        <v>172.1</v>
      </c>
      <c r="C34">
        <v>18.71</v>
      </c>
      <c r="D34">
        <v>291.91000000000003</v>
      </c>
      <c r="E34">
        <v>121.68</v>
      </c>
      <c r="F34">
        <v>300.02999999999997</v>
      </c>
      <c r="G34">
        <v>143.55000000000001</v>
      </c>
      <c r="H34">
        <v>180.5</v>
      </c>
    </row>
    <row r="35" spans="1:8" x14ac:dyDescent="0.3">
      <c r="A35" s="1">
        <v>44787</v>
      </c>
      <c r="B35">
        <v>171.52</v>
      </c>
      <c r="C35">
        <v>17.850000000000001</v>
      </c>
      <c r="D35">
        <v>286.14999999999998</v>
      </c>
      <c r="E35">
        <v>117.21</v>
      </c>
      <c r="F35">
        <v>296.67</v>
      </c>
      <c r="G35">
        <v>138.22999999999999</v>
      </c>
      <c r="H35">
        <v>167.96</v>
      </c>
    </row>
    <row r="36" spans="1:8" x14ac:dyDescent="0.3">
      <c r="A36" s="1">
        <v>44794</v>
      </c>
      <c r="B36">
        <v>163.62</v>
      </c>
      <c r="C36">
        <v>16.260000000000002</v>
      </c>
      <c r="D36">
        <v>268.08999999999997</v>
      </c>
      <c r="E36">
        <v>110.34</v>
      </c>
      <c r="F36">
        <v>288.08999999999997</v>
      </c>
      <c r="G36">
        <v>130.75</v>
      </c>
      <c r="H36">
        <v>161.78</v>
      </c>
    </row>
    <row r="37" spans="1:8" x14ac:dyDescent="0.3">
      <c r="A37" s="1">
        <v>44801</v>
      </c>
      <c r="B37">
        <v>155.81</v>
      </c>
      <c r="C37">
        <v>13.65</v>
      </c>
      <c r="D37">
        <v>256.06</v>
      </c>
      <c r="E37">
        <v>107.85</v>
      </c>
      <c r="F37">
        <v>270.20999999999998</v>
      </c>
      <c r="G37">
        <v>127.51</v>
      </c>
      <c r="H37">
        <v>160.32</v>
      </c>
    </row>
    <row r="38" spans="1:8" x14ac:dyDescent="0.3">
      <c r="A38" s="1">
        <v>44808</v>
      </c>
      <c r="B38">
        <v>157.37</v>
      </c>
      <c r="C38">
        <v>14.39</v>
      </c>
      <c r="D38">
        <v>264.45999999999998</v>
      </c>
      <c r="E38">
        <v>110.65</v>
      </c>
      <c r="F38">
        <v>299.68</v>
      </c>
      <c r="G38">
        <v>133.27000000000001</v>
      </c>
      <c r="H38">
        <v>169.15</v>
      </c>
    </row>
    <row r="39" spans="1:8" x14ac:dyDescent="0.3">
      <c r="A39" s="1">
        <v>44815</v>
      </c>
      <c r="B39">
        <v>150.69999999999999</v>
      </c>
      <c r="C39">
        <v>13.2</v>
      </c>
      <c r="D39">
        <v>244.74</v>
      </c>
      <c r="E39">
        <v>102.8</v>
      </c>
      <c r="F39">
        <v>303.35000000000002</v>
      </c>
      <c r="G39">
        <v>123.53</v>
      </c>
      <c r="H39">
        <v>146.29</v>
      </c>
    </row>
    <row r="40" spans="1:8" x14ac:dyDescent="0.3">
      <c r="A40" s="1">
        <v>44822</v>
      </c>
      <c r="B40">
        <v>150.43</v>
      </c>
      <c r="C40">
        <v>12.52</v>
      </c>
      <c r="D40">
        <v>237.92</v>
      </c>
      <c r="E40">
        <v>98.74</v>
      </c>
      <c r="F40">
        <v>275.33</v>
      </c>
      <c r="G40">
        <v>113.78</v>
      </c>
      <c r="H40">
        <v>140.41</v>
      </c>
    </row>
    <row r="41" spans="1:8" x14ac:dyDescent="0.3">
      <c r="A41" s="1">
        <v>44829</v>
      </c>
      <c r="B41">
        <v>138.19999999999999</v>
      </c>
      <c r="C41">
        <v>12.14</v>
      </c>
      <c r="D41">
        <v>232.9</v>
      </c>
      <c r="E41">
        <v>95.65</v>
      </c>
      <c r="F41">
        <v>265.25</v>
      </c>
      <c r="G41">
        <v>113</v>
      </c>
      <c r="H41">
        <v>135.68</v>
      </c>
    </row>
    <row r="42" spans="1:8" x14ac:dyDescent="0.3">
      <c r="A42" s="1">
        <v>44836</v>
      </c>
      <c r="B42">
        <v>140.09</v>
      </c>
      <c r="C42">
        <v>12.08</v>
      </c>
      <c r="D42">
        <v>234.24</v>
      </c>
      <c r="E42">
        <v>98.68</v>
      </c>
      <c r="F42">
        <v>223.07</v>
      </c>
      <c r="G42">
        <v>114.56</v>
      </c>
      <c r="H42">
        <v>133.44999999999999</v>
      </c>
    </row>
    <row r="43" spans="1:8" x14ac:dyDescent="0.3">
      <c r="A43" s="1">
        <v>44843</v>
      </c>
      <c r="B43">
        <v>138.38</v>
      </c>
      <c r="C43">
        <v>11.23</v>
      </c>
      <c r="D43">
        <v>228.56</v>
      </c>
      <c r="E43">
        <v>96.56</v>
      </c>
      <c r="F43">
        <v>204.99</v>
      </c>
      <c r="G43">
        <v>106.9</v>
      </c>
      <c r="H43">
        <v>126.76</v>
      </c>
    </row>
    <row r="44" spans="1:8" x14ac:dyDescent="0.3">
      <c r="A44" s="1">
        <v>44850</v>
      </c>
      <c r="B44">
        <v>147.27000000000001</v>
      </c>
      <c r="C44">
        <v>12.47</v>
      </c>
      <c r="D44">
        <v>242.12</v>
      </c>
      <c r="E44">
        <v>101.13</v>
      </c>
      <c r="F44">
        <v>214.44</v>
      </c>
      <c r="G44">
        <v>119.32</v>
      </c>
      <c r="H44">
        <v>130.01</v>
      </c>
    </row>
    <row r="45" spans="1:8" x14ac:dyDescent="0.3">
      <c r="A45" s="1">
        <v>44857</v>
      </c>
      <c r="B45">
        <v>155.74</v>
      </c>
      <c r="C45">
        <v>13.83</v>
      </c>
      <c r="D45">
        <v>235.87</v>
      </c>
      <c r="E45">
        <v>96.29</v>
      </c>
      <c r="F45">
        <v>228.52</v>
      </c>
      <c r="G45">
        <v>103.41</v>
      </c>
      <c r="H45">
        <v>99.2</v>
      </c>
    </row>
    <row r="46" spans="1:8" x14ac:dyDescent="0.3">
      <c r="A46" s="1">
        <v>44864</v>
      </c>
      <c r="B46">
        <v>138.38</v>
      </c>
      <c r="C46">
        <v>14.16</v>
      </c>
      <c r="D46">
        <v>221.39</v>
      </c>
      <c r="E46">
        <v>86.58</v>
      </c>
      <c r="F46">
        <v>207.47</v>
      </c>
      <c r="G46">
        <v>90.98</v>
      </c>
      <c r="H46">
        <v>90.79</v>
      </c>
    </row>
    <row r="47" spans="1:8" x14ac:dyDescent="0.3">
      <c r="A47" s="1">
        <v>44871</v>
      </c>
      <c r="B47">
        <v>149.69999999999999</v>
      </c>
      <c r="C47">
        <v>16.329999999999998</v>
      </c>
      <c r="D47">
        <v>247.11</v>
      </c>
      <c r="E47">
        <v>96.41</v>
      </c>
      <c r="F47">
        <v>195.97</v>
      </c>
      <c r="G47">
        <v>100.79</v>
      </c>
      <c r="H47">
        <v>113.02</v>
      </c>
    </row>
    <row r="48" spans="1:8" x14ac:dyDescent="0.3">
      <c r="A48" s="1">
        <v>44878</v>
      </c>
      <c r="B48">
        <v>151.29</v>
      </c>
      <c r="C48">
        <v>15.41</v>
      </c>
      <c r="D48">
        <v>241.22</v>
      </c>
      <c r="E48">
        <v>97.43</v>
      </c>
      <c r="F48">
        <v>180.19</v>
      </c>
      <c r="G48">
        <v>94.14</v>
      </c>
      <c r="H48">
        <v>112.05</v>
      </c>
    </row>
    <row r="49" spans="1:8" x14ac:dyDescent="0.3">
      <c r="A49" s="1">
        <v>44885</v>
      </c>
      <c r="B49">
        <v>148.11000000000001</v>
      </c>
      <c r="C49">
        <v>16.27</v>
      </c>
      <c r="D49">
        <v>247.49</v>
      </c>
      <c r="E49">
        <v>97.46</v>
      </c>
      <c r="F49">
        <v>182.86</v>
      </c>
      <c r="G49">
        <v>93.41</v>
      </c>
      <c r="H49">
        <v>111.41</v>
      </c>
    </row>
    <row r="50" spans="1:8" x14ac:dyDescent="0.3">
      <c r="A50" s="1">
        <v>44892</v>
      </c>
      <c r="B50">
        <v>147.81</v>
      </c>
      <c r="C50">
        <v>16.88</v>
      </c>
      <c r="D50">
        <v>255.02</v>
      </c>
      <c r="E50">
        <v>100.44</v>
      </c>
      <c r="F50">
        <v>194.86</v>
      </c>
      <c r="G50">
        <v>94.13</v>
      </c>
      <c r="H50">
        <v>123.49</v>
      </c>
    </row>
    <row r="51" spans="1:8" x14ac:dyDescent="0.3">
      <c r="A51" s="1">
        <v>44899</v>
      </c>
      <c r="B51">
        <v>142.16</v>
      </c>
      <c r="C51">
        <v>17</v>
      </c>
      <c r="D51">
        <v>245.42</v>
      </c>
      <c r="E51">
        <v>92.83</v>
      </c>
      <c r="F51">
        <v>179.05</v>
      </c>
      <c r="G51">
        <v>89.09</v>
      </c>
      <c r="H51">
        <v>115.9</v>
      </c>
    </row>
    <row r="52" spans="1:8" x14ac:dyDescent="0.3">
      <c r="A52" s="1">
        <v>44906</v>
      </c>
      <c r="B52">
        <v>134.51</v>
      </c>
      <c r="C52">
        <v>16.57</v>
      </c>
      <c r="D52">
        <v>244.69</v>
      </c>
      <c r="E52">
        <v>90.26</v>
      </c>
      <c r="F52">
        <v>150.22999999999999</v>
      </c>
      <c r="G52">
        <v>87.86</v>
      </c>
      <c r="H52">
        <v>119.43</v>
      </c>
    </row>
    <row r="53" spans="1:8" x14ac:dyDescent="0.3">
      <c r="A53" s="1">
        <v>44913</v>
      </c>
      <c r="B53">
        <v>131.86000000000001</v>
      </c>
      <c r="C53">
        <v>15.21</v>
      </c>
      <c r="D53">
        <v>238.73</v>
      </c>
      <c r="E53">
        <v>89.23</v>
      </c>
      <c r="F53">
        <v>123.15</v>
      </c>
      <c r="G53">
        <v>85.25</v>
      </c>
      <c r="H53">
        <v>118.04</v>
      </c>
    </row>
    <row r="54" spans="1:8" x14ac:dyDescent="0.3">
      <c r="A54" s="1">
        <v>44920</v>
      </c>
      <c r="B54">
        <v>129.93</v>
      </c>
      <c r="C54">
        <v>14.61</v>
      </c>
      <c r="D54">
        <v>239.82</v>
      </c>
      <c r="E54">
        <v>88.23</v>
      </c>
      <c r="F54">
        <v>123.18</v>
      </c>
      <c r="G54">
        <v>84</v>
      </c>
      <c r="H54">
        <v>120.34</v>
      </c>
    </row>
    <row r="55" spans="1:8" x14ac:dyDescent="0.3">
      <c r="A55" s="1">
        <v>44927</v>
      </c>
      <c r="B55">
        <v>129.62</v>
      </c>
      <c r="C55">
        <v>14.86</v>
      </c>
      <c r="D55">
        <v>224.93</v>
      </c>
      <c r="E55">
        <v>87.34</v>
      </c>
      <c r="F55">
        <v>113.06</v>
      </c>
      <c r="G55">
        <v>86.08</v>
      </c>
      <c r="H55">
        <v>130.02000000000001</v>
      </c>
    </row>
    <row r="56" spans="1:8" x14ac:dyDescent="0.3">
      <c r="A56" s="1">
        <v>44934</v>
      </c>
      <c r="B56">
        <v>134.76</v>
      </c>
      <c r="C56">
        <v>16.899999999999999</v>
      </c>
      <c r="D56">
        <v>239.23</v>
      </c>
      <c r="E56">
        <v>92.12</v>
      </c>
      <c r="F56">
        <v>122.4</v>
      </c>
      <c r="G56">
        <v>98.12</v>
      </c>
      <c r="H56">
        <v>136.97999999999999</v>
      </c>
    </row>
    <row r="57" spans="1:8" x14ac:dyDescent="0.3">
      <c r="A57" s="1">
        <v>44941</v>
      </c>
      <c r="B57">
        <v>137.87</v>
      </c>
      <c r="C57">
        <v>17.84</v>
      </c>
      <c r="D57">
        <v>240.22</v>
      </c>
      <c r="E57">
        <v>98.02</v>
      </c>
      <c r="F57">
        <v>133.41999999999999</v>
      </c>
      <c r="G57">
        <v>97.25</v>
      </c>
      <c r="H57">
        <v>139.37</v>
      </c>
    </row>
    <row r="58" spans="1:8" x14ac:dyDescent="0.3">
      <c r="A58" s="1">
        <v>44948</v>
      </c>
      <c r="B58">
        <v>145.93</v>
      </c>
      <c r="C58">
        <v>20.36</v>
      </c>
      <c r="D58">
        <v>248.16</v>
      </c>
      <c r="E58">
        <v>99.37</v>
      </c>
      <c r="F58">
        <v>177.9</v>
      </c>
      <c r="G58">
        <v>102.24</v>
      </c>
      <c r="H58">
        <v>151.74</v>
      </c>
    </row>
    <row r="59" spans="1:8" x14ac:dyDescent="0.3">
      <c r="A59" s="1">
        <v>44955</v>
      </c>
      <c r="B59">
        <v>154.5</v>
      </c>
      <c r="C59">
        <v>21.1</v>
      </c>
      <c r="D59">
        <v>258.35000000000002</v>
      </c>
      <c r="E59">
        <v>104.78</v>
      </c>
      <c r="F59">
        <v>189.98</v>
      </c>
      <c r="G59">
        <v>103.39</v>
      </c>
      <c r="H59">
        <v>186.53</v>
      </c>
    </row>
    <row r="60" spans="1:8" x14ac:dyDescent="0.3">
      <c r="A60" s="1">
        <v>44962</v>
      </c>
      <c r="B60">
        <v>151.01</v>
      </c>
      <c r="C60">
        <v>21.26</v>
      </c>
      <c r="D60">
        <v>263.10000000000002</v>
      </c>
      <c r="E60">
        <v>94.57</v>
      </c>
      <c r="F60">
        <v>196.89</v>
      </c>
      <c r="G60">
        <v>97.61</v>
      </c>
      <c r="H60">
        <v>174.15</v>
      </c>
    </row>
    <row r="61" spans="1:8" x14ac:dyDescent="0.3">
      <c r="A61" s="1">
        <v>44969</v>
      </c>
      <c r="B61">
        <v>152.55000000000001</v>
      </c>
      <c r="C61">
        <v>21.39</v>
      </c>
      <c r="D61">
        <v>258.06</v>
      </c>
      <c r="E61">
        <v>94.35</v>
      </c>
      <c r="F61">
        <v>208.31</v>
      </c>
      <c r="G61">
        <v>97.2</v>
      </c>
      <c r="H61">
        <v>172.88</v>
      </c>
    </row>
    <row r="62" spans="1:8" x14ac:dyDescent="0.3">
      <c r="A62" s="1">
        <v>44976</v>
      </c>
      <c r="B62">
        <v>146.71</v>
      </c>
      <c r="C62">
        <v>23.29</v>
      </c>
      <c r="D62">
        <v>249.22</v>
      </c>
      <c r="E62">
        <v>89.13</v>
      </c>
      <c r="F62">
        <v>196.88</v>
      </c>
      <c r="G62">
        <v>93.5</v>
      </c>
      <c r="H62">
        <v>170.39</v>
      </c>
    </row>
    <row r="63" spans="1:8" x14ac:dyDescent="0.3">
      <c r="A63" s="1">
        <v>44983</v>
      </c>
      <c r="B63">
        <v>151.03</v>
      </c>
      <c r="C63">
        <v>23.89</v>
      </c>
      <c r="D63">
        <v>255.29</v>
      </c>
      <c r="E63">
        <v>93.65</v>
      </c>
      <c r="F63">
        <v>197.79</v>
      </c>
      <c r="G63">
        <v>94.9</v>
      </c>
      <c r="H63">
        <v>185.25</v>
      </c>
    </row>
    <row r="64" spans="1:8" x14ac:dyDescent="0.3">
      <c r="A64" s="1">
        <v>44990</v>
      </c>
      <c r="B64">
        <v>148.5</v>
      </c>
      <c r="C64">
        <v>22.97</v>
      </c>
      <c r="D64">
        <v>248.59</v>
      </c>
      <c r="E64">
        <v>90.63</v>
      </c>
      <c r="F64">
        <v>173.44</v>
      </c>
      <c r="G64">
        <v>90.73</v>
      </c>
      <c r="H64">
        <v>179.51</v>
      </c>
    </row>
    <row r="65" spans="1:8" x14ac:dyDescent="0.3">
      <c r="A65" s="1">
        <v>44997</v>
      </c>
      <c r="B65">
        <v>155</v>
      </c>
      <c r="C65">
        <v>25.73</v>
      </c>
      <c r="D65">
        <v>279.43</v>
      </c>
      <c r="E65">
        <v>101.62</v>
      </c>
      <c r="F65">
        <v>180.13</v>
      </c>
      <c r="G65">
        <v>98.95</v>
      </c>
      <c r="H65">
        <v>195.61</v>
      </c>
    </row>
    <row r="66" spans="1:8" x14ac:dyDescent="0.3">
      <c r="A66" s="1">
        <v>45004</v>
      </c>
      <c r="B66">
        <v>160.25</v>
      </c>
      <c r="C66">
        <v>26.78</v>
      </c>
      <c r="D66">
        <v>280.57</v>
      </c>
      <c r="E66">
        <v>105.44</v>
      </c>
      <c r="F66">
        <v>190.41</v>
      </c>
      <c r="G66">
        <v>98.13</v>
      </c>
      <c r="H66">
        <v>206.01</v>
      </c>
    </row>
    <row r="67" spans="1:8" x14ac:dyDescent="0.3">
      <c r="A67" s="1">
        <v>45011</v>
      </c>
      <c r="B67">
        <v>164.9</v>
      </c>
      <c r="C67">
        <v>27.78</v>
      </c>
      <c r="D67">
        <v>288.3</v>
      </c>
      <c r="E67">
        <v>103.73</v>
      </c>
      <c r="F67">
        <v>207.46</v>
      </c>
      <c r="G67">
        <v>103.29</v>
      </c>
      <c r="H67">
        <v>211.94</v>
      </c>
    </row>
    <row r="68" spans="1:8" x14ac:dyDescent="0.3">
      <c r="A68" s="1">
        <v>45018</v>
      </c>
      <c r="B68">
        <v>164.66</v>
      </c>
      <c r="C68">
        <v>27.04</v>
      </c>
      <c r="D68">
        <v>291.60000000000002</v>
      </c>
      <c r="E68">
        <v>108.42</v>
      </c>
      <c r="F68">
        <v>185.06</v>
      </c>
      <c r="G68">
        <v>102.06</v>
      </c>
      <c r="H68">
        <v>216.1</v>
      </c>
    </row>
    <row r="69" spans="1:8" x14ac:dyDescent="0.3">
      <c r="A69" s="1">
        <v>45025</v>
      </c>
      <c r="B69">
        <v>165.21</v>
      </c>
      <c r="C69">
        <v>26.76</v>
      </c>
      <c r="D69">
        <v>286.14</v>
      </c>
      <c r="E69">
        <v>108.87</v>
      </c>
      <c r="F69">
        <v>185</v>
      </c>
      <c r="G69">
        <v>102.51</v>
      </c>
      <c r="H69">
        <v>221.49</v>
      </c>
    </row>
    <row r="70" spans="1:8" x14ac:dyDescent="0.3">
      <c r="A70" s="1">
        <v>45032</v>
      </c>
      <c r="B70">
        <v>165.02</v>
      </c>
      <c r="C70">
        <v>27.12</v>
      </c>
      <c r="D70">
        <v>285.76</v>
      </c>
      <c r="E70">
        <v>105.41</v>
      </c>
      <c r="F70">
        <v>165.08</v>
      </c>
      <c r="G70">
        <v>106.96</v>
      </c>
      <c r="H70">
        <v>212.89</v>
      </c>
    </row>
    <row r="71" spans="1:8" x14ac:dyDescent="0.3">
      <c r="A71" s="1">
        <v>45039</v>
      </c>
      <c r="B71">
        <v>169.68</v>
      </c>
      <c r="C71">
        <v>27.75</v>
      </c>
      <c r="D71">
        <v>307.26</v>
      </c>
      <c r="E71">
        <v>107.34</v>
      </c>
      <c r="F71">
        <v>164.31</v>
      </c>
      <c r="G71">
        <v>105.45</v>
      </c>
      <c r="H71">
        <v>240.32</v>
      </c>
    </row>
    <row r="72" spans="1:8" x14ac:dyDescent="0.3">
      <c r="A72" s="1">
        <v>45046</v>
      </c>
      <c r="B72">
        <v>173.57</v>
      </c>
      <c r="C72">
        <v>28.68</v>
      </c>
      <c r="D72">
        <v>310.64999999999998</v>
      </c>
      <c r="E72">
        <v>105.57</v>
      </c>
      <c r="F72">
        <v>170.06</v>
      </c>
      <c r="G72">
        <v>105.65</v>
      </c>
      <c r="H72">
        <v>232.78</v>
      </c>
    </row>
    <row r="73" spans="1:8" x14ac:dyDescent="0.3">
      <c r="A73" s="1">
        <v>45053</v>
      </c>
      <c r="B73">
        <v>172.57</v>
      </c>
      <c r="C73">
        <v>28.34</v>
      </c>
      <c r="D73">
        <v>308.97000000000003</v>
      </c>
      <c r="E73">
        <v>117.51</v>
      </c>
      <c r="F73">
        <v>167.98</v>
      </c>
      <c r="G73">
        <v>110.26</v>
      </c>
      <c r="H73">
        <v>233.81</v>
      </c>
    </row>
    <row r="74" spans="1:8" x14ac:dyDescent="0.3">
      <c r="A74" s="1">
        <v>45060</v>
      </c>
      <c r="B74">
        <v>175.16</v>
      </c>
      <c r="C74">
        <v>31.26</v>
      </c>
      <c r="D74">
        <v>318.33999999999997</v>
      </c>
      <c r="E74">
        <v>122.76</v>
      </c>
      <c r="F74">
        <v>180.14</v>
      </c>
      <c r="G74">
        <v>116.25</v>
      </c>
      <c r="H74">
        <v>245.64</v>
      </c>
    </row>
    <row r="75" spans="1:8" x14ac:dyDescent="0.3">
      <c r="A75" s="1">
        <v>45067</v>
      </c>
      <c r="B75">
        <v>175.43</v>
      </c>
      <c r="C75">
        <v>38.950000000000003</v>
      </c>
      <c r="D75">
        <v>332.89</v>
      </c>
      <c r="E75">
        <v>124.61</v>
      </c>
      <c r="F75">
        <v>193.17</v>
      </c>
      <c r="G75">
        <v>120.11</v>
      </c>
      <c r="H75">
        <v>262.04000000000002</v>
      </c>
    </row>
    <row r="76" spans="1:8" x14ac:dyDescent="0.3">
      <c r="A76" s="1">
        <v>45074</v>
      </c>
      <c r="B76">
        <v>180.95</v>
      </c>
      <c r="C76">
        <v>39.33</v>
      </c>
      <c r="D76">
        <v>335.4</v>
      </c>
      <c r="E76">
        <v>124.67</v>
      </c>
      <c r="F76">
        <v>213.97</v>
      </c>
      <c r="G76">
        <v>124.25</v>
      </c>
      <c r="H76">
        <v>272.61</v>
      </c>
    </row>
    <row r="77" spans="1:8" x14ac:dyDescent="0.3">
      <c r="A77" s="1">
        <v>45081</v>
      </c>
      <c r="B77">
        <v>180.96</v>
      </c>
      <c r="C77">
        <v>38.770000000000003</v>
      </c>
      <c r="D77">
        <v>326.79000000000002</v>
      </c>
      <c r="E77">
        <v>122.23</v>
      </c>
      <c r="F77">
        <v>244.4</v>
      </c>
      <c r="G77">
        <v>123.43</v>
      </c>
      <c r="H77">
        <v>264.95</v>
      </c>
    </row>
    <row r="78" spans="1:8" x14ac:dyDescent="0.3">
      <c r="A78" s="1">
        <v>45088</v>
      </c>
      <c r="B78">
        <v>184.92</v>
      </c>
      <c r="C78">
        <v>42.69</v>
      </c>
      <c r="D78">
        <v>342.33</v>
      </c>
      <c r="E78">
        <v>123.53</v>
      </c>
      <c r="F78">
        <v>260.54000000000002</v>
      </c>
      <c r="G78">
        <v>125.49</v>
      </c>
      <c r="H78">
        <v>281</v>
      </c>
    </row>
    <row r="79" spans="1:8" x14ac:dyDescent="0.3">
      <c r="A79" s="1">
        <v>45095</v>
      </c>
      <c r="B79">
        <v>186.68</v>
      </c>
      <c r="C79">
        <v>42.21</v>
      </c>
      <c r="D79">
        <v>335.02</v>
      </c>
      <c r="E79">
        <v>122.34</v>
      </c>
      <c r="F79">
        <v>256.60000000000002</v>
      </c>
      <c r="G79">
        <v>129.33000000000001</v>
      </c>
      <c r="H79">
        <v>288.73</v>
      </c>
    </row>
    <row r="80" spans="1:8" x14ac:dyDescent="0.3">
      <c r="A80" s="1">
        <v>45102</v>
      </c>
      <c r="B80">
        <v>193.97</v>
      </c>
      <c r="C80">
        <v>42.3</v>
      </c>
      <c r="D80">
        <v>340.54</v>
      </c>
      <c r="E80">
        <v>119.7</v>
      </c>
      <c r="F80">
        <v>261.77</v>
      </c>
      <c r="G80">
        <v>130.36000000000001</v>
      </c>
      <c r="H80">
        <v>286.98</v>
      </c>
    </row>
    <row r="81" spans="1:8" x14ac:dyDescent="0.3">
      <c r="A81" s="1">
        <v>45109</v>
      </c>
      <c r="B81">
        <v>190.68</v>
      </c>
      <c r="C81">
        <v>42.5</v>
      </c>
      <c r="D81">
        <v>337.22</v>
      </c>
      <c r="E81">
        <v>119.48</v>
      </c>
      <c r="F81">
        <v>274.43</v>
      </c>
      <c r="G81">
        <v>129.78</v>
      </c>
      <c r="H81">
        <v>290.52999999999997</v>
      </c>
    </row>
    <row r="82" spans="1:8" x14ac:dyDescent="0.3">
      <c r="A82" s="1">
        <v>45116</v>
      </c>
      <c r="B82">
        <v>190.69</v>
      </c>
      <c r="C82">
        <v>45.47</v>
      </c>
      <c r="D82">
        <v>345.24</v>
      </c>
      <c r="E82">
        <v>125.42</v>
      </c>
      <c r="F82">
        <v>281.38</v>
      </c>
      <c r="G82">
        <v>134.68</v>
      </c>
      <c r="H82">
        <v>308.87</v>
      </c>
    </row>
    <row r="83" spans="1:8" x14ac:dyDescent="0.3">
      <c r="A83" s="1">
        <v>45123</v>
      </c>
      <c r="B83">
        <v>191.94</v>
      </c>
      <c r="C83">
        <v>44.31</v>
      </c>
      <c r="D83">
        <v>343.77</v>
      </c>
      <c r="E83">
        <v>120.02</v>
      </c>
      <c r="F83">
        <v>260.02</v>
      </c>
      <c r="G83">
        <v>130</v>
      </c>
      <c r="H83">
        <v>294.26</v>
      </c>
    </row>
    <row r="84" spans="1:8" x14ac:dyDescent="0.3">
      <c r="A84" s="1">
        <v>45130</v>
      </c>
      <c r="B84">
        <v>195.83</v>
      </c>
      <c r="C84">
        <v>46.75</v>
      </c>
      <c r="D84">
        <v>338.37</v>
      </c>
      <c r="E84">
        <v>132.58000000000001</v>
      </c>
      <c r="F84">
        <v>266.44</v>
      </c>
      <c r="G84">
        <v>132.21</v>
      </c>
      <c r="H84">
        <v>325.48</v>
      </c>
    </row>
    <row r="85" spans="1:8" x14ac:dyDescent="0.3">
      <c r="A85" s="1">
        <v>45137</v>
      </c>
      <c r="B85">
        <v>181.99</v>
      </c>
      <c r="C85">
        <v>44.68</v>
      </c>
      <c r="D85">
        <v>327.78</v>
      </c>
      <c r="E85">
        <v>128.11000000000001</v>
      </c>
      <c r="F85">
        <v>253.86</v>
      </c>
      <c r="G85">
        <v>139.57</v>
      </c>
      <c r="H85">
        <v>310.73</v>
      </c>
    </row>
    <row r="86" spans="1:8" x14ac:dyDescent="0.3">
      <c r="A86" s="1">
        <v>45144</v>
      </c>
      <c r="B86">
        <v>177.79</v>
      </c>
      <c r="C86">
        <v>40.85</v>
      </c>
      <c r="D86">
        <v>321.01</v>
      </c>
      <c r="E86">
        <v>129.56</v>
      </c>
      <c r="F86">
        <v>242.65</v>
      </c>
      <c r="G86">
        <v>138.41</v>
      </c>
      <c r="H86">
        <v>301.64</v>
      </c>
    </row>
    <row r="87" spans="1:8" x14ac:dyDescent="0.3">
      <c r="A87" s="1">
        <v>45151</v>
      </c>
      <c r="B87">
        <v>174.49</v>
      </c>
      <c r="C87">
        <v>43.3</v>
      </c>
      <c r="D87">
        <v>316.48</v>
      </c>
      <c r="E87">
        <v>127.46</v>
      </c>
      <c r="F87">
        <v>215.49</v>
      </c>
      <c r="G87">
        <v>133.22</v>
      </c>
      <c r="H87">
        <v>283.25</v>
      </c>
    </row>
    <row r="88" spans="1:8" x14ac:dyDescent="0.3">
      <c r="A88" s="1">
        <v>45158</v>
      </c>
      <c r="B88">
        <v>178.61</v>
      </c>
      <c r="C88">
        <v>46.02</v>
      </c>
      <c r="D88">
        <v>322.98</v>
      </c>
      <c r="E88">
        <v>129.88</v>
      </c>
      <c r="F88">
        <v>238.59</v>
      </c>
      <c r="G88">
        <v>133.26</v>
      </c>
      <c r="H88">
        <v>285.5</v>
      </c>
    </row>
    <row r="89" spans="1:8" x14ac:dyDescent="0.3">
      <c r="A89" s="1">
        <v>45165</v>
      </c>
      <c r="B89">
        <v>189.46</v>
      </c>
      <c r="C89">
        <v>48.51</v>
      </c>
      <c r="D89">
        <v>328.66</v>
      </c>
      <c r="E89">
        <v>135.66</v>
      </c>
      <c r="F89">
        <v>245.01</v>
      </c>
      <c r="G89">
        <v>138.12</v>
      </c>
      <c r="H89">
        <v>296.38</v>
      </c>
    </row>
    <row r="90" spans="1:8" x14ac:dyDescent="0.3">
      <c r="A90" s="1">
        <v>45172</v>
      </c>
      <c r="B90">
        <v>178.18</v>
      </c>
      <c r="C90">
        <v>45.57</v>
      </c>
      <c r="D90">
        <v>334.27</v>
      </c>
      <c r="E90">
        <v>136.38</v>
      </c>
      <c r="F90">
        <v>248.5</v>
      </c>
      <c r="G90">
        <v>138.22999999999999</v>
      </c>
      <c r="H90">
        <v>297.89</v>
      </c>
    </row>
    <row r="91" spans="1:8" x14ac:dyDescent="0.3">
      <c r="A91" s="1">
        <v>45179</v>
      </c>
      <c r="B91">
        <v>175.01</v>
      </c>
      <c r="C91">
        <v>43.9</v>
      </c>
      <c r="D91">
        <v>330.22</v>
      </c>
      <c r="E91">
        <v>137.4</v>
      </c>
      <c r="F91">
        <v>274.39</v>
      </c>
      <c r="G91">
        <v>140.38999999999999</v>
      </c>
      <c r="H91">
        <v>300.31</v>
      </c>
    </row>
    <row r="92" spans="1:8" x14ac:dyDescent="0.3">
      <c r="A92" s="1">
        <v>45186</v>
      </c>
      <c r="B92">
        <v>174.79</v>
      </c>
      <c r="C92">
        <v>41.61</v>
      </c>
      <c r="D92">
        <v>317.01</v>
      </c>
      <c r="E92">
        <v>130.25</v>
      </c>
      <c r="F92">
        <v>244.88</v>
      </c>
      <c r="G92">
        <v>129.12</v>
      </c>
      <c r="H92">
        <v>299.08</v>
      </c>
    </row>
    <row r="93" spans="1:8" x14ac:dyDescent="0.3">
      <c r="A93" s="1">
        <v>45193</v>
      </c>
      <c r="B93">
        <v>171.21</v>
      </c>
      <c r="C93">
        <v>43.5</v>
      </c>
      <c r="D93">
        <v>315.75</v>
      </c>
      <c r="E93">
        <v>130.86000000000001</v>
      </c>
      <c r="F93">
        <v>250.22</v>
      </c>
      <c r="G93">
        <v>127.12</v>
      </c>
      <c r="H93">
        <v>300.20999999999998</v>
      </c>
    </row>
    <row r="94" spans="1:8" x14ac:dyDescent="0.3">
      <c r="A94" s="1">
        <v>45200</v>
      </c>
      <c r="B94">
        <v>177.49</v>
      </c>
      <c r="C94">
        <v>45.76</v>
      </c>
      <c r="D94">
        <v>327.26</v>
      </c>
      <c r="E94">
        <v>137.58000000000001</v>
      </c>
      <c r="F94">
        <v>260.52999999999997</v>
      </c>
      <c r="G94">
        <v>127.96</v>
      </c>
      <c r="H94">
        <v>315.43</v>
      </c>
    </row>
    <row r="95" spans="1:8" x14ac:dyDescent="0.3">
      <c r="A95" s="1">
        <v>45207</v>
      </c>
      <c r="B95">
        <v>178.85</v>
      </c>
      <c r="C95">
        <v>45.46</v>
      </c>
      <c r="D95">
        <v>327.73</v>
      </c>
      <c r="E95">
        <v>137.36000000000001</v>
      </c>
      <c r="F95">
        <v>251.12</v>
      </c>
      <c r="G95">
        <v>129.79</v>
      </c>
      <c r="H95">
        <v>314.69</v>
      </c>
    </row>
    <row r="96" spans="1:8" x14ac:dyDescent="0.3">
      <c r="A96" s="1">
        <v>45214</v>
      </c>
      <c r="B96">
        <v>172.88</v>
      </c>
      <c r="C96">
        <v>41.39</v>
      </c>
      <c r="D96">
        <v>326.67</v>
      </c>
      <c r="E96">
        <v>135.6</v>
      </c>
      <c r="F96">
        <v>211.99</v>
      </c>
      <c r="G96">
        <v>125.17</v>
      </c>
      <c r="H96">
        <v>308.64999999999998</v>
      </c>
    </row>
    <row r="97" spans="1:8" x14ac:dyDescent="0.3">
      <c r="A97" s="1">
        <v>45221</v>
      </c>
      <c r="B97">
        <v>168.22</v>
      </c>
      <c r="C97">
        <v>40.5</v>
      </c>
      <c r="D97">
        <v>329.81</v>
      </c>
      <c r="E97">
        <v>122.17</v>
      </c>
      <c r="F97">
        <v>207.3</v>
      </c>
      <c r="G97">
        <v>127.74</v>
      </c>
      <c r="H97">
        <v>296.73</v>
      </c>
    </row>
    <row r="98" spans="1:8" x14ac:dyDescent="0.3">
      <c r="A98" s="1">
        <v>45228</v>
      </c>
      <c r="B98">
        <v>176.65</v>
      </c>
      <c r="C98">
        <v>45.01</v>
      </c>
      <c r="D98">
        <v>352.8</v>
      </c>
      <c r="E98">
        <v>129.1</v>
      </c>
      <c r="F98">
        <v>219.96</v>
      </c>
      <c r="G98">
        <v>138.6</v>
      </c>
      <c r="H98">
        <v>314.60000000000002</v>
      </c>
    </row>
    <row r="99" spans="1:8" x14ac:dyDescent="0.3">
      <c r="A99" s="1">
        <v>45235</v>
      </c>
      <c r="B99">
        <v>186.4</v>
      </c>
      <c r="C99">
        <v>48.33</v>
      </c>
      <c r="D99">
        <v>369.67</v>
      </c>
      <c r="E99">
        <v>132.59</v>
      </c>
      <c r="F99">
        <v>214.65</v>
      </c>
      <c r="G99">
        <v>143.56</v>
      </c>
      <c r="H99">
        <v>328.77</v>
      </c>
    </row>
    <row r="100" spans="1:8" x14ac:dyDescent="0.3">
      <c r="A100" s="1">
        <v>45242</v>
      </c>
      <c r="B100">
        <v>189.69</v>
      </c>
      <c r="C100">
        <v>49.3</v>
      </c>
      <c r="D100">
        <v>369.85</v>
      </c>
      <c r="E100">
        <v>135.31</v>
      </c>
      <c r="F100">
        <v>234.3</v>
      </c>
      <c r="G100">
        <v>145.18</v>
      </c>
      <c r="H100">
        <v>335.04</v>
      </c>
    </row>
    <row r="101" spans="1:8" x14ac:dyDescent="0.3">
      <c r="A101" s="1">
        <v>45249</v>
      </c>
      <c r="B101">
        <v>189.97</v>
      </c>
      <c r="C101">
        <v>47.78</v>
      </c>
      <c r="D101">
        <v>377.43</v>
      </c>
      <c r="E101">
        <v>136.69</v>
      </c>
      <c r="F101">
        <v>235.45</v>
      </c>
      <c r="G101">
        <v>146.74</v>
      </c>
      <c r="H101">
        <v>338.23</v>
      </c>
    </row>
    <row r="102" spans="1:8" x14ac:dyDescent="0.3">
      <c r="A102" s="1">
        <v>45256</v>
      </c>
      <c r="B102">
        <v>191.24</v>
      </c>
      <c r="C102">
        <v>46.76</v>
      </c>
      <c r="D102">
        <v>374.51</v>
      </c>
      <c r="E102">
        <v>131.86000000000001</v>
      </c>
      <c r="F102">
        <v>238.83</v>
      </c>
      <c r="G102">
        <v>147.03</v>
      </c>
      <c r="H102">
        <v>324.82</v>
      </c>
    </row>
    <row r="103" spans="1:8" x14ac:dyDescent="0.3">
      <c r="A103" s="1">
        <v>45263</v>
      </c>
      <c r="B103">
        <v>195.71</v>
      </c>
      <c r="C103">
        <v>47.51</v>
      </c>
      <c r="D103">
        <v>374.23</v>
      </c>
      <c r="E103">
        <v>134.99</v>
      </c>
      <c r="F103">
        <v>243.84</v>
      </c>
      <c r="G103">
        <v>147.41999999999999</v>
      </c>
      <c r="H103">
        <v>332.75</v>
      </c>
    </row>
    <row r="104" spans="1:8" x14ac:dyDescent="0.3">
      <c r="A104" s="1">
        <v>45270</v>
      </c>
      <c r="B104">
        <v>197.57</v>
      </c>
      <c r="C104">
        <v>48.89</v>
      </c>
      <c r="D104">
        <v>370.73</v>
      </c>
      <c r="E104">
        <v>132.6</v>
      </c>
      <c r="F104">
        <v>253.5</v>
      </c>
      <c r="G104">
        <v>149.97</v>
      </c>
      <c r="H104">
        <v>334.92</v>
      </c>
    </row>
    <row r="105" spans="1:8" x14ac:dyDescent="0.3">
      <c r="A105" s="1">
        <v>45277</v>
      </c>
      <c r="B105">
        <v>193.6</v>
      </c>
      <c r="C105">
        <v>48.83</v>
      </c>
      <c r="D105">
        <v>374.58</v>
      </c>
      <c r="E105">
        <v>141.49</v>
      </c>
      <c r="F105">
        <v>252.54</v>
      </c>
      <c r="G105">
        <v>153.41999999999999</v>
      </c>
      <c r="H105">
        <v>353.39</v>
      </c>
    </row>
    <row r="106" spans="1:8" x14ac:dyDescent="0.3">
      <c r="A106" s="1">
        <v>45284</v>
      </c>
      <c r="B106">
        <v>192.53</v>
      </c>
      <c r="C106">
        <v>49.52</v>
      </c>
      <c r="D106">
        <v>376.04</v>
      </c>
      <c r="E106">
        <v>139.69</v>
      </c>
      <c r="F106">
        <v>248.48</v>
      </c>
      <c r="G106">
        <v>151.94</v>
      </c>
      <c r="H106">
        <v>353.96</v>
      </c>
    </row>
    <row r="107" spans="1:8" x14ac:dyDescent="0.3">
      <c r="A107" s="1">
        <v>45291</v>
      </c>
      <c r="B107">
        <v>181.18</v>
      </c>
      <c r="C107">
        <v>49.1</v>
      </c>
      <c r="D107">
        <v>367.75</v>
      </c>
      <c r="E107">
        <v>135.72999999999999</v>
      </c>
      <c r="F107">
        <v>237.49</v>
      </c>
      <c r="G107">
        <v>145.24</v>
      </c>
      <c r="H107">
        <v>351.95</v>
      </c>
    </row>
    <row r="108" spans="1:8" x14ac:dyDescent="0.3">
      <c r="A108" s="1">
        <v>45298</v>
      </c>
      <c r="B108">
        <v>185.92</v>
      </c>
      <c r="C108">
        <v>54.71</v>
      </c>
      <c r="D108">
        <v>388.47</v>
      </c>
      <c r="E108">
        <v>142.65</v>
      </c>
      <c r="F108">
        <v>218.89</v>
      </c>
      <c r="G108">
        <v>154.62</v>
      </c>
      <c r="H108">
        <v>374.49</v>
      </c>
    </row>
    <row r="109" spans="1:8" x14ac:dyDescent="0.3">
      <c r="A109" s="1">
        <v>45305</v>
      </c>
      <c r="B109">
        <v>191.56</v>
      </c>
      <c r="C109">
        <v>59.49</v>
      </c>
      <c r="D109">
        <v>398.67</v>
      </c>
      <c r="E109">
        <v>146.38</v>
      </c>
      <c r="F109">
        <v>212.19</v>
      </c>
      <c r="G109">
        <v>155.34</v>
      </c>
      <c r="H109">
        <v>383.45</v>
      </c>
    </row>
    <row r="110" spans="1:8" x14ac:dyDescent="0.3">
      <c r="A110" s="1">
        <v>45312</v>
      </c>
      <c r="B110">
        <v>192.42</v>
      </c>
      <c r="C110">
        <v>61.03</v>
      </c>
      <c r="D110">
        <v>403.93</v>
      </c>
      <c r="E110">
        <v>152.18</v>
      </c>
      <c r="F110">
        <v>183.25</v>
      </c>
      <c r="G110">
        <v>159.12</v>
      </c>
      <c r="H110">
        <v>394.14</v>
      </c>
    </row>
    <row r="111" spans="1:8" x14ac:dyDescent="0.3">
      <c r="A111" s="1">
        <v>45319</v>
      </c>
      <c r="B111">
        <v>185.85</v>
      </c>
      <c r="C111">
        <v>66.16</v>
      </c>
      <c r="D111">
        <v>411.22</v>
      </c>
      <c r="E111">
        <v>142.38</v>
      </c>
      <c r="F111">
        <v>187.91</v>
      </c>
      <c r="G111">
        <v>171.81</v>
      </c>
      <c r="H111">
        <v>474.99</v>
      </c>
    </row>
    <row r="112" spans="1:8" x14ac:dyDescent="0.3">
      <c r="A112" s="1">
        <v>45326</v>
      </c>
      <c r="B112">
        <v>188.85</v>
      </c>
      <c r="C112">
        <v>72.13</v>
      </c>
      <c r="D112">
        <v>420.55</v>
      </c>
      <c r="E112">
        <v>149</v>
      </c>
      <c r="F112">
        <v>193.57</v>
      </c>
      <c r="G112">
        <v>174.45</v>
      </c>
      <c r="H112">
        <v>468.11</v>
      </c>
    </row>
    <row r="113" spans="1:8" x14ac:dyDescent="0.3">
      <c r="A113" s="1">
        <v>45333</v>
      </c>
      <c r="B113">
        <v>182.31</v>
      </c>
      <c r="C113">
        <v>72.61</v>
      </c>
      <c r="D113">
        <v>404.06</v>
      </c>
      <c r="E113">
        <v>140.52000000000001</v>
      </c>
      <c r="F113">
        <v>199.95</v>
      </c>
      <c r="G113">
        <v>169.51</v>
      </c>
      <c r="H113">
        <v>473.32</v>
      </c>
    </row>
    <row r="114" spans="1:8" x14ac:dyDescent="0.3">
      <c r="A114" s="1">
        <v>45340</v>
      </c>
      <c r="B114">
        <v>182.52</v>
      </c>
      <c r="C114">
        <v>78.819999999999993</v>
      </c>
      <c r="D114">
        <v>410.34</v>
      </c>
      <c r="E114">
        <v>143.96</v>
      </c>
      <c r="F114">
        <v>191.97</v>
      </c>
      <c r="G114">
        <v>174.99</v>
      </c>
      <c r="H114">
        <v>484.03</v>
      </c>
    </row>
    <row r="115" spans="1:8" x14ac:dyDescent="0.3">
      <c r="A115" s="1">
        <v>45347</v>
      </c>
      <c r="B115">
        <v>179.66</v>
      </c>
      <c r="C115">
        <v>82.28</v>
      </c>
      <c r="D115">
        <v>415.5</v>
      </c>
      <c r="E115">
        <v>137.13999999999999</v>
      </c>
      <c r="F115">
        <v>202.64</v>
      </c>
      <c r="G115">
        <v>178.22</v>
      </c>
      <c r="H115">
        <v>502.3</v>
      </c>
    </row>
    <row r="116" spans="1:8" x14ac:dyDescent="0.3">
      <c r="A116" s="1">
        <v>45354</v>
      </c>
      <c r="B116">
        <v>170.73</v>
      </c>
      <c r="C116">
        <v>87.53</v>
      </c>
      <c r="D116">
        <v>406.22</v>
      </c>
      <c r="E116">
        <v>135.41</v>
      </c>
      <c r="F116">
        <v>175.34</v>
      </c>
      <c r="G116">
        <v>175.35</v>
      </c>
      <c r="H116">
        <v>505.95</v>
      </c>
    </row>
    <row r="117" spans="1:8" x14ac:dyDescent="0.3">
      <c r="A117" s="1">
        <v>45361</v>
      </c>
      <c r="B117">
        <v>172.62</v>
      </c>
      <c r="C117">
        <v>87.84</v>
      </c>
      <c r="D117">
        <v>416.42</v>
      </c>
      <c r="E117">
        <v>141.18</v>
      </c>
      <c r="F117">
        <v>163.57</v>
      </c>
      <c r="G117">
        <v>174.42</v>
      </c>
      <c r="H117">
        <v>484.1</v>
      </c>
    </row>
    <row r="118" spans="1:8" x14ac:dyDescent="0.3">
      <c r="A118" s="1">
        <v>45368</v>
      </c>
      <c r="B118">
        <v>172.28</v>
      </c>
      <c r="C118">
        <v>94.29</v>
      </c>
      <c r="D118">
        <v>428.74</v>
      </c>
      <c r="E118">
        <v>150.77000000000001</v>
      </c>
      <c r="F118">
        <v>170.83</v>
      </c>
      <c r="G118">
        <v>178.87</v>
      </c>
      <c r="H118">
        <v>509.58</v>
      </c>
    </row>
    <row r="119" spans="1:8" x14ac:dyDescent="0.3">
      <c r="A119" s="1">
        <v>45375</v>
      </c>
      <c r="B119">
        <v>171.48</v>
      </c>
      <c r="C119">
        <v>90.36</v>
      </c>
      <c r="D119">
        <v>420.72</v>
      </c>
      <c r="E119">
        <v>150.93</v>
      </c>
      <c r="F119">
        <v>175.79</v>
      </c>
      <c r="G119">
        <v>180.38</v>
      </c>
      <c r="H119">
        <v>485.58</v>
      </c>
    </row>
    <row r="120" spans="1:8" x14ac:dyDescent="0.3">
      <c r="A120" s="1">
        <v>45382</v>
      </c>
      <c r="B120">
        <v>169.58</v>
      </c>
      <c r="C120">
        <v>88.01</v>
      </c>
      <c r="D120">
        <v>425.52</v>
      </c>
      <c r="E120">
        <v>152.5</v>
      </c>
      <c r="F120">
        <v>164.9</v>
      </c>
      <c r="G120">
        <v>185.07</v>
      </c>
      <c r="H120">
        <v>527.34</v>
      </c>
    </row>
    <row r="121" spans="1:8" x14ac:dyDescent="0.3">
      <c r="A121" s="1">
        <v>45389</v>
      </c>
      <c r="B121">
        <v>176.55</v>
      </c>
      <c r="C121">
        <v>88.19</v>
      </c>
      <c r="D121">
        <v>421.9</v>
      </c>
      <c r="E121">
        <v>157.72999999999999</v>
      </c>
      <c r="F121">
        <v>171.05</v>
      </c>
      <c r="G121">
        <v>186.13</v>
      </c>
      <c r="H121">
        <v>511.9</v>
      </c>
    </row>
    <row r="122" spans="1:8" x14ac:dyDescent="0.3">
      <c r="A122" s="1">
        <v>45396</v>
      </c>
      <c r="B122">
        <v>165</v>
      </c>
      <c r="C122">
        <v>76.2</v>
      </c>
      <c r="D122">
        <v>399.12</v>
      </c>
      <c r="E122">
        <v>154.09</v>
      </c>
      <c r="F122">
        <v>147.05000000000001</v>
      </c>
      <c r="G122">
        <v>174.63</v>
      </c>
      <c r="H122">
        <v>481.07</v>
      </c>
    </row>
    <row r="123" spans="1:8" x14ac:dyDescent="0.3">
      <c r="A123" s="1">
        <v>45403</v>
      </c>
      <c r="B123">
        <v>169.3</v>
      </c>
      <c r="C123">
        <v>87.74</v>
      </c>
      <c r="D123">
        <v>406.32</v>
      </c>
      <c r="E123">
        <v>171.95</v>
      </c>
      <c r="F123">
        <v>168.29</v>
      </c>
      <c r="G123">
        <v>179.62</v>
      </c>
      <c r="H123">
        <v>443.29</v>
      </c>
    </row>
    <row r="124" spans="1:8" x14ac:dyDescent="0.3">
      <c r="A124" s="1">
        <v>45410</v>
      </c>
      <c r="B124">
        <v>183.38</v>
      </c>
      <c r="C124">
        <v>88.79</v>
      </c>
      <c r="D124">
        <v>406.66</v>
      </c>
      <c r="E124">
        <v>167.24</v>
      </c>
      <c r="F124">
        <v>181.19</v>
      </c>
      <c r="G124">
        <v>186.21</v>
      </c>
      <c r="H124">
        <v>451.96</v>
      </c>
    </row>
    <row r="125" spans="1:8" x14ac:dyDescent="0.3">
      <c r="A125" s="1">
        <v>45417</v>
      </c>
      <c r="B125">
        <v>183.05</v>
      </c>
      <c r="C125">
        <v>89.88</v>
      </c>
      <c r="D125">
        <v>414.74</v>
      </c>
      <c r="E125">
        <v>168.65</v>
      </c>
      <c r="F125">
        <v>168.47</v>
      </c>
      <c r="G125">
        <v>187.48</v>
      </c>
      <c r="H125">
        <v>476.2</v>
      </c>
    </row>
    <row r="126" spans="1:8" x14ac:dyDescent="0.3">
      <c r="A126" s="1">
        <v>45424</v>
      </c>
      <c r="B126">
        <v>189.87</v>
      </c>
      <c r="C126">
        <v>92.48</v>
      </c>
      <c r="D126">
        <v>420.21</v>
      </c>
      <c r="E126">
        <v>176.06</v>
      </c>
      <c r="F126">
        <v>177.46</v>
      </c>
      <c r="G126">
        <v>184.7</v>
      </c>
      <c r="H126">
        <v>471.91</v>
      </c>
    </row>
    <row r="127" spans="1:8" x14ac:dyDescent="0.3">
      <c r="A127" s="1">
        <v>45431</v>
      </c>
      <c r="B127">
        <v>189.98</v>
      </c>
      <c r="C127">
        <v>106.47</v>
      </c>
      <c r="D127">
        <v>430.16</v>
      </c>
      <c r="E127">
        <v>174.99</v>
      </c>
      <c r="F127">
        <v>179.24</v>
      </c>
      <c r="G127">
        <v>180.75</v>
      </c>
      <c r="H127">
        <v>478.22</v>
      </c>
    </row>
    <row r="128" spans="1:8" x14ac:dyDescent="0.3">
      <c r="A128" s="1">
        <v>45438</v>
      </c>
      <c r="B128">
        <v>192.25</v>
      </c>
      <c r="C128">
        <v>109.63</v>
      </c>
      <c r="D128">
        <v>415.13</v>
      </c>
      <c r="E128">
        <v>172.5</v>
      </c>
      <c r="F128">
        <v>178.08</v>
      </c>
      <c r="G128">
        <v>176.44</v>
      </c>
      <c r="H128">
        <v>466.83</v>
      </c>
    </row>
    <row r="129" spans="1:8" x14ac:dyDescent="0.3">
      <c r="A129" s="1">
        <v>45445</v>
      </c>
      <c r="B129">
        <v>196.89</v>
      </c>
      <c r="C129">
        <v>120.89</v>
      </c>
      <c r="D129">
        <v>423.85</v>
      </c>
      <c r="E129">
        <v>174.46</v>
      </c>
      <c r="F129">
        <v>177.48</v>
      </c>
      <c r="G129">
        <v>184.3</v>
      </c>
      <c r="H129">
        <v>492.96</v>
      </c>
    </row>
    <row r="130" spans="1:8" x14ac:dyDescent="0.3">
      <c r="A130" s="1">
        <v>45452</v>
      </c>
      <c r="B130">
        <v>212.49</v>
      </c>
      <c r="C130">
        <v>131.88</v>
      </c>
      <c r="D130">
        <v>442.57</v>
      </c>
      <c r="E130">
        <v>176.79</v>
      </c>
      <c r="F130">
        <v>178.01</v>
      </c>
      <c r="G130">
        <v>183.66</v>
      </c>
      <c r="H130">
        <v>504.16</v>
      </c>
    </row>
    <row r="131" spans="1:8" x14ac:dyDescent="0.3">
      <c r="A131" s="1">
        <v>45459</v>
      </c>
      <c r="B131">
        <v>207.49</v>
      </c>
      <c r="C131">
        <v>126.57</v>
      </c>
      <c r="D131">
        <v>449.78</v>
      </c>
      <c r="E131">
        <v>179.63</v>
      </c>
      <c r="F131">
        <v>183.01</v>
      </c>
      <c r="G131">
        <v>189.08</v>
      </c>
      <c r="H131">
        <v>494.78</v>
      </c>
    </row>
    <row r="132" spans="1:8" x14ac:dyDescent="0.3">
      <c r="A132" s="1">
        <v>45466</v>
      </c>
      <c r="B132">
        <v>210.62</v>
      </c>
      <c r="C132">
        <v>123.54</v>
      </c>
      <c r="D132">
        <v>446.95</v>
      </c>
      <c r="E132">
        <v>182.15</v>
      </c>
      <c r="F132">
        <v>197.88</v>
      </c>
      <c r="G132">
        <v>193.25</v>
      </c>
      <c r="H132">
        <v>504.22</v>
      </c>
    </row>
    <row r="133" spans="1:8" x14ac:dyDescent="0.3">
      <c r="A133" s="1">
        <v>45473</v>
      </c>
      <c r="B133">
        <v>226.34</v>
      </c>
      <c r="C133">
        <v>125.83</v>
      </c>
      <c r="D133">
        <v>467.56</v>
      </c>
      <c r="E133">
        <v>190.6</v>
      </c>
      <c r="F133">
        <v>251.52</v>
      </c>
      <c r="G133">
        <v>200</v>
      </c>
      <c r="H133">
        <v>539.91</v>
      </c>
    </row>
    <row r="134" spans="1:8" x14ac:dyDescent="0.3">
      <c r="A134" s="1">
        <v>45480</v>
      </c>
      <c r="B134">
        <v>230.54</v>
      </c>
      <c r="C134">
        <v>129.24</v>
      </c>
      <c r="D134">
        <v>453.55</v>
      </c>
      <c r="E134">
        <v>185.07</v>
      </c>
      <c r="F134">
        <v>248.23</v>
      </c>
      <c r="G134">
        <v>194.49</v>
      </c>
      <c r="H134">
        <v>498.87</v>
      </c>
    </row>
    <row r="135" spans="1:8" x14ac:dyDescent="0.3">
      <c r="A135" s="1">
        <v>45487</v>
      </c>
      <c r="B135">
        <v>224.31</v>
      </c>
      <c r="C135">
        <v>117.93</v>
      </c>
      <c r="D135">
        <v>437.11</v>
      </c>
      <c r="E135">
        <v>177.66</v>
      </c>
      <c r="F135">
        <v>239.2</v>
      </c>
      <c r="G135">
        <v>183.13</v>
      </c>
      <c r="H135">
        <v>476.79</v>
      </c>
    </row>
    <row r="136" spans="1:8" x14ac:dyDescent="0.3">
      <c r="A136" s="1">
        <v>45494</v>
      </c>
      <c r="B136">
        <v>217.96</v>
      </c>
      <c r="C136">
        <v>113.06</v>
      </c>
      <c r="D136">
        <v>425.27</v>
      </c>
      <c r="E136">
        <v>167</v>
      </c>
      <c r="F136">
        <v>219.8</v>
      </c>
      <c r="G136">
        <v>182.5</v>
      </c>
      <c r="H136">
        <v>465.7</v>
      </c>
    </row>
    <row r="137" spans="1:8" x14ac:dyDescent="0.3">
      <c r="A137" s="1">
        <v>45501</v>
      </c>
      <c r="B137">
        <v>219.86</v>
      </c>
      <c r="C137">
        <v>107.27</v>
      </c>
      <c r="D137">
        <v>408.49</v>
      </c>
      <c r="E137">
        <v>166.66</v>
      </c>
      <c r="F137">
        <v>207.67</v>
      </c>
      <c r="G137">
        <v>167.9</v>
      </c>
      <c r="H137">
        <v>488.14</v>
      </c>
    </row>
    <row r="138" spans="1:8" x14ac:dyDescent="0.3">
      <c r="A138" s="1">
        <v>45508</v>
      </c>
      <c r="B138">
        <v>216.24</v>
      </c>
      <c r="C138">
        <v>104.75</v>
      </c>
      <c r="D138">
        <v>406.02</v>
      </c>
      <c r="E138">
        <v>163.66999999999999</v>
      </c>
      <c r="F138">
        <v>200</v>
      </c>
      <c r="G138">
        <v>166.94</v>
      </c>
      <c r="H138">
        <v>517.77</v>
      </c>
    </row>
    <row r="139" spans="1:8" x14ac:dyDescent="0.3">
      <c r="A139" s="1">
        <v>45515</v>
      </c>
      <c r="B139">
        <v>226.05</v>
      </c>
      <c r="C139">
        <v>124.58</v>
      </c>
      <c r="D139">
        <v>418.47</v>
      </c>
      <c r="E139">
        <v>162.96</v>
      </c>
      <c r="F139">
        <v>216.12</v>
      </c>
      <c r="G139">
        <v>177.06</v>
      </c>
      <c r="H139">
        <v>527.41999999999996</v>
      </c>
    </row>
    <row r="140" spans="1:8" x14ac:dyDescent="0.3">
      <c r="A140" s="1">
        <v>45522</v>
      </c>
      <c r="B140">
        <v>226.84</v>
      </c>
      <c r="C140">
        <v>129.37</v>
      </c>
      <c r="D140">
        <v>416.79</v>
      </c>
      <c r="E140">
        <v>165.62</v>
      </c>
      <c r="F140">
        <v>220.32</v>
      </c>
      <c r="G140">
        <v>177.04</v>
      </c>
      <c r="H140">
        <v>528</v>
      </c>
    </row>
    <row r="141" spans="1:8" x14ac:dyDescent="0.3">
      <c r="A141" s="1">
        <v>45529</v>
      </c>
      <c r="B141">
        <v>229</v>
      </c>
      <c r="C141">
        <v>119.37</v>
      </c>
      <c r="D141">
        <v>417.14</v>
      </c>
      <c r="E141">
        <v>163.38</v>
      </c>
      <c r="F141">
        <v>214.11</v>
      </c>
      <c r="G141">
        <v>178.5</v>
      </c>
      <c r="H141">
        <v>521.30999999999995</v>
      </c>
    </row>
    <row r="142" spans="1:8" x14ac:dyDescent="0.3">
      <c r="A142" s="1">
        <v>45536</v>
      </c>
      <c r="B142">
        <v>220.82</v>
      </c>
      <c r="C142">
        <v>102.83</v>
      </c>
      <c r="D142">
        <v>401.7</v>
      </c>
      <c r="E142">
        <v>150.91999999999999</v>
      </c>
      <c r="F142">
        <v>210.73</v>
      </c>
      <c r="G142">
        <v>171.39</v>
      </c>
      <c r="H142">
        <v>500.27</v>
      </c>
    </row>
    <row r="143" spans="1:8" x14ac:dyDescent="0.3">
      <c r="A143" s="1">
        <v>45543</v>
      </c>
      <c r="B143">
        <v>222.5</v>
      </c>
      <c r="C143">
        <v>119.1</v>
      </c>
      <c r="D143">
        <v>430.59</v>
      </c>
      <c r="E143">
        <v>157.46</v>
      </c>
      <c r="F143">
        <v>230.29</v>
      </c>
      <c r="G143">
        <v>186.49</v>
      </c>
      <c r="H143">
        <v>524.62</v>
      </c>
    </row>
    <row r="144" spans="1:8" x14ac:dyDescent="0.3">
      <c r="A144" s="1">
        <v>45550</v>
      </c>
      <c r="B144">
        <v>228.2</v>
      </c>
      <c r="C144">
        <v>116</v>
      </c>
      <c r="D144">
        <v>435.27</v>
      </c>
      <c r="E144">
        <v>163.59</v>
      </c>
      <c r="F144">
        <v>238.25</v>
      </c>
      <c r="G144">
        <v>191.6</v>
      </c>
      <c r="H144">
        <v>561.35</v>
      </c>
    </row>
    <row r="145" spans="1:8" x14ac:dyDescent="0.3">
      <c r="A145" s="1">
        <v>45557</v>
      </c>
      <c r="B145">
        <v>227.79</v>
      </c>
      <c r="C145">
        <v>121.4</v>
      </c>
      <c r="D145">
        <v>428.02</v>
      </c>
      <c r="E145">
        <v>163.95</v>
      </c>
      <c r="F145">
        <v>260.45999999999998</v>
      </c>
      <c r="G145">
        <v>187.97</v>
      </c>
      <c r="H145">
        <v>567.36</v>
      </c>
    </row>
    <row r="146" spans="1:8" x14ac:dyDescent="0.3">
      <c r="A146" s="1">
        <v>45564</v>
      </c>
      <c r="B146">
        <v>226.8</v>
      </c>
      <c r="C146">
        <v>124.92</v>
      </c>
      <c r="D146">
        <v>416.06</v>
      </c>
      <c r="E146">
        <v>167.06</v>
      </c>
      <c r="F146">
        <v>250.08</v>
      </c>
      <c r="G146">
        <v>186.51</v>
      </c>
      <c r="H146">
        <v>595.94000000000005</v>
      </c>
    </row>
    <row r="147" spans="1:8" x14ac:dyDescent="0.3">
      <c r="A147" s="1">
        <v>45571</v>
      </c>
      <c r="B147">
        <v>227.55</v>
      </c>
      <c r="C147">
        <v>134.80000000000001</v>
      </c>
      <c r="D147">
        <v>416.32</v>
      </c>
      <c r="E147">
        <v>163.24</v>
      </c>
      <c r="F147">
        <v>217.8</v>
      </c>
      <c r="G147">
        <v>188.82</v>
      </c>
      <c r="H147">
        <v>589.95000000000005</v>
      </c>
    </row>
    <row r="148" spans="1:8" x14ac:dyDescent="0.3">
      <c r="A148" s="1">
        <v>45578</v>
      </c>
      <c r="B148">
        <v>235</v>
      </c>
      <c r="C148">
        <v>138</v>
      </c>
      <c r="D148">
        <v>418.16</v>
      </c>
      <c r="E148">
        <v>163.41999999999999</v>
      </c>
      <c r="F148">
        <v>220.7</v>
      </c>
      <c r="G148">
        <v>188.99</v>
      </c>
      <c r="H148">
        <v>576.47</v>
      </c>
    </row>
    <row r="149" spans="1:8" x14ac:dyDescent="0.3">
      <c r="A149" s="1">
        <v>45585</v>
      </c>
      <c r="B149">
        <v>231.41</v>
      </c>
      <c r="C149">
        <v>141.54</v>
      </c>
      <c r="D149">
        <v>428.15</v>
      </c>
      <c r="E149">
        <v>165.27</v>
      </c>
      <c r="F149">
        <v>269.19</v>
      </c>
      <c r="G149">
        <v>187.83</v>
      </c>
      <c r="H149">
        <v>573.25</v>
      </c>
    </row>
    <row r="150" spans="1:8" x14ac:dyDescent="0.3">
      <c r="A150" s="1">
        <v>45592</v>
      </c>
      <c r="B150">
        <v>222.91</v>
      </c>
      <c r="C150">
        <v>135.4</v>
      </c>
      <c r="D150">
        <v>410.37</v>
      </c>
      <c r="E150">
        <v>171.29</v>
      </c>
      <c r="F150">
        <v>248.98</v>
      </c>
      <c r="G150">
        <v>197.93</v>
      </c>
      <c r="H150">
        <v>567.16</v>
      </c>
    </row>
    <row r="151" spans="1:8" x14ac:dyDescent="0.3">
      <c r="A151" s="1">
        <v>45599</v>
      </c>
      <c r="B151">
        <v>226.96</v>
      </c>
      <c r="C151">
        <v>147.63</v>
      </c>
      <c r="D151">
        <v>422.54</v>
      </c>
      <c r="E151">
        <v>178.35</v>
      </c>
      <c r="F151">
        <v>321.22000000000003</v>
      </c>
      <c r="G151">
        <v>208.18</v>
      </c>
      <c r="H151">
        <v>589.34</v>
      </c>
    </row>
    <row r="152" spans="1:8" x14ac:dyDescent="0.3">
      <c r="A152" s="1">
        <v>45606</v>
      </c>
      <c r="B152">
        <v>225</v>
      </c>
      <c r="C152">
        <v>141.97999999999999</v>
      </c>
      <c r="D152">
        <v>415</v>
      </c>
      <c r="E152">
        <v>172.49</v>
      </c>
      <c r="F152">
        <v>320.72000000000003</v>
      </c>
      <c r="G152">
        <v>202.61</v>
      </c>
      <c r="H152">
        <v>554.08000000000004</v>
      </c>
    </row>
    <row r="153" spans="1:8" x14ac:dyDescent="0.3">
      <c r="A153" s="1">
        <v>45613</v>
      </c>
      <c r="B153">
        <v>229.87</v>
      </c>
      <c r="C153">
        <v>141.94999999999999</v>
      </c>
      <c r="D153">
        <v>417</v>
      </c>
      <c r="E153">
        <v>164.76</v>
      </c>
      <c r="F153">
        <v>352.56</v>
      </c>
      <c r="G153">
        <v>197.12</v>
      </c>
      <c r="H153">
        <v>559.14</v>
      </c>
    </row>
    <row r="154" spans="1:8" x14ac:dyDescent="0.3">
      <c r="A154" s="1">
        <v>45620</v>
      </c>
      <c r="B154">
        <v>237.33</v>
      </c>
      <c r="C154">
        <v>138.25</v>
      </c>
      <c r="D154">
        <v>423.46</v>
      </c>
      <c r="E154">
        <v>168.95</v>
      </c>
      <c r="F154">
        <v>345.16</v>
      </c>
      <c r="G154">
        <v>207.89</v>
      </c>
      <c r="H154">
        <v>574.32000000000005</v>
      </c>
    </row>
    <row r="155" spans="1:8" x14ac:dyDescent="0.3">
      <c r="A155" s="1">
        <v>45627</v>
      </c>
      <c r="B155">
        <v>242.84</v>
      </c>
      <c r="C155">
        <v>142.44</v>
      </c>
      <c r="D155">
        <v>443.57</v>
      </c>
      <c r="E155">
        <v>174.71</v>
      </c>
      <c r="F155">
        <v>389.22</v>
      </c>
      <c r="G155">
        <v>227.03</v>
      </c>
      <c r="H155">
        <v>623.77</v>
      </c>
    </row>
    <row r="156" spans="1:8" x14ac:dyDescent="0.3">
      <c r="A156" s="1">
        <v>45634</v>
      </c>
      <c r="B156">
        <v>248.13</v>
      </c>
      <c r="C156">
        <v>134.25</v>
      </c>
      <c r="D156">
        <v>447.27</v>
      </c>
      <c r="E156">
        <v>189.82</v>
      </c>
      <c r="F156">
        <v>436.23</v>
      </c>
      <c r="G156">
        <v>227.46</v>
      </c>
      <c r="H156">
        <v>620.35</v>
      </c>
    </row>
    <row r="157" spans="1:8" x14ac:dyDescent="0.3">
      <c r="A157" s="1">
        <v>45641</v>
      </c>
      <c r="B157">
        <v>254.49</v>
      </c>
      <c r="C157">
        <v>134.69999999999999</v>
      </c>
      <c r="D157">
        <v>436.6</v>
      </c>
      <c r="E157">
        <v>191.41</v>
      </c>
      <c r="F157">
        <v>421.06</v>
      </c>
      <c r="G157">
        <v>224.92</v>
      </c>
      <c r="H157">
        <v>585.25</v>
      </c>
    </row>
    <row r="158" spans="1:8" x14ac:dyDescent="0.3">
      <c r="A158" s="1">
        <v>45648</v>
      </c>
      <c r="B158">
        <v>255.59</v>
      </c>
      <c r="C158">
        <v>137.01</v>
      </c>
      <c r="D158">
        <v>430.53</v>
      </c>
      <c r="E158">
        <v>192.76</v>
      </c>
      <c r="F158">
        <v>431.66</v>
      </c>
      <c r="G158">
        <v>223.75</v>
      </c>
      <c r="H158">
        <v>599.80999999999995</v>
      </c>
    </row>
    <row r="159" spans="1:8" x14ac:dyDescent="0.3">
      <c r="A159" s="1">
        <v>45655</v>
      </c>
      <c r="B159">
        <v>243.36</v>
      </c>
      <c r="C159">
        <v>144.47</v>
      </c>
      <c r="D159">
        <v>423.35</v>
      </c>
      <c r="E159">
        <v>191.79</v>
      </c>
      <c r="F159">
        <v>410.44</v>
      </c>
      <c r="G159">
        <v>224.19</v>
      </c>
      <c r="H159">
        <v>604.63</v>
      </c>
    </row>
    <row r="160" spans="1:8" x14ac:dyDescent="0.3">
      <c r="A160" s="1">
        <v>45662</v>
      </c>
      <c r="B160">
        <v>236.85</v>
      </c>
      <c r="C160">
        <v>135.91</v>
      </c>
      <c r="D160">
        <v>418.95</v>
      </c>
      <c r="E160">
        <v>192.04</v>
      </c>
      <c r="F160">
        <v>394.74</v>
      </c>
      <c r="G160">
        <v>218.94</v>
      </c>
      <c r="H160">
        <v>615.86</v>
      </c>
    </row>
    <row r="161" spans="1:8" x14ac:dyDescent="0.3">
      <c r="A161" s="1">
        <v>45669</v>
      </c>
      <c r="B161">
        <v>229.98</v>
      </c>
      <c r="C161">
        <v>137.71</v>
      </c>
      <c r="D161">
        <v>429.03</v>
      </c>
      <c r="E161">
        <v>196</v>
      </c>
      <c r="F161">
        <v>426.5</v>
      </c>
      <c r="G161">
        <v>225.94</v>
      </c>
      <c r="H161">
        <v>612.77</v>
      </c>
    </row>
    <row r="162" spans="1:8" x14ac:dyDescent="0.3">
      <c r="A162" s="1">
        <v>45676</v>
      </c>
      <c r="B162">
        <v>222.78</v>
      </c>
      <c r="C162">
        <v>142.62</v>
      </c>
      <c r="D162">
        <v>444.06</v>
      </c>
      <c r="E162">
        <v>200.21</v>
      </c>
      <c r="F162">
        <v>406.58</v>
      </c>
      <c r="G162">
        <v>234.85</v>
      </c>
      <c r="H162">
        <v>647.49</v>
      </c>
    </row>
    <row r="163" spans="1:8" x14ac:dyDescent="0.3">
      <c r="A163" s="1">
        <v>45683</v>
      </c>
      <c r="B163">
        <v>236</v>
      </c>
      <c r="C163">
        <v>120.07</v>
      </c>
      <c r="D163">
        <v>415.06</v>
      </c>
      <c r="E163">
        <v>204.02</v>
      </c>
      <c r="F163">
        <v>404.6</v>
      </c>
      <c r="G163">
        <v>237.68</v>
      </c>
      <c r="H163">
        <v>689.18</v>
      </c>
    </row>
    <row r="164" spans="1:8" x14ac:dyDescent="0.3">
      <c r="A164" s="1">
        <v>45690</v>
      </c>
      <c r="B164">
        <v>227.63</v>
      </c>
      <c r="C164">
        <v>129.84</v>
      </c>
      <c r="D164">
        <v>409.75</v>
      </c>
      <c r="E164">
        <v>185.34</v>
      </c>
      <c r="F164">
        <v>361.62</v>
      </c>
      <c r="G164">
        <v>229.15</v>
      </c>
      <c r="H164">
        <v>714.52</v>
      </c>
    </row>
    <row r="165" spans="1:8" x14ac:dyDescent="0.3">
      <c r="A165" s="1">
        <v>45697</v>
      </c>
      <c r="B165">
        <v>244.6</v>
      </c>
      <c r="C165">
        <v>138.85</v>
      </c>
      <c r="D165">
        <v>408.43</v>
      </c>
      <c r="E165">
        <v>185.23</v>
      </c>
      <c r="F165">
        <v>355.84</v>
      </c>
      <c r="G165">
        <v>228.68</v>
      </c>
      <c r="H165">
        <v>736.67</v>
      </c>
    </row>
    <row r="166" spans="1:8" x14ac:dyDescent="0.3">
      <c r="A166" s="1">
        <v>45704</v>
      </c>
      <c r="B166">
        <v>245.55</v>
      </c>
      <c r="C166">
        <v>134.43</v>
      </c>
      <c r="D166">
        <v>408.21</v>
      </c>
      <c r="E166">
        <v>179.66</v>
      </c>
      <c r="F166">
        <v>337.8</v>
      </c>
      <c r="G166">
        <v>216.58</v>
      </c>
      <c r="H166">
        <v>683.55</v>
      </c>
    </row>
    <row r="167" spans="1:8" x14ac:dyDescent="0.3">
      <c r="A167" s="1">
        <v>45711</v>
      </c>
      <c r="B167">
        <v>241.84</v>
      </c>
      <c r="C167">
        <v>124.92</v>
      </c>
      <c r="D167">
        <v>396.99</v>
      </c>
      <c r="E167">
        <v>170.28</v>
      </c>
      <c r="F167">
        <v>292.98</v>
      </c>
      <c r="G167">
        <v>212.28</v>
      </c>
      <c r="H167">
        <v>668.2</v>
      </c>
    </row>
    <row r="168" spans="1:8" x14ac:dyDescent="0.3">
      <c r="A168" s="1">
        <v>45718</v>
      </c>
      <c r="B168">
        <v>239.07</v>
      </c>
      <c r="C168">
        <v>112.69</v>
      </c>
      <c r="D168">
        <v>393.31</v>
      </c>
      <c r="E168">
        <v>173.86</v>
      </c>
      <c r="F168">
        <v>262.67</v>
      </c>
      <c r="G168">
        <v>199.25</v>
      </c>
      <c r="H168">
        <v>625.66</v>
      </c>
    </row>
    <row r="169" spans="1:8" x14ac:dyDescent="0.3">
      <c r="A169" s="1">
        <v>45725</v>
      </c>
      <c r="B169">
        <v>213.49</v>
      </c>
      <c r="C169">
        <v>121.67</v>
      </c>
      <c r="D169">
        <v>388.56</v>
      </c>
      <c r="E169">
        <v>165.49</v>
      </c>
      <c r="F169">
        <v>249.98</v>
      </c>
      <c r="G169">
        <v>197.95</v>
      </c>
      <c r="H169">
        <v>607.6</v>
      </c>
    </row>
    <row r="170" spans="1:8" x14ac:dyDescent="0.3">
      <c r="A170" s="1">
        <v>45732</v>
      </c>
      <c r="B170">
        <v>218.27</v>
      </c>
      <c r="C170">
        <v>117.7</v>
      </c>
      <c r="D170">
        <v>391.26</v>
      </c>
      <c r="E170">
        <v>163.99</v>
      </c>
      <c r="F170">
        <v>248.71</v>
      </c>
      <c r="G170">
        <v>196.21</v>
      </c>
      <c r="H170">
        <v>596.25</v>
      </c>
    </row>
    <row r="171" spans="1:8" x14ac:dyDescent="0.3">
      <c r="A171" s="1">
        <v>45739</v>
      </c>
      <c r="B171">
        <v>217.9</v>
      </c>
      <c r="C171">
        <v>109.67</v>
      </c>
      <c r="D171">
        <v>378.8</v>
      </c>
      <c r="E171">
        <v>154.33000000000001</v>
      </c>
      <c r="F171">
        <v>263.55</v>
      </c>
      <c r="G171">
        <v>192.72</v>
      </c>
      <c r="H171">
        <v>576.74</v>
      </c>
    </row>
    <row r="172" spans="1:8" x14ac:dyDescent="0.3">
      <c r="A172" s="1">
        <v>45746</v>
      </c>
      <c r="B172">
        <v>188.38</v>
      </c>
      <c r="C172">
        <v>94.31</v>
      </c>
      <c r="D172">
        <v>359.84</v>
      </c>
      <c r="E172">
        <v>145.6</v>
      </c>
      <c r="F172">
        <v>239.43</v>
      </c>
      <c r="G172">
        <v>171</v>
      </c>
      <c r="H172">
        <v>504.73</v>
      </c>
    </row>
    <row r="173" spans="1:8" x14ac:dyDescent="0.3">
      <c r="A173" s="1">
        <v>45753</v>
      </c>
      <c r="B173">
        <v>198.15</v>
      </c>
      <c r="C173">
        <v>110.93</v>
      </c>
      <c r="D173">
        <v>388.45</v>
      </c>
      <c r="E173">
        <v>157.13999999999999</v>
      </c>
      <c r="F173">
        <v>252.31</v>
      </c>
      <c r="G173">
        <v>184.87</v>
      </c>
      <c r="H173">
        <v>543.57000000000005</v>
      </c>
    </row>
    <row r="174" spans="1:8" x14ac:dyDescent="0.3">
      <c r="A174" s="1">
        <v>45760</v>
      </c>
      <c r="B174">
        <v>196.98</v>
      </c>
      <c r="C174">
        <v>101.49</v>
      </c>
      <c r="D174">
        <v>367.78</v>
      </c>
      <c r="E174">
        <v>151.16</v>
      </c>
      <c r="F174">
        <v>241.37</v>
      </c>
      <c r="G174">
        <v>172.61</v>
      </c>
      <c r="H174">
        <v>501.48</v>
      </c>
    </row>
    <row r="175" spans="1:8" x14ac:dyDescent="0.3">
      <c r="A175" s="1">
        <v>45767</v>
      </c>
      <c r="B175">
        <v>209.28</v>
      </c>
      <c r="C175">
        <v>111.01</v>
      </c>
      <c r="D175">
        <v>391.85</v>
      </c>
      <c r="E175">
        <v>161.96</v>
      </c>
      <c r="F175">
        <v>284.95</v>
      </c>
      <c r="G175">
        <v>188.99</v>
      </c>
      <c r="H175">
        <v>547.27</v>
      </c>
    </row>
    <row r="176" spans="1:8" x14ac:dyDescent="0.3">
      <c r="A176" s="1">
        <v>45774</v>
      </c>
      <c r="B176">
        <v>205.35</v>
      </c>
      <c r="C176">
        <v>114.5</v>
      </c>
      <c r="D176">
        <v>435.28</v>
      </c>
      <c r="E176">
        <v>164.03</v>
      </c>
      <c r="F176">
        <v>287.20999999999998</v>
      </c>
      <c r="G176">
        <v>189.98</v>
      </c>
      <c r="H176">
        <v>597.02</v>
      </c>
    </row>
    <row r="177" spans="1:8" x14ac:dyDescent="0.3">
      <c r="A177" s="1">
        <v>45781</v>
      </c>
      <c r="B177">
        <v>198.53</v>
      </c>
      <c r="C177">
        <v>116.65</v>
      </c>
      <c r="D177">
        <v>438.73</v>
      </c>
      <c r="E177">
        <v>152.75</v>
      </c>
      <c r="F177">
        <v>298.26</v>
      </c>
      <c r="G177">
        <v>193.06</v>
      </c>
      <c r="H177">
        <v>592.49</v>
      </c>
    </row>
    <row r="178" spans="1:8" x14ac:dyDescent="0.3">
      <c r="A178" s="1">
        <v>45788</v>
      </c>
      <c r="B178">
        <v>211.26</v>
      </c>
      <c r="C178">
        <v>135.4</v>
      </c>
      <c r="D178">
        <v>454.27</v>
      </c>
      <c r="E178">
        <v>166.19</v>
      </c>
      <c r="F178">
        <v>349.98</v>
      </c>
      <c r="G178">
        <v>205.59</v>
      </c>
      <c r="H178">
        <v>640.34</v>
      </c>
    </row>
    <row r="179" spans="1:8" x14ac:dyDescent="0.3">
      <c r="A179" s="1">
        <v>45795</v>
      </c>
      <c r="B179">
        <v>195.27</v>
      </c>
      <c r="C179">
        <v>131.29</v>
      </c>
      <c r="D179">
        <v>450.18</v>
      </c>
      <c r="E179">
        <v>168.47</v>
      </c>
      <c r="F179">
        <v>339.34</v>
      </c>
      <c r="G179">
        <v>200.99</v>
      </c>
      <c r="H179">
        <v>627.05999999999995</v>
      </c>
    </row>
    <row r="180" spans="1:8" x14ac:dyDescent="0.3">
      <c r="A180" s="1">
        <v>45802</v>
      </c>
      <c r="B180">
        <v>200.85</v>
      </c>
      <c r="C180">
        <v>135.13</v>
      </c>
      <c r="D180">
        <v>460.36</v>
      </c>
      <c r="E180">
        <v>171.74</v>
      </c>
      <c r="F180">
        <v>346.46</v>
      </c>
      <c r="G180">
        <v>205.01</v>
      </c>
      <c r="H180">
        <v>647.49</v>
      </c>
    </row>
    <row r="181" spans="1:8" x14ac:dyDescent="0.3">
      <c r="A181" s="1">
        <v>45809</v>
      </c>
      <c r="B181">
        <v>203.92</v>
      </c>
      <c r="C181">
        <v>141.72</v>
      </c>
      <c r="D181">
        <v>470.38</v>
      </c>
      <c r="E181">
        <v>173.68</v>
      </c>
      <c r="F181">
        <v>295.14</v>
      </c>
      <c r="G181">
        <v>213.57</v>
      </c>
      <c r="H181">
        <v>697.71</v>
      </c>
    </row>
    <row r="182" spans="1:8" x14ac:dyDescent="0.3">
      <c r="A182" s="1">
        <v>45816</v>
      </c>
      <c r="B182">
        <v>196.45</v>
      </c>
      <c r="C182">
        <v>141.97</v>
      </c>
      <c r="D182">
        <v>474.96</v>
      </c>
      <c r="E182">
        <v>174.67</v>
      </c>
      <c r="F182">
        <v>325.31</v>
      </c>
      <c r="G182">
        <v>212.1</v>
      </c>
      <c r="H182">
        <v>682.87</v>
      </c>
    </row>
    <row r="183" spans="1:8" x14ac:dyDescent="0.3">
      <c r="A183" s="1">
        <v>45823</v>
      </c>
      <c r="B183">
        <v>201</v>
      </c>
      <c r="C183">
        <v>143.85</v>
      </c>
      <c r="D183">
        <v>477.4</v>
      </c>
      <c r="E183">
        <v>166.64</v>
      </c>
      <c r="F183">
        <v>322.16000000000003</v>
      </c>
      <c r="G183">
        <v>209.69</v>
      </c>
      <c r="H183">
        <v>682.35</v>
      </c>
    </row>
    <row r="184" spans="1:8" x14ac:dyDescent="0.3">
      <c r="A184" s="1">
        <v>45830</v>
      </c>
      <c r="B184">
        <v>201.08</v>
      </c>
      <c r="C184">
        <v>157.75</v>
      </c>
      <c r="D184">
        <v>495.94</v>
      </c>
      <c r="E184">
        <v>178.53</v>
      </c>
      <c r="F184">
        <v>323.63</v>
      </c>
      <c r="G184">
        <v>223.3</v>
      </c>
      <c r="H184">
        <v>733.63</v>
      </c>
    </row>
    <row r="185" spans="1:8" x14ac:dyDescent="0.3">
      <c r="A185" s="1">
        <v>45837</v>
      </c>
      <c r="B185">
        <v>213.55</v>
      </c>
      <c r="C185">
        <v>159.34</v>
      </c>
      <c r="D185">
        <v>498.84</v>
      </c>
      <c r="E185">
        <v>179.53</v>
      </c>
      <c r="F185">
        <v>315.35000000000002</v>
      </c>
      <c r="G185">
        <v>223.41</v>
      </c>
      <c r="H185">
        <v>719.01</v>
      </c>
    </row>
    <row r="186" spans="1:8" x14ac:dyDescent="0.3">
      <c r="A186" s="1">
        <v>45844</v>
      </c>
      <c r="B186">
        <v>211.16</v>
      </c>
      <c r="C186">
        <v>164.92</v>
      </c>
      <c r="D186">
        <v>503.32</v>
      </c>
      <c r="E186">
        <v>180.19</v>
      </c>
      <c r="F186">
        <v>313.51</v>
      </c>
      <c r="G186">
        <v>225.02</v>
      </c>
      <c r="H186">
        <v>717.51</v>
      </c>
    </row>
    <row r="187" spans="1:8" x14ac:dyDescent="0.3">
      <c r="A187" s="1">
        <v>45851</v>
      </c>
      <c r="B187">
        <v>211.18</v>
      </c>
      <c r="C187">
        <v>172.41</v>
      </c>
      <c r="D187">
        <v>510.05</v>
      </c>
      <c r="E187">
        <v>185.06</v>
      </c>
      <c r="F187">
        <v>329.65</v>
      </c>
      <c r="G187">
        <v>226.13</v>
      </c>
      <c r="H187">
        <v>704.28</v>
      </c>
    </row>
    <row r="188" spans="1:8" x14ac:dyDescent="0.3">
      <c r="A188" s="1">
        <v>45858</v>
      </c>
      <c r="B188">
        <v>213.88</v>
      </c>
      <c r="C188">
        <v>173.5</v>
      </c>
      <c r="D188">
        <v>513.71</v>
      </c>
      <c r="E188">
        <v>193.18</v>
      </c>
      <c r="F188">
        <v>316.06</v>
      </c>
      <c r="G188">
        <v>231.44</v>
      </c>
      <c r="H188">
        <v>712.68</v>
      </c>
    </row>
    <row r="189" spans="1:8" x14ac:dyDescent="0.3">
      <c r="A189" s="1">
        <v>45865</v>
      </c>
      <c r="B189">
        <v>202.38</v>
      </c>
      <c r="C189">
        <v>173.72</v>
      </c>
      <c r="D189">
        <v>524.11</v>
      </c>
      <c r="E189">
        <v>189.13</v>
      </c>
      <c r="F189">
        <v>302.63</v>
      </c>
      <c r="G189">
        <v>214.75</v>
      </c>
      <c r="H189">
        <v>750.01</v>
      </c>
    </row>
    <row r="190" spans="1:8" x14ac:dyDescent="0.3">
      <c r="A190" s="1">
        <v>45872</v>
      </c>
      <c r="B190">
        <v>229.35</v>
      </c>
      <c r="C190">
        <v>182.7</v>
      </c>
      <c r="D190">
        <v>522.04</v>
      </c>
      <c r="E190">
        <v>201.42</v>
      </c>
      <c r="F190">
        <v>329.65</v>
      </c>
      <c r="G190">
        <v>222.69</v>
      </c>
      <c r="H190">
        <v>769.3</v>
      </c>
    </row>
    <row r="191" spans="1:8" x14ac:dyDescent="0.3">
      <c r="A191" s="1">
        <v>45879</v>
      </c>
      <c r="B191">
        <v>231.59</v>
      </c>
      <c r="C191">
        <v>180.45</v>
      </c>
      <c r="D191">
        <v>520.16999999999996</v>
      </c>
      <c r="E191">
        <v>203.9</v>
      </c>
      <c r="F191">
        <v>330.56</v>
      </c>
      <c r="G191">
        <v>231.03</v>
      </c>
      <c r="H191">
        <v>785.23</v>
      </c>
    </row>
    <row r="192" spans="1:8" x14ac:dyDescent="0.3">
      <c r="A192" s="1">
        <v>45886</v>
      </c>
      <c r="B192">
        <v>227.76</v>
      </c>
      <c r="C192">
        <v>177.99</v>
      </c>
      <c r="D192">
        <v>507.23</v>
      </c>
      <c r="E192">
        <v>206.09</v>
      </c>
      <c r="F192">
        <v>340.01</v>
      </c>
      <c r="G192">
        <v>228.84</v>
      </c>
      <c r="H192">
        <v>754.79</v>
      </c>
    </row>
    <row r="193" spans="1:18" x14ac:dyDescent="0.3">
      <c r="A193" s="1">
        <v>45893</v>
      </c>
      <c r="B193">
        <v>232.14</v>
      </c>
      <c r="C193">
        <v>174.18</v>
      </c>
      <c r="D193">
        <v>506.69</v>
      </c>
      <c r="E193">
        <v>212.91</v>
      </c>
      <c r="F193">
        <v>333.87</v>
      </c>
      <c r="G193">
        <v>229</v>
      </c>
      <c r="H193">
        <v>738.7</v>
      </c>
    </row>
    <row r="194" spans="1:18" x14ac:dyDescent="0.3">
      <c r="A194" s="1">
        <v>45900</v>
      </c>
      <c r="B194">
        <v>239.69</v>
      </c>
      <c r="C194">
        <v>167.02</v>
      </c>
      <c r="D194">
        <v>495</v>
      </c>
      <c r="E194">
        <v>235</v>
      </c>
      <c r="F194">
        <v>350.84</v>
      </c>
      <c r="G194">
        <v>232.33</v>
      </c>
      <c r="H194">
        <v>752.45</v>
      </c>
    </row>
    <row r="195" spans="1:18" x14ac:dyDescent="0.3">
      <c r="A195" s="1">
        <v>45907</v>
      </c>
      <c r="B195">
        <v>234.07</v>
      </c>
      <c r="C195">
        <v>177.82</v>
      </c>
      <c r="D195">
        <v>509.9</v>
      </c>
      <c r="E195">
        <v>240.8</v>
      </c>
      <c r="F195">
        <v>395.94</v>
      </c>
      <c r="G195">
        <v>228.15</v>
      </c>
      <c r="H195">
        <v>755.59</v>
      </c>
    </row>
    <row r="196" spans="1:18" x14ac:dyDescent="0.3">
      <c r="A196" s="1">
        <v>45914</v>
      </c>
      <c r="B196">
        <v>245.5</v>
      </c>
      <c r="C196">
        <v>176.67</v>
      </c>
      <c r="D196">
        <v>517.92999999999995</v>
      </c>
      <c r="E196">
        <v>254.72</v>
      </c>
      <c r="F196">
        <v>426.07</v>
      </c>
      <c r="G196">
        <v>231.48</v>
      </c>
      <c r="H196">
        <v>778.38</v>
      </c>
    </row>
    <row r="197" spans="1:18" x14ac:dyDescent="0.3">
      <c r="A197" s="1">
        <v>45921</v>
      </c>
      <c r="B197">
        <v>255.46</v>
      </c>
      <c r="C197">
        <v>178.19</v>
      </c>
      <c r="D197">
        <v>511.46</v>
      </c>
      <c r="E197">
        <v>246.54</v>
      </c>
      <c r="F197">
        <v>440.4</v>
      </c>
      <c r="G197">
        <v>219.78</v>
      </c>
      <c r="H197">
        <v>743.75</v>
      </c>
    </row>
    <row r="198" spans="1:18" x14ac:dyDescent="0.3">
      <c r="A198" s="1">
        <v>45928</v>
      </c>
      <c r="B198">
        <v>258.02</v>
      </c>
      <c r="C198">
        <v>187.62</v>
      </c>
      <c r="D198">
        <v>517.35</v>
      </c>
      <c r="E198">
        <v>245.35</v>
      </c>
      <c r="F198">
        <v>429.83</v>
      </c>
      <c r="G198">
        <v>219.51</v>
      </c>
      <c r="H198">
        <v>710.56</v>
      </c>
    </row>
    <row r="199" spans="1:18" x14ac:dyDescent="0.3">
      <c r="A199" s="1">
        <v>45935</v>
      </c>
      <c r="B199">
        <v>245.27</v>
      </c>
      <c r="C199">
        <v>183.16</v>
      </c>
      <c r="D199">
        <v>510.96</v>
      </c>
      <c r="E199">
        <v>236.57</v>
      </c>
      <c r="F199">
        <v>413.49</v>
      </c>
      <c r="G199">
        <v>216.37</v>
      </c>
      <c r="H199">
        <v>705.3</v>
      </c>
    </row>
    <row r="201" spans="1:18" x14ac:dyDescent="0.3">
      <c r="I201" s="2"/>
      <c r="R201" s="2"/>
    </row>
    <row r="204" spans="1:18" x14ac:dyDescent="0.3">
      <c r="B204" s="24"/>
      <c r="C204" s="24"/>
      <c r="D204" s="24"/>
      <c r="E204" s="24"/>
      <c r="F204" s="24"/>
      <c r="G204" s="24"/>
      <c r="H204" s="24"/>
      <c r="K204" s="24"/>
      <c r="L204" s="24"/>
      <c r="M204" s="24"/>
      <c r="N204" s="24"/>
      <c r="O204" s="24"/>
      <c r="P204" s="24"/>
      <c r="Q204" s="24"/>
    </row>
    <row r="205" spans="1:18" x14ac:dyDescent="0.3">
      <c r="B205" s="3"/>
      <c r="C205" s="2"/>
      <c r="D205" s="2"/>
      <c r="E205" s="2"/>
      <c r="F205" s="3"/>
      <c r="G205" s="2"/>
      <c r="H205" s="2"/>
      <c r="K205" s="2"/>
      <c r="L205" s="2"/>
      <c r="M205" s="2"/>
      <c r="N205" s="2"/>
      <c r="O205" s="2"/>
      <c r="P205" s="2"/>
      <c r="Q205" s="2"/>
    </row>
    <row r="214" spans="10:12" x14ac:dyDescent="0.3">
      <c r="J214" s="2"/>
    </row>
    <row r="217" spans="10:12" x14ac:dyDescent="0.3">
      <c r="J217" s="2"/>
    </row>
    <row r="220" spans="10:12" x14ac:dyDescent="0.3">
      <c r="J220" s="24"/>
      <c r="K220" s="24"/>
      <c r="L220" s="4"/>
    </row>
    <row r="221" spans="10:12" x14ac:dyDescent="0.3">
      <c r="J221" s="24"/>
      <c r="K221" s="24"/>
      <c r="L221" s="4"/>
    </row>
    <row r="222" spans="10:12" x14ac:dyDescent="0.3">
      <c r="J222" s="24"/>
      <c r="K222" s="24"/>
      <c r="L222" s="4"/>
    </row>
    <row r="227" spans="2:6" x14ac:dyDescent="0.3">
      <c r="B227" s="24"/>
      <c r="C227" s="24"/>
      <c r="D227" s="24"/>
      <c r="E227" s="24"/>
      <c r="F227" s="24"/>
    </row>
    <row r="229" spans="2:6" x14ac:dyDescent="0.3">
      <c r="B229" s="5" t="s">
        <v>23</v>
      </c>
      <c r="C229" s="6"/>
      <c r="D229" s="5" t="s">
        <v>17</v>
      </c>
      <c r="E229" s="6"/>
      <c r="F229" s="5" t="s">
        <v>21</v>
      </c>
    </row>
    <row r="230" spans="2:6" x14ac:dyDescent="0.3">
      <c r="B230" s="6">
        <v>1.7880179878099337E-3</v>
      </c>
      <c r="C230" s="6"/>
      <c r="D230" s="6" t="e" cm="1">
        <f t="array" ref="D230">MMULT(_xlfn.ANCHORARRAY(K206),B230:B236)</f>
        <v>#REF!</v>
      </c>
      <c r="E230" s="6"/>
      <c r="F230" s="6" t="e">
        <f>D230/SUM(_xlfn.ANCHORARRAY($D$230))</f>
        <v>#REF!</v>
      </c>
    </row>
    <row r="231" spans="2:6" x14ac:dyDescent="0.3">
      <c r="B231" s="6">
        <v>9.8294764964444968E-3</v>
      </c>
      <c r="C231" s="6"/>
      <c r="D231" s="6"/>
      <c r="E231" s="6"/>
      <c r="F231" s="6" t="e">
        <f t="shared" ref="F231:F236" si="0">D231/SUM(_xlfn.ANCHORARRAY($D$230))</f>
        <v>#REF!</v>
      </c>
    </row>
    <row r="232" spans="2:6" x14ac:dyDescent="0.3">
      <c r="B232" s="6">
        <v>2.5593541462097268E-3</v>
      </c>
      <c r="C232" s="6"/>
      <c r="D232" s="6"/>
      <c r="E232" s="6"/>
      <c r="F232" s="6" t="e">
        <f t="shared" si="0"/>
        <v>#REF!</v>
      </c>
    </row>
    <row r="233" spans="2:6" x14ac:dyDescent="0.3">
      <c r="B233" s="6">
        <v>2.7093483354711065E-3</v>
      </c>
      <c r="C233" s="6"/>
      <c r="D233" s="6"/>
      <c r="E233" s="6"/>
      <c r="F233" s="6" t="e">
        <f t="shared" si="0"/>
        <v>#REF!</v>
      </c>
    </row>
    <row r="234" spans="2:6" x14ac:dyDescent="0.3">
      <c r="B234" s="6">
        <v>8.567778126107895E-4</v>
      </c>
      <c r="C234" s="6"/>
      <c r="D234" s="6"/>
      <c r="E234" s="6"/>
      <c r="F234" s="6" t="e">
        <f t="shared" si="0"/>
        <v>#REF!</v>
      </c>
    </row>
    <row r="235" spans="2:6" x14ac:dyDescent="0.3">
      <c r="B235" s="6">
        <v>1.479639721229632E-3</v>
      </c>
      <c r="C235" s="6"/>
      <c r="D235" s="6"/>
      <c r="E235" s="6"/>
      <c r="F235" s="6" t="e">
        <f t="shared" si="0"/>
        <v>#REF!</v>
      </c>
    </row>
    <row r="236" spans="2:6" x14ac:dyDescent="0.3">
      <c r="B236" s="6">
        <v>3.8655873101959295E-3</v>
      </c>
      <c r="C236" s="6"/>
      <c r="D236" s="6"/>
      <c r="E236" s="6"/>
      <c r="F236" s="6" t="e">
        <f t="shared" si="0"/>
        <v>#REF!</v>
      </c>
    </row>
    <row r="238" spans="2:6" x14ac:dyDescent="0.3">
      <c r="E238" s="2" t="s">
        <v>20</v>
      </c>
      <c r="F238" t="e">
        <f>SUM(F230:F236)</f>
        <v>#REF!</v>
      </c>
    </row>
    <row r="242" spans="3:6" x14ac:dyDescent="0.3">
      <c r="E242" s="2" t="s">
        <v>11</v>
      </c>
      <c r="F242" s="4" t="e">
        <f>SUMPRODUCT(F230:F236,B230:B236)</f>
        <v>#REF!</v>
      </c>
    </row>
    <row r="243" spans="3:6" x14ac:dyDescent="0.3">
      <c r="E243" s="2" t="s">
        <v>18</v>
      </c>
      <c r="F243" s="4" t="e" cm="1">
        <f t="array" ref="F243">MMULT(TRANSPOSE(F230:F236),MMULT(_xlfn.ANCHORARRAY(B206),F230:F236))</f>
        <v>#REF!</v>
      </c>
    </row>
    <row r="244" spans="3:6" x14ac:dyDescent="0.3">
      <c r="D244" s="4"/>
      <c r="E244" s="2" t="s">
        <v>19</v>
      </c>
      <c r="F244" s="4" t="e">
        <f>SQRT(F243)</f>
        <v>#REF!</v>
      </c>
    </row>
    <row r="246" spans="3:6" x14ac:dyDescent="0.3">
      <c r="D246" s="4"/>
      <c r="E246" s="4"/>
    </row>
    <row r="247" spans="3:6" x14ac:dyDescent="0.3">
      <c r="C247" s="24" t="s">
        <v>43</v>
      </c>
      <c r="D247" s="24"/>
      <c r="E247" s="9" t="e">
        <f>F242/F244</f>
        <v>#REF!</v>
      </c>
    </row>
  </sheetData>
  <mergeCells count="11">
    <mergeCell ref="J2:P2"/>
    <mergeCell ref="A1:Y1"/>
    <mergeCell ref="A2:H2"/>
    <mergeCell ref="R2:X2"/>
    <mergeCell ref="B204:H204"/>
    <mergeCell ref="K204:Q204"/>
    <mergeCell ref="C247:D247"/>
    <mergeCell ref="J220:K220"/>
    <mergeCell ref="J221:K221"/>
    <mergeCell ref="J222:K222"/>
    <mergeCell ref="B227:F2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0BAD-5F56-4A31-BF7D-62AD5AC95F6E}">
  <sheetPr codeName="Sheet2"/>
  <dimension ref="D3:AC209"/>
  <sheetViews>
    <sheetView tabSelected="1" workbookViewId="0">
      <selection activeCell="E6" sqref="E6"/>
    </sheetView>
  </sheetViews>
  <sheetFormatPr defaultRowHeight="14.4" x14ac:dyDescent="0.3"/>
  <sheetData>
    <row r="3" spans="5:20" x14ac:dyDescent="0.3">
      <c r="E3" s="23" t="s">
        <v>1</v>
      </c>
      <c r="F3" s="23"/>
      <c r="G3" s="23"/>
      <c r="H3" s="23"/>
      <c r="I3" s="23"/>
      <c r="J3" s="23"/>
      <c r="K3" s="23"/>
      <c r="N3" s="23" t="s">
        <v>12</v>
      </c>
      <c r="O3" s="23"/>
      <c r="P3" s="23"/>
      <c r="Q3" s="23"/>
      <c r="R3" s="23"/>
      <c r="S3" s="23"/>
      <c r="T3" s="23"/>
    </row>
    <row r="4" spans="5:20" x14ac:dyDescent="0.3">
      <c r="E4" s="26" t="s">
        <v>3</v>
      </c>
      <c r="F4" s="26" t="s">
        <v>4</v>
      </c>
      <c r="G4" s="26" t="s">
        <v>5</v>
      </c>
      <c r="H4" s="26" t="s">
        <v>6</v>
      </c>
      <c r="I4" s="26" t="s">
        <v>7</v>
      </c>
      <c r="J4" s="26" t="s">
        <v>8</v>
      </c>
      <c r="K4" s="26" t="s">
        <v>9</v>
      </c>
      <c r="N4" s="28" t="s">
        <v>3</v>
      </c>
      <c r="O4" s="28" t="s">
        <v>4</v>
      </c>
      <c r="P4" s="28" t="s">
        <v>5</v>
      </c>
      <c r="Q4" s="28" t="s">
        <v>6</v>
      </c>
      <c r="R4" s="28" t="s">
        <v>7</v>
      </c>
      <c r="S4" s="28" t="s">
        <v>8</v>
      </c>
      <c r="T4" s="28" t="s">
        <v>9</v>
      </c>
    </row>
    <row r="5" spans="5:20" x14ac:dyDescent="0.3">
      <c r="E5" s="27"/>
      <c r="F5" s="27"/>
      <c r="G5" s="27"/>
      <c r="H5" s="27"/>
      <c r="I5" s="27"/>
      <c r="J5" s="27"/>
      <c r="K5" s="27"/>
      <c r="N5" s="29"/>
      <c r="O5" s="29"/>
      <c r="P5" s="29"/>
      <c r="Q5" s="29"/>
      <c r="R5" s="29"/>
      <c r="S5" s="29"/>
      <c r="T5" s="29"/>
    </row>
    <row r="6" spans="5:20" x14ac:dyDescent="0.3">
      <c r="E6" s="6">
        <f>LN('Data of Top 7 Stocks'!B5/'Data of Top 7 Stocks'!B4)</f>
        <v>-6.3572134750396206E-2</v>
      </c>
      <c r="F6" s="6">
        <f>LN('Data of Top 7 Stocks'!C5/'Data of Top 7 Stocks'!C4)</f>
        <v>-0.14215902243145132</v>
      </c>
      <c r="G6" s="6">
        <f>LN('Data of Top 7 Stocks'!D5/'Data of Top 7 Stocks'!D4)</f>
        <v>-4.6756450202727964E-2</v>
      </c>
      <c r="H6" s="6">
        <f>LN('Data of Top 7 Stocks'!E5/'Data of Top 7 Stocks'!E4)</f>
        <v>-6.7698081427939594E-2</v>
      </c>
      <c r="I6" s="6">
        <f>LN('Data of Top 7 Stocks'!F5/'Data of Top 7 Stocks'!F4)</f>
        <v>-0.10616431165130602</v>
      </c>
      <c r="J6" s="6">
        <f>LN('Data of Top 7 Stocks'!G5/'Data of Top 7 Stocks'!G4)</f>
        <v>-0.12813618600467608</v>
      </c>
      <c r="K6" s="6">
        <f>LN('Data of Top 7 Stocks'!H5/'Data of Top 7 Stocks'!H4)</f>
        <v>-9.0540014444080247E-2</v>
      </c>
      <c r="N6" s="6">
        <f>E6-E$203</f>
        <v>-6.536015273820614E-2</v>
      </c>
      <c r="O6" s="6">
        <f t="shared" ref="O6:T6" si="0">F6-F$203</f>
        <v>-0.15198849892789582</v>
      </c>
      <c r="P6" s="6">
        <f t="shared" si="0"/>
        <v>-4.9315804348937689E-2</v>
      </c>
      <c r="Q6" s="6">
        <f t="shared" si="0"/>
        <v>-7.0407429763410703E-2</v>
      </c>
      <c r="R6" s="6">
        <f t="shared" si="0"/>
        <v>-0.10702108946391681</v>
      </c>
      <c r="S6" s="6">
        <f t="shared" si="0"/>
        <v>-0.12961582572590571</v>
      </c>
      <c r="T6" s="6">
        <f t="shared" si="0"/>
        <v>-9.4405601754276175E-2</v>
      </c>
    </row>
    <row r="7" spans="5:20" x14ac:dyDescent="0.3">
      <c r="E7" s="6">
        <f>LN('Data of Top 7 Stocks'!B6/'Data of Top 7 Stocks'!B5)</f>
        <v>4.761372968597441E-2</v>
      </c>
      <c r="F7" s="6">
        <f>LN('Data of Top 7 Stocks'!C6/'Data of Top 7 Stocks'!C5)</f>
        <v>-2.2939763762957151E-2</v>
      </c>
      <c r="G7" s="6">
        <f>LN('Data of Top 7 Stocks'!D6/'Data of Top 7 Stocks'!D5)</f>
        <v>4.0482782178863287E-2</v>
      </c>
      <c r="H7" s="6">
        <f>LN('Data of Top 7 Stocks'!E6/'Data of Top 7 Stocks'!E5)</f>
        <v>2.2754110248512562E-2</v>
      </c>
      <c r="I7" s="6">
        <f>LN('Data of Top 7 Stocks'!F6/'Data of Top 7 Stocks'!F5)</f>
        <v>-0.10906483292406909</v>
      </c>
      <c r="J7" s="6">
        <f>LN('Data of Top 7 Stocks'!G6/'Data of Top 7 Stocks'!G5)</f>
        <v>9.3504274862719269E-3</v>
      </c>
      <c r="K7" s="6">
        <f>LN('Data of Top 7 Stocks'!H6/'Data of Top 7 Stocks'!H5)</f>
        <v>-4.8274131573499673E-3</v>
      </c>
      <c r="N7" s="6">
        <f t="shared" ref="N7:N70" si="1">E7-E$203</f>
        <v>4.5825711698164476E-2</v>
      </c>
      <c r="O7" s="6">
        <f t="shared" ref="O7:O70" si="2">F7-F$203</f>
        <v>-3.2769240259401644E-2</v>
      </c>
      <c r="P7" s="6">
        <f t="shared" ref="P7:P70" si="3">G7-G$203</f>
        <v>3.7923428032653562E-2</v>
      </c>
      <c r="Q7" s="6">
        <f t="shared" ref="Q7:Q70" si="4">H7-H$203</f>
        <v>2.0044761913041456E-2</v>
      </c>
      <c r="R7" s="6">
        <f t="shared" ref="R7:R70" si="5">I7-I$203</f>
        <v>-0.10992161073667987</v>
      </c>
      <c r="S7" s="6">
        <f t="shared" ref="S7:S70" si="6">J7-J$203</f>
        <v>7.870787765042294E-3</v>
      </c>
      <c r="T7" s="6">
        <f t="shared" ref="T7:T70" si="7">K7-K$203</f>
        <v>-8.6930004675458972E-3</v>
      </c>
    </row>
    <row r="8" spans="5:20" x14ac:dyDescent="0.3">
      <c r="E8" s="6">
        <f>LN('Data of Top 7 Stocks'!B7/'Data of Top 7 Stocks'!B6)</f>
        <v>1.2021620034401223E-2</v>
      </c>
      <c r="F8" s="6">
        <f>LN('Data of Top 7 Stocks'!C7/'Data of Top 7 Stocks'!C6)</f>
        <v>6.2785672310156804E-2</v>
      </c>
      <c r="G8" s="6">
        <f>LN('Data of Top 7 Stocks'!D7/'Data of Top 7 Stocks'!D6)</f>
        <v>-7.5545784234543013E-3</v>
      </c>
      <c r="H8" s="6">
        <f>LN('Data of Top 7 Stocks'!E7/'Data of Top 7 Stocks'!E6)</f>
        <v>7.1893298100488168E-2</v>
      </c>
      <c r="I8" s="6">
        <f>LN('Data of Top 7 Stocks'!F7/'Data of Top 7 Stocks'!F6)</f>
        <v>8.7020238427752639E-2</v>
      </c>
      <c r="J8" s="6">
        <f>LN('Data of Top 7 Stocks'!G7/'Data of Top 7 Stocks'!G6)</f>
        <v>9.0639551285646117E-2</v>
      </c>
      <c r="K8" s="6">
        <f>LN('Data of Top 7 Stocks'!H7/'Data of Top 7 Stocks'!H6)</f>
        <v>-0.24102647523950496</v>
      </c>
      <c r="N8" s="6">
        <f t="shared" si="1"/>
        <v>1.0233602046591289E-2</v>
      </c>
      <c r="O8" s="6">
        <f t="shared" si="2"/>
        <v>5.2956195813712303E-2</v>
      </c>
      <c r="P8" s="6">
        <f t="shared" si="3"/>
        <v>-1.0113932569664029E-2</v>
      </c>
      <c r="Q8" s="6">
        <f t="shared" si="4"/>
        <v>6.9183949765017058E-2</v>
      </c>
      <c r="R8" s="6">
        <f t="shared" si="5"/>
        <v>8.6163460615141851E-2</v>
      </c>
      <c r="S8" s="6">
        <f t="shared" si="6"/>
        <v>8.915991156441648E-2</v>
      </c>
      <c r="T8" s="6">
        <f t="shared" si="7"/>
        <v>-0.24489206254970089</v>
      </c>
    </row>
    <row r="9" spans="5:20" x14ac:dyDescent="0.3">
      <c r="E9" s="6">
        <f>LN('Data of Top 7 Stocks'!B8/'Data of Top 7 Stocks'!B7)</f>
        <v>-2.1993086553889825E-2</v>
      </c>
      <c r="F9" s="6">
        <f>LN('Data of Top 7 Stocks'!C8/'Data of Top 7 Stocks'!C7)</f>
        <v>-1.5330733241042005E-2</v>
      </c>
      <c r="G9" s="6">
        <f>LN('Data of Top 7 Stocks'!D8/'Data of Top 7 Stocks'!D7)</f>
        <v>-3.6278063926890335E-2</v>
      </c>
      <c r="H9" s="6">
        <f>LN('Data of Top 7 Stocks'!E8/'Data of Top 7 Stocks'!E7)</f>
        <v>-6.4943376616677179E-2</v>
      </c>
      <c r="I9" s="6">
        <f>LN('Data of Top 7 Stocks'!F8/'Data of Top 7 Stocks'!F7)</f>
        <v>-7.1021022348914054E-2</v>
      </c>
      <c r="J9" s="6">
        <f>LN('Data of Top 7 Stocks'!G8/'Data of Top 7 Stocks'!G7)</f>
        <v>-2.7982400148786848E-2</v>
      </c>
      <c r="K9" s="6">
        <f>LN('Data of Top 7 Stocks'!H8/'Data of Top 7 Stocks'!H7)</f>
        <v>-7.685981887726713E-2</v>
      </c>
      <c r="N9" s="6">
        <f t="shared" si="1"/>
        <v>-2.3781104541699759E-2</v>
      </c>
      <c r="O9" s="6">
        <f t="shared" si="2"/>
        <v>-2.5160209737486502E-2</v>
      </c>
      <c r="P9" s="6">
        <f t="shared" si="3"/>
        <v>-3.8837418073100059E-2</v>
      </c>
      <c r="Q9" s="6">
        <f t="shared" si="4"/>
        <v>-6.7652724952148288E-2</v>
      </c>
      <c r="R9" s="6">
        <f t="shared" si="5"/>
        <v>-7.1877800161524841E-2</v>
      </c>
      <c r="S9" s="6">
        <f t="shared" si="6"/>
        <v>-2.9462039870016481E-2</v>
      </c>
      <c r="T9" s="6">
        <f t="shared" si="7"/>
        <v>-8.0725406187463059E-2</v>
      </c>
    </row>
    <row r="10" spans="5:20" x14ac:dyDescent="0.3">
      <c r="E10" s="6">
        <f>LN('Data of Top 7 Stocks'!B9/'Data of Top 7 Stocks'!B8)</f>
        <v>-7.977657360219095E-3</v>
      </c>
      <c r="F10" s="6">
        <f>LN('Data of Top 7 Stocks'!C9/'Data of Top 7 Stocks'!C8)</f>
        <v>-1.3028131319026687E-2</v>
      </c>
      <c r="G10" s="6">
        <f>LN('Data of Top 7 Stocks'!D9/'Data of Top 7 Stocks'!D8)</f>
        <v>-2.4393545330627372E-2</v>
      </c>
      <c r="H10" s="6">
        <f>LN('Data of Top 7 Stocks'!E9/'Data of Top 7 Stocks'!E8)</f>
        <v>-2.9320522619281513E-2</v>
      </c>
      <c r="I10" s="6">
        <f>LN('Data of Top 7 Stocks'!F9/'Data of Top 7 Stocks'!F8)</f>
        <v>-3.5294359843344859E-3</v>
      </c>
      <c r="J10" s="6">
        <f>LN('Data of Top 7 Stocks'!G9/'Data of Top 7 Stocks'!G8)</f>
        <v>-4.5114333276594261E-3</v>
      </c>
      <c r="K10" s="6">
        <f>LN('Data of Top 7 Stocks'!H9/'Data of Top 7 Stocks'!H8)</f>
        <v>-6.292743066361689E-2</v>
      </c>
      <c r="N10" s="6">
        <f t="shared" si="1"/>
        <v>-9.7656753480290289E-3</v>
      </c>
      <c r="O10" s="6">
        <f t="shared" si="2"/>
        <v>-2.2857607815471186E-2</v>
      </c>
      <c r="P10" s="6">
        <f t="shared" si="3"/>
        <v>-2.69528994768371E-2</v>
      </c>
      <c r="Q10" s="6">
        <f t="shared" si="4"/>
        <v>-3.2029870954752619E-2</v>
      </c>
      <c r="R10" s="6">
        <f t="shared" si="5"/>
        <v>-4.3862137969452753E-3</v>
      </c>
      <c r="S10" s="6">
        <f t="shared" si="6"/>
        <v>-5.9910730488890581E-3</v>
      </c>
      <c r="T10" s="6">
        <f t="shared" si="7"/>
        <v>-6.6793017973812818E-2</v>
      </c>
    </row>
    <row r="11" spans="5:20" x14ac:dyDescent="0.3">
      <c r="E11" s="6">
        <f>LN('Data of Top 7 Stocks'!B10/'Data of Top 7 Stocks'!B9)</f>
        <v>-1.4752638475038295E-2</v>
      </c>
      <c r="F11" s="6">
        <f>LN('Data of Top 7 Stocks'!C10/'Data of Top 7 Stocks'!C9)</f>
        <v>2.1758180528716777E-2</v>
      </c>
      <c r="G11" s="6">
        <f>LN('Data of Top 7 Stocks'!D10/'Data of Top 7 Stocks'!D9)</f>
        <v>3.2057970458624678E-2</v>
      </c>
      <c r="H11" s="6">
        <f>LN('Data of Top 7 Stocks'!E10/'Data of Top 7 Stocks'!E9)</f>
        <v>3.0660107548338148E-2</v>
      </c>
      <c r="I11" s="6">
        <f>LN('Data of Top 7 Stocks'!F10/'Data of Top 7 Stocks'!F9)</f>
        <v>-5.6528492559276861E-2</v>
      </c>
      <c r="J11" s="6">
        <f>LN('Data of Top 7 Stocks'!G10/'Data of Top 7 Stocks'!G9)</f>
        <v>7.7679166014755011E-3</v>
      </c>
      <c r="K11" s="6">
        <f>LN('Data of Top 7 Stocks'!H10/'Data of Top 7 Stocks'!H9)</f>
        <v>2.0738070387927736E-2</v>
      </c>
      <c r="N11" s="6">
        <f t="shared" si="1"/>
        <v>-1.6540656462848229E-2</v>
      </c>
      <c r="O11" s="6">
        <f t="shared" si="2"/>
        <v>1.192870403227228E-2</v>
      </c>
      <c r="P11" s="6">
        <f t="shared" si="3"/>
        <v>2.949861631241495E-2</v>
      </c>
      <c r="Q11" s="6">
        <f t="shared" si="4"/>
        <v>2.7950759212867042E-2</v>
      </c>
      <c r="R11" s="6">
        <f t="shared" si="5"/>
        <v>-5.7385270371887648E-2</v>
      </c>
      <c r="S11" s="6">
        <f t="shared" si="6"/>
        <v>6.288276880245869E-3</v>
      </c>
      <c r="T11" s="6">
        <f t="shared" si="7"/>
        <v>1.6872483077731808E-2</v>
      </c>
    </row>
    <row r="12" spans="5:20" x14ac:dyDescent="0.3">
      <c r="E12" s="6">
        <f>LN('Data of Top 7 Stocks'!B11/'Data of Top 7 Stocks'!B10)</f>
        <v>-1.0243367414760989E-2</v>
      </c>
      <c r="F12" s="6">
        <f>LN('Data of Top 7 Stocks'!C11/'Data of Top 7 Stocks'!C10)</f>
        <v>-5.1816261365389575E-2</v>
      </c>
      <c r="G12" s="6">
        <f>LN('Data of Top 7 Stocks'!D11/'Data of Top 7 Stocks'!D10)</f>
        <v>-2.5377317701856122E-2</v>
      </c>
      <c r="H12" s="6">
        <f>LN('Data of Top 7 Stocks'!E11/'Data of Top 7 Stocks'!E10)</f>
        <v>-1.9146885180062238E-2</v>
      </c>
      <c r="I12" s="6">
        <f>LN('Data of Top 7 Stocks'!F11/'Data of Top 7 Stocks'!F10)</f>
        <v>3.4478014125612584E-2</v>
      </c>
      <c r="J12" s="6">
        <f>LN('Data of Top 7 Stocks'!G11/'Data of Top 7 Stocks'!G10)</f>
        <v>-5.4450212144599469E-2</v>
      </c>
      <c r="K12" s="6">
        <f>LN('Data of Top 7 Stocks'!H11/'Data of Top 7 Stocks'!H10)</f>
        <v>-5.0773315175002567E-2</v>
      </c>
      <c r="N12" s="6">
        <f t="shared" si="1"/>
        <v>-1.2031385402570923E-2</v>
      </c>
      <c r="O12" s="6">
        <f t="shared" si="2"/>
        <v>-6.1645737861834068E-2</v>
      </c>
      <c r="P12" s="6">
        <f t="shared" si="3"/>
        <v>-2.793667184806585E-2</v>
      </c>
      <c r="Q12" s="6">
        <f t="shared" si="4"/>
        <v>-2.1856233515533344E-2</v>
      </c>
      <c r="R12" s="6">
        <f t="shared" si="5"/>
        <v>3.3621236313001797E-2</v>
      </c>
      <c r="S12" s="6">
        <f t="shared" si="6"/>
        <v>-5.5929851865829099E-2</v>
      </c>
      <c r="T12" s="6">
        <f t="shared" si="7"/>
        <v>-5.4638902485198496E-2</v>
      </c>
    </row>
    <row r="13" spans="5:20" x14ac:dyDescent="0.3">
      <c r="E13" s="6">
        <f>LN('Data of Top 7 Stocks'!B12/'Data of Top 7 Stocks'!B11)</f>
        <v>-5.311093960139774E-2</v>
      </c>
      <c r="F13" s="6">
        <f>LN('Data of Top 7 Stocks'!C12/'Data of Top 7 Stocks'!C11)</f>
        <v>-3.7304503177517455E-2</v>
      </c>
      <c r="G13" s="6">
        <f>LN('Data of Top 7 Stocks'!D12/'Data of Top 7 Stocks'!D11)</f>
        <v>-3.435847586991346E-2</v>
      </c>
      <c r="H13" s="6">
        <f>LN('Data of Top 7 Stocks'!E12/'Data of Top 7 Stocks'!E11)</f>
        <v>-1.5585921738829495E-2</v>
      </c>
      <c r="I13" s="6">
        <f>LN('Data of Top 7 Stocks'!F12/'Data of Top 7 Stocks'!F11)</f>
        <v>-5.2569260322565543E-2</v>
      </c>
      <c r="J13" s="6">
        <f>LN('Data of Top 7 Stocks'!G12/'Data of Top 7 Stocks'!G11)</f>
        <v>-8.2428909736568308E-4</v>
      </c>
      <c r="K13" s="6">
        <f>LN('Data of Top 7 Stocks'!H12/'Data of Top 7 Stocks'!H11)</f>
        <v>-6.4251981501514982E-2</v>
      </c>
      <c r="N13" s="6">
        <f t="shared" si="1"/>
        <v>-5.4898957589207674E-2</v>
      </c>
      <c r="O13" s="6">
        <f t="shared" si="2"/>
        <v>-4.7133979673961948E-2</v>
      </c>
      <c r="P13" s="6">
        <f t="shared" si="3"/>
        <v>-3.6917830016123185E-2</v>
      </c>
      <c r="Q13" s="6">
        <f t="shared" si="4"/>
        <v>-1.8295270074300603E-2</v>
      </c>
      <c r="R13" s="6">
        <f t="shared" si="5"/>
        <v>-5.3426038135176331E-2</v>
      </c>
      <c r="S13" s="6">
        <f t="shared" si="6"/>
        <v>-2.303928818595315E-3</v>
      </c>
      <c r="T13" s="6">
        <f t="shared" si="7"/>
        <v>-6.811756881171091E-2</v>
      </c>
    </row>
    <row r="14" spans="5:20" x14ac:dyDescent="0.3">
      <c r="E14" s="6">
        <f>LN('Data of Top 7 Stocks'!B13/'Data of Top 7 Stocks'!B12)</f>
        <v>5.8062806666450389E-2</v>
      </c>
      <c r="F14" s="6">
        <f>LN('Data of Top 7 Stocks'!C13/'Data of Top 7 Stocks'!C12)</f>
        <v>0.17967854978060122</v>
      </c>
      <c r="G14" s="6">
        <f>LN('Data of Top 7 Stocks'!D13/'Data of Top 7 Stocks'!D12)</f>
        <v>7.017520982336925E-2</v>
      </c>
      <c r="H14" s="6">
        <f>LN('Data of Top 7 Stocks'!E13/'Data of Top 7 Stocks'!E12)</f>
        <v>4.7076361402382846E-2</v>
      </c>
      <c r="I14" s="6">
        <f>LN('Data of Top 7 Stocks'!F13/'Data of Top 7 Stocks'!F12)</f>
        <v>0.12958199265549572</v>
      </c>
      <c r="J14" s="6">
        <f>LN('Data of Top 7 Stocks'!G13/'Data of Top 7 Stocks'!G12)</f>
        <v>0.10264242146601493</v>
      </c>
      <c r="K14" s="6">
        <f>LN('Data of Top 7 Stocks'!H13/'Data of Top 7 Stocks'!H12)</f>
        <v>0.14317901694381946</v>
      </c>
      <c r="N14" s="6">
        <f t="shared" si="1"/>
        <v>5.6274788678640456E-2</v>
      </c>
      <c r="O14" s="6">
        <f t="shared" si="2"/>
        <v>0.16984907328415672</v>
      </c>
      <c r="P14" s="6">
        <f t="shared" si="3"/>
        <v>6.7615855677159525E-2</v>
      </c>
      <c r="Q14" s="6">
        <f t="shared" si="4"/>
        <v>4.4367013066911737E-2</v>
      </c>
      <c r="R14" s="6">
        <f t="shared" si="5"/>
        <v>0.12872521484288493</v>
      </c>
      <c r="S14" s="6">
        <f t="shared" si="6"/>
        <v>0.1011627817447853</v>
      </c>
      <c r="T14" s="6">
        <f t="shared" si="7"/>
        <v>0.13931342963362353</v>
      </c>
    </row>
    <row r="15" spans="5:20" x14ac:dyDescent="0.3">
      <c r="E15" s="6">
        <f>LN('Data of Top 7 Stocks'!B14/'Data of Top 7 Stocks'!B13)</f>
        <v>6.3440223388508729E-2</v>
      </c>
      <c r="F15" s="6">
        <f>LN('Data of Top 7 Stocks'!C14/'Data of Top 7 Stocks'!C13)</f>
        <v>4.5815178878562138E-2</v>
      </c>
      <c r="G15" s="6">
        <f>LN('Data of Top 7 Stocks'!D14/'Data of Top 7 Stocks'!D13)</f>
        <v>1.075973367373702E-2</v>
      </c>
      <c r="H15" s="6">
        <f>LN('Data of Top 7 Stocks'!E14/'Data of Top 7 Stocks'!E13)</f>
        <v>3.9890097866877756E-2</v>
      </c>
      <c r="I15" s="6">
        <f>LN('Data of Top 7 Stocks'!F14/'Data of Top 7 Stocks'!F13)</f>
        <v>0.10996223751992373</v>
      </c>
      <c r="J15" s="6">
        <f>LN('Data of Top 7 Stocks'!G14/'Data of Top 7 Stocks'!G13)</f>
        <v>2.1594606393458275E-2</v>
      </c>
      <c r="K15" s="6">
        <f>LN('Data of Top 7 Stocks'!H14/'Data of Top 7 Stocks'!H13)</f>
        <v>2.4321885177256412E-2</v>
      </c>
      <c r="N15" s="6">
        <f t="shared" si="1"/>
        <v>6.1652205400698795E-2</v>
      </c>
      <c r="O15" s="6">
        <f t="shared" si="2"/>
        <v>3.5985702382117637E-2</v>
      </c>
      <c r="P15" s="6">
        <f t="shared" si="3"/>
        <v>8.2003795275272934E-3</v>
      </c>
      <c r="Q15" s="6">
        <f t="shared" si="4"/>
        <v>3.7180749531406647E-2</v>
      </c>
      <c r="R15" s="6">
        <f t="shared" si="5"/>
        <v>0.10910545970731295</v>
      </c>
      <c r="S15" s="6">
        <f t="shared" si="6"/>
        <v>2.0114966672228642E-2</v>
      </c>
      <c r="T15" s="6">
        <f t="shared" si="7"/>
        <v>2.0456297867060484E-2</v>
      </c>
    </row>
    <row r="16" spans="5:20" x14ac:dyDescent="0.3">
      <c r="E16" s="6">
        <f>LN('Data of Top 7 Stocks'!B15/'Data of Top 7 Stocks'!B14)</f>
        <v>-2.3493693297660751E-3</v>
      </c>
      <c r="F16" s="6">
        <f>LN('Data of Top 7 Stocks'!C15/'Data of Top 7 Stocks'!C14)</f>
        <v>-3.6033310061000953E-2</v>
      </c>
      <c r="G16" s="6">
        <f>LN('Data of Top 7 Stocks'!D15/'Data of Top 7 Stocks'!D14)</f>
        <v>1.8725061869359596E-2</v>
      </c>
      <c r="H16" s="6">
        <f>LN('Data of Top 7 Stocks'!E15/'Data of Top 7 Stocks'!E14)</f>
        <v>-1.078713178046219E-2</v>
      </c>
      <c r="I16" s="6">
        <f>LN('Data of Top 7 Stocks'!F15/'Data of Top 7 Stocks'!F14)</f>
        <v>7.0618241853737801E-2</v>
      </c>
      <c r="J16" s="6">
        <f>LN('Data of Top 7 Stocks'!G15/'Data of Top 7 Stocks'!G14)</f>
        <v>-7.3706665728985659E-3</v>
      </c>
      <c r="K16" s="6">
        <f>LN('Data of Top 7 Stocks'!H15/'Data of Top 7 Stocks'!H14)</f>
        <v>1.3567271040120945E-2</v>
      </c>
      <c r="N16" s="6">
        <f t="shared" si="1"/>
        <v>-4.1373873175760091E-3</v>
      </c>
      <c r="O16" s="6">
        <f t="shared" si="2"/>
        <v>-4.5862786557445454E-2</v>
      </c>
      <c r="P16" s="6">
        <f t="shared" si="3"/>
        <v>1.6165707723149868E-2</v>
      </c>
      <c r="Q16" s="6">
        <f t="shared" si="4"/>
        <v>-1.3496480115933296E-2</v>
      </c>
      <c r="R16" s="6">
        <f t="shared" si="5"/>
        <v>6.9761464041127014E-2</v>
      </c>
      <c r="S16" s="6">
        <f t="shared" si="6"/>
        <v>-8.850306294128198E-3</v>
      </c>
      <c r="T16" s="6">
        <f t="shared" si="7"/>
        <v>9.7016837299250154E-3</v>
      </c>
    </row>
    <row r="17" spans="5:20" x14ac:dyDescent="0.3">
      <c r="E17" s="6">
        <f>LN('Data of Top 7 Stocks'!B16/'Data of Top 7 Stocks'!B15)</f>
        <v>-2.4507614500773701E-2</v>
      </c>
      <c r="F17" s="6">
        <f>LN('Data of Top 7 Stocks'!C16/'Data of Top 7 Stocks'!C15)</f>
        <v>-0.14433998331769271</v>
      </c>
      <c r="G17" s="6">
        <f>LN('Data of Top 7 Stocks'!D16/'Data of Top 7 Stocks'!D15)</f>
        <v>-4.1068453691096789E-2</v>
      </c>
      <c r="H17" s="6">
        <f>LN('Data of Top 7 Stocks'!E16/'Data of Top 7 Stocks'!E15)</f>
        <v>-5.0186071994870581E-2</v>
      </c>
      <c r="I17" s="6">
        <f>LN('Data of Top 7 Stocks'!F16/'Data of Top 7 Stocks'!F15)</f>
        <v>-5.6031488251438596E-2</v>
      </c>
      <c r="J17" s="6">
        <f>LN('Data of Top 7 Stocks'!G16/'Data of Top 7 Stocks'!G15)</f>
        <v>-5.7244732355323659E-2</v>
      </c>
      <c r="K17" s="6">
        <f>LN('Data of Top 7 Stocks'!H16/'Data of Top 7 Stocks'!H15)</f>
        <v>-1.1270748585339175E-2</v>
      </c>
      <c r="N17" s="6">
        <f t="shared" si="1"/>
        <v>-2.6295632488583635E-2</v>
      </c>
      <c r="O17" s="6">
        <f t="shared" si="2"/>
        <v>-0.15416945981413721</v>
      </c>
      <c r="P17" s="6">
        <f t="shared" si="3"/>
        <v>-4.3627807837306513E-2</v>
      </c>
      <c r="Q17" s="6">
        <f t="shared" si="4"/>
        <v>-5.289542033034169E-2</v>
      </c>
      <c r="R17" s="6">
        <f t="shared" si="5"/>
        <v>-5.6888266064049384E-2</v>
      </c>
      <c r="S17" s="6">
        <f t="shared" si="6"/>
        <v>-5.8724372076553288E-2</v>
      </c>
      <c r="T17" s="6">
        <f t="shared" si="7"/>
        <v>-1.5136335895535105E-2</v>
      </c>
    </row>
    <row r="18" spans="5:20" x14ac:dyDescent="0.3">
      <c r="E18" s="6">
        <f>LN('Data of Top 7 Stocks'!B17/'Data of Top 7 Stocks'!B16)</f>
        <v>-2.8626201796738353E-2</v>
      </c>
      <c r="F18" s="6">
        <f>LN('Data of Top 7 Stocks'!C17/'Data of Top 7 Stocks'!C16)</f>
        <v>-8.3870670890374796E-2</v>
      </c>
      <c r="G18" s="6">
        <f>LN('Data of Top 7 Stocks'!D17/'Data of Top 7 Stocks'!D16)</f>
        <v>-5.9448847673579767E-2</v>
      </c>
      <c r="H18" s="6">
        <f>LN('Data of Top 7 Stocks'!E17/'Data of Top 7 Stocks'!E16)</f>
        <v>-5.0468366521953939E-2</v>
      </c>
      <c r="I18" s="6">
        <f>LN('Data of Top 7 Stocks'!F17/'Data of Top 7 Stocks'!F16)</f>
        <v>-4.0294337287791124E-2</v>
      </c>
      <c r="J18" s="6">
        <f>LN('Data of Top 7 Stocks'!G17/'Data of Top 7 Stocks'!G16)</f>
        <v>-1.7964359381116433E-2</v>
      </c>
      <c r="K18" s="6">
        <f>LN('Data of Top 7 Stocks'!H17/'Data of Top 7 Stocks'!H16)</f>
        <v>-5.6198458193926819E-2</v>
      </c>
      <c r="N18" s="6">
        <f t="shared" si="1"/>
        <v>-3.0414219784548287E-2</v>
      </c>
      <c r="O18" s="6">
        <f t="shared" si="2"/>
        <v>-9.3700147386819296E-2</v>
      </c>
      <c r="P18" s="6">
        <f t="shared" si="3"/>
        <v>-6.2008201819789492E-2</v>
      </c>
      <c r="Q18" s="6">
        <f t="shared" si="4"/>
        <v>-5.3177714857425049E-2</v>
      </c>
      <c r="R18" s="6">
        <f t="shared" si="5"/>
        <v>-4.1151115100401911E-2</v>
      </c>
      <c r="S18" s="6">
        <f t="shared" si="6"/>
        <v>-1.9443999102346066E-2</v>
      </c>
      <c r="T18" s="6">
        <f t="shared" si="7"/>
        <v>-6.0064045504122747E-2</v>
      </c>
    </row>
    <row r="19" spans="5:20" x14ac:dyDescent="0.3">
      <c r="E19" s="6">
        <f>LN('Data of Top 7 Stocks'!B18/'Data of Top 7 Stocks'!B17)</f>
        <v>-2.1402308912016679E-2</v>
      </c>
      <c r="F19" s="6">
        <f>LN('Data of Top 7 Stocks'!C18/'Data of Top 7 Stocks'!C17)</f>
        <v>-8.5900218278781998E-2</v>
      </c>
      <c r="G19" s="6">
        <f>LN('Data of Top 7 Stocks'!D18/'Data of Top 7 Stocks'!D17)</f>
        <v>-2.0944686480569668E-2</v>
      </c>
      <c r="H19" s="6">
        <f>LN('Data of Top 7 Stocks'!E18/'Data of Top 7 Stocks'!E17)</f>
        <v>-5.7571605332225585E-2</v>
      </c>
      <c r="I19" s="6">
        <f>LN('Data of Top 7 Stocks'!F18/'Data of Top 7 Stocks'!F17)</f>
        <v>2.0171031367360034E-2</v>
      </c>
      <c r="J19" s="6">
        <f>LN('Data of Top 7 Stocks'!G18/'Data of Top 7 Stocks'!G17)</f>
        <v>-4.9729897651057349E-2</v>
      </c>
      <c r="K19" s="6">
        <f>LN('Data of Top 7 Stocks'!H18/'Data of Top 7 Stocks'!H17)</f>
        <v>-0.1324309013683351</v>
      </c>
      <c r="N19" s="6">
        <f t="shared" si="1"/>
        <v>-2.3190326899826613E-2</v>
      </c>
      <c r="O19" s="6">
        <f t="shared" si="2"/>
        <v>-9.5729694775226498E-2</v>
      </c>
      <c r="P19" s="6">
        <f t="shared" si="3"/>
        <v>-2.3504040626779396E-2</v>
      </c>
      <c r="Q19" s="6">
        <f t="shared" si="4"/>
        <v>-6.0280953667696695E-2</v>
      </c>
      <c r="R19" s="6">
        <f t="shared" si="5"/>
        <v>1.9314253554749243E-2</v>
      </c>
      <c r="S19" s="6">
        <f t="shared" si="6"/>
        <v>-5.1209537372286978E-2</v>
      </c>
      <c r="T19" s="6">
        <f t="shared" si="7"/>
        <v>-0.13629648867853103</v>
      </c>
    </row>
    <row r="20" spans="5:20" x14ac:dyDescent="0.3">
      <c r="E20" s="6">
        <f>LN('Data of Top 7 Stocks'!B19/'Data of Top 7 Stocks'!B18)</f>
        <v>-2.5921812026175411E-2</v>
      </c>
      <c r="F20" s="6">
        <f>LN('Data of Top 7 Stocks'!C19/'Data of Top 7 Stocks'!C18)</f>
        <v>-5.0457365581575785E-2</v>
      </c>
      <c r="G20" s="6">
        <f>LN('Data of Top 7 Stocks'!D19/'Data of Top 7 Stocks'!D18)</f>
        <v>1.2655413215817894E-2</v>
      </c>
      <c r="H20" s="6">
        <f>LN('Data of Top 7 Stocks'!E19/'Data of Top 7 Stocks'!E18)</f>
        <v>-4.7324338315158962E-2</v>
      </c>
      <c r="I20" s="6">
        <f>LN('Data of Top 7 Stocks'!F19/'Data of Top 7 Stocks'!F18)</f>
        <v>-0.14344761095753961</v>
      </c>
      <c r="J20" s="6">
        <f>LN('Data of Top 7 Stocks'!G19/'Data of Top 7 Stocks'!G18)</f>
        <v>-0.14970382158409734</v>
      </c>
      <c r="K20" s="6">
        <f>LN('Data of Top 7 Stocks'!H19/'Data of Top 7 Stocks'!H18)</f>
        <v>8.5131204547269426E-2</v>
      </c>
      <c r="N20" s="6">
        <f t="shared" si="1"/>
        <v>-2.7709830013985345E-2</v>
      </c>
      <c r="O20" s="6">
        <f t="shared" si="2"/>
        <v>-6.0286842078020278E-2</v>
      </c>
      <c r="P20" s="6">
        <f t="shared" si="3"/>
        <v>1.0096059069608167E-2</v>
      </c>
      <c r="Q20" s="6">
        <f t="shared" si="4"/>
        <v>-5.0033686650630071E-2</v>
      </c>
      <c r="R20" s="6">
        <f t="shared" si="5"/>
        <v>-0.14430438877015039</v>
      </c>
      <c r="S20" s="6">
        <f t="shared" si="6"/>
        <v>-0.15118346130532698</v>
      </c>
      <c r="T20" s="6">
        <f t="shared" si="7"/>
        <v>8.1265617237073498E-2</v>
      </c>
    </row>
    <row r="21" spans="5:20" x14ac:dyDescent="0.3">
      <c r="E21" s="6">
        <f>LN('Data of Top 7 Stocks'!B20/'Data of Top 7 Stocks'!B19)</f>
        <v>-2.3497295922134055E-3</v>
      </c>
      <c r="F21" s="6">
        <f>LN('Data of Top 7 Stocks'!C20/'Data of Top 7 Stocks'!C19)</f>
        <v>6.448168500187256E-3</v>
      </c>
      <c r="G21" s="6">
        <f>LN('Data of Top 7 Stocks'!D20/'Data of Top 7 Stocks'!D19)</f>
        <v>-1.0104205475924647E-2</v>
      </c>
      <c r="H21" s="6">
        <f>LN('Data of Top 7 Stocks'!E20/'Data of Top 7 Stocks'!E19)</f>
        <v>1.4269797519755207E-2</v>
      </c>
      <c r="I21" s="6">
        <f>LN('Data of Top 7 Stocks'!F20/'Data of Top 7 Stocks'!F19)</f>
        <v>-5.8742394210253906E-3</v>
      </c>
      <c r="J21" s="6">
        <f>LN('Data of Top 7 Stocks'!G20/'Data of Top 7 Stocks'!G19)</f>
        <v>-7.9606958832269703E-2</v>
      </c>
      <c r="K21" s="6">
        <f>LN('Data of Top 7 Stocks'!H20/'Data of Top 7 Stocks'!H19)</f>
        <v>1.6327297196460481E-2</v>
      </c>
      <c r="N21" s="6">
        <f t="shared" si="1"/>
        <v>-4.137747580023339E-3</v>
      </c>
      <c r="O21" s="6">
        <f t="shared" si="2"/>
        <v>-3.3813079962572408E-3</v>
      </c>
      <c r="P21" s="6">
        <f t="shared" si="3"/>
        <v>-1.2663559622134373E-2</v>
      </c>
      <c r="Q21" s="6">
        <f t="shared" si="4"/>
        <v>1.1560449184284101E-2</v>
      </c>
      <c r="R21" s="6">
        <f t="shared" si="5"/>
        <v>-6.7310172336361804E-3</v>
      </c>
      <c r="S21" s="6">
        <f t="shared" si="6"/>
        <v>-8.1086598553499339E-2</v>
      </c>
      <c r="T21" s="6">
        <f t="shared" si="7"/>
        <v>1.2461709886264551E-2</v>
      </c>
    </row>
    <row r="22" spans="5:20" x14ac:dyDescent="0.3">
      <c r="E22" s="6">
        <f>LN('Data of Top 7 Stocks'!B21/'Data of Top 7 Stocks'!B20)</f>
        <v>-6.6847050136735878E-2</v>
      </c>
      <c r="F22" s="6">
        <f>LN('Data of Top 7 Stocks'!C21/'Data of Top 7 Stocks'!C20)</f>
        <v>-5.2788505758889132E-2</v>
      </c>
      <c r="G22" s="6">
        <f>LN('Data of Top 7 Stocks'!D21/'Data of Top 7 Stocks'!D20)</f>
        <v>-5.0808725409827261E-2</v>
      </c>
      <c r="H22" s="6">
        <f>LN('Data of Top 7 Stocks'!E21/'Data of Top 7 Stocks'!E20)</f>
        <v>2.5884397541026064E-3</v>
      </c>
      <c r="I22" s="6">
        <f>LN('Data of Top 7 Stocks'!F21/'Data of Top 7 Stocks'!F20)</f>
        <v>-0.11762276432100194</v>
      </c>
      <c r="J22" s="6">
        <f>LN('Data of Top 7 Stocks'!G21/'Data of Top 7 Stocks'!G20)</f>
        <v>-1.5011474445432171E-2</v>
      </c>
      <c r="K22" s="6">
        <f>LN('Data of Top 7 Stocks'!H21/'Data of Top 7 Stocks'!H20)</f>
        <v>-2.5598455337632709E-2</v>
      </c>
      <c r="N22" s="6">
        <f t="shared" si="1"/>
        <v>-6.8635068124545812E-2</v>
      </c>
      <c r="O22" s="6">
        <f t="shared" si="2"/>
        <v>-6.2617982255333632E-2</v>
      </c>
      <c r="P22" s="6">
        <f t="shared" si="3"/>
        <v>-5.3368079556036986E-2</v>
      </c>
      <c r="Q22" s="6">
        <f t="shared" si="4"/>
        <v>-1.2090858136850008E-4</v>
      </c>
      <c r="R22" s="6">
        <f t="shared" si="5"/>
        <v>-0.11847954213361273</v>
      </c>
      <c r="S22" s="6">
        <f t="shared" si="6"/>
        <v>-1.6491114166661804E-2</v>
      </c>
      <c r="T22" s="6">
        <f t="shared" si="7"/>
        <v>-2.9464042647828637E-2</v>
      </c>
    </row>
    <row r="23" spans="5:20" x14ac:dyDescent="0.3">
      <c r="E23" s="6">
        <f>LN('Data of Top 7 Stocks'!B22/'Data of Top 7 Stocks'!B21)</f>
        <v>-6.6902357822395342E-2</v>
      </c>
      <c r="F23" s="6">
        <f>LN('Data of Top 7 Stocks'!C22/'Data of Top 7 Stocks'!C21)</f>
        <v>-5.9319714120998394E-2</v>
      </c>
      <c r="G23" s="6">
        <f>LN('Data of Top 7 Stocks'!D22/'Data of Top 7 Stocks'!D21)</f>
        <v>-3.3331227526006028E-2</v>
      </c>
      <c r="H23" s="6">
        <f>LN('Data of Top 7 Stocks'!E22/'Data of Top 7 Stocks'!E21)</f>
        <v>-6.3499279632851041E-2</v>
      </c>
      <c r="I23" s="6">
        <f>LN('Data of Top 7 Stocks'!F22/'Data of Top 7 Stocks'!F21)</f>
        <v>-0.14772636977896944</v>
      </c>
      <c r="J23" s="6">
        <f>LN('Data of Top 7 Stocks'!G22/'Data of Top 7 Stocks'!G21)</f>
        <v>-4.9590944641326899E-2</v>
      </c>
      <c r="K23" s="6">
        <f>LN('Data of Top 7 Stocks'!H22/'Data of Top 7 Stocks'!H21)</f>
        <v>-2.5909242022416089E-2</v>
      </c>
      <c r="N23" s="6">
        <f t="shared" si="1"/>
        <v>-6.8690375810205276E-2</v>
      </c>
      <c r="O23" s="6">
        <f t="shared" si="2"/>
        <v>-6.9149190617442888E-2</v>
      </c>
      <c r="P23" s="6">
        <f t="shared" si="3"/>
        <v>-3.5890581672215753E-2</v>
      </c>
      <c r="Q23" s="6">
        <f t="shared" si="4"/>
        <v>-6.6208627968322151E-2</v>
      </c>
      <c r="R23" s="6">
        <f t="shared" si="5"/>
        <v>-0.14858314759158023</v>
      </c>
      <c r="S23" s="6">
        <f t="shared" si="6"/>
        <v>-5.1070584362556529E-2</v>
      </c>
      <c r="T23" s="6">
        <f t="shared" si="7"/>
        <v>-2.9774829332612017E-2</v>
      </c>
    </row>
    <row r="24" spans="5:20" x14ac:dyDescent="0.3">
      <c r="E24" s="6">
        <f>LN('Data of Top 7 Stocks'!B23/'Data of Top 7 Stocks'!B22)</f>
        <v>8.3954161040220174E-2</v>
      </c>
      <c r="F24" s="6">
        <f>LN('Data of Top 7 Stocks'!C23/'Data of Top 7 Stocks'!C22)</f>
        <v>0.11957890563919514</v>
      </c>
      <c r="G24" s="6">
        <f>LN('Data of Top 7 Stocks'!D23/'Data of Top 7 Stocks'!D22)</f>
        <v>7.8701685613912442E-2</v>
      </c>
      <c r="H24" s="6">
        <f>LN('Data of Top 7 Stocks'!E23/'Data of Top 7 Stocks'!E22)</f>
        <v>3.0830087189905972E-2</v>
      </c>
      <c r="I24" s="6">
        <f>LN('Data of Top 7 Stocks'!F23/'Data of Top 7 Stocks'!F22)</f>
        <v>0.13469993690390517</v>
      </c>
      <c r="J24" s="6">
        <f>LN('Data of Top 7 Stocks'!G23/'Data of Top 7 Stocks'!G22)</f>
        <v>6.7907919660876503E-2</v>
      </c>
      <c r="K24" s="6">
        <f>LN('Data of Top 7 Stocks'!H23/'Data of Top 7 Stocks'!H22)</f>
        <v>8.1817936541108034E-3</v>
      </c>
      <c r="N24" s="6">
        <f t="shared" si="1"/>
        <v>8.216614305241024E-2</v>
      </c>
      <c r="O24" s="6">
        <f t="shared" si="2"/>
        <v>0.10974942914275064</v>
      </c>
      <c r="P24" s="6">
        <f t="shared" si="3"/>
        <v>7.6142331467702717E-2</v>
      </c>
      <c r="Q24" s="6">
        <f t="shared" si="4"/>
        <v>2.8120738854434866E-2</v>
      </c>
      <c r="R24" s="6">
        <f t="shared" si="5"/>
        <v>0.13384315909129438</v>
      </c>
      <c r="S24" s="6">
        <f t="shared" si="6"/>
        <v>6.6428279939646867E-2</v>
      </c>
      <c r="T24" s="6">
        <f t="shared" si="7"/>
        <v>4.3162063439148735E-3</v>
      </c>
    </row>
    <row r="25" spans="5:20" x14ac:dyDescent="0.3">
      <c r="E25" s="6">
        <f>LN('Data of Top 7 Stocks'!B24/'Data of Top 7 Stocks'!B23)</f>
        <v>-2.8881405423455977E-2</v>
      </c>
      <c r="F25" s="6">
        <f>LN('Data of Top 7 Stocks'!C24/'Data of Top 7 Stocks'!C23)</f>
        <v>-4.7961722634930551E-3</v>
      </c>
      <c r="G25" s="6">
        <f>LN('Data of Top 7 Stocks'!D24/'Data of Top 7 Stocks'!D23)</f>
        <v>-1.1854499534548594E-2</v>
      </c>
      <c r="H25" s="6">
        <f>LN('Data of Top 7 Stocks'!E24/'Data of Top 7 Stocks'!E23)</f>
        <v>1.9572166688210407E-2</v>
      </c>
      <c r="I25" s="6">
        <f>LN('Data of Top 7 Stocks'!F24/'Data of Top 7 Stocks'!F23)</f>
        <v>-7.6678311864894808E-2</v>
      </c>
      <c r="J25" s="6">
        <f>LN('Data of Top 7 Stocks'!G24/'Data of Top 7 Stocks'!G23)</f>
        <v>6.0650163621986386E-2</v>
      </c>
      <c r="K25" s="6">
        <f>LN('Data of Top 7 Stocks'!H24/'Data of Top 7 Stocks'!H23)</f>
        <v>-2.2545071389845312E-2</v>
      </c>
      <c r="N25" s="6">
        <f t="shared" si="1"/>
        <v>-3.0669423411265911E-2</v>
      </c>
      <c r="O25" s="6">
        <f t="shared" si="2"/>
        <v>-1.4625648759937552E-2</v>
      </c>
      <c r="P25" s="6">
        <f t="shared" si="3"/>
        <v>-1.441385368075832E-2</v>
      </c>
      <c r="Q25" s="6">
        <f t="shared" si="4"/>
        <v>1.6862818352739301E-2</v>
      </c>
      <c r="R25" s="6">
        <f t="shared" si="5"/>
        <v>-7.7535089677505595E-2</v>
      </c>
      <c r="S25" s="6">
        <f t="shared" si="6"/>
        <v>5.9170523900756757E-2</v>
      </c>
      <c r="T25" s="6">
        <f t="shared" si="7"/>
        <v>-2.641065870004124E-2</v>
      </c>
    </row>
    <row r="26" spans="5:20" x14ac:dyDescent="0.3">
      <c r="E26" s="6">
        <f>LN('Data of Top 7 Stocks'!B25/'Data of Top 7 Stocks'!B24)</f>
        <v>-5.8421623044726728E-2</v>
      </c>
      <c r="F26" s="6">
        <f>LN('Data of Top 7 Stocks'!C25/'Data of Top 7 Stocks'!C24)</f>
        <v>-9.8145391803311041E-2</v>
      </c>
      <c r="G26" s="6">
        <f>LN('Data of Top 7 Stocks'!D25/'Data of Top 7 Stocks'!D24)</f>
        <v>-6.5146068074440108E-2</v>
      </c>
      <c r="H26" s="6">
        <f>LN('Data of Top 7 Stocks'!E25/'Data of Top 7 Stocks'!E24)</f>
        <v>-2.9953502091408343E-2</v>
      </c>
      <c r="I26" s="6">
        <f>LN('Data of Top 7 Stocks'!F25/'Data of Top 7 Stocks'!F24)</f>
        <v>-9.812612211282724E-3</v>
      </c>
      <c r="J26" s="6">
        <f>LN('Data of Top 7 Stocks'!G25/'Data of Top 7 Stocks'!G24)</f>
        <v>-0.10959231502478337</v>
      </c>
      <c r="K26" s="6">
        <f>LN('Data of Top 7 Stocks'!H25/'Data of Top 7 Stocks'!H24)</f>
        <v>-8.3083107935944797E-2</v>
      </c>
      <c r="N26" s="6">
        <f t="shared" si="1"/>
        <v>-6.0209641032536662E-2</v>
      </c>
      <c r="O26" s="6">
        <f t="shared" si="2"/>
        <v>-0.10797486829975554</v>
      </c>
      <c r="P26" s="6">
        <f t="shared" si="3"/>
        <v>-6.7705422220649833E-2</v>
      </c>
      <c r="Q26" s="6">
        <f t="shared" si="4"/>
        <v>-3.2662850426879449E-2</v>
      </c>
      <c r="R26" s="6">
        <f t="shared" si="5"/>
        <v>-1.0669390023893513E-2</v>
      </c>
      <c r="S26" s="6">
        <f t="shared" si="6"/>
        <v>-0.111071954746013</v>
      </c>
      <c r="T26" s="6">
        <f t="shared" si="7"/>
        <v>-8.6948695246140725E-2</v>
      </c>
    </row>
    <row r="27" spans="5:20" x14ac:dyDescent="0.3">
      <c r="E27" s="6">
        <f>LN('Data of Top 7 Stocks'!B26/'Data of Top 7 Stocks'!B25)</f>
        <v>-4.1466359690906368E-2</v>
      </c>
      <c r="F27" s="6">
        <f>LN('Data of Top 7 Stocks'!C26/'Data of Top 7 Stocks'!C25)</f>
        <v>-6.6386623427145144E-2</v>
      </c>
      <c r="G27" s="6">
        <f>LN('Data of Top 7 Stocks'!D26/'Data of Top 7 Stocks'!D25)</f>
        <v>-2.1333503220413171E-2</v>
      </c>
      <c r="H27" s="6">
        <f>LN('Data of Top 7 Stocks'!E26/'Data of Top 7 Stocks'!E25)</f>
        <v>-3.6834214421488667E-2</v>
      </c>
      <c r="I27" s="6">
        <f>LN('Data of Top 7 Stocks'!F26/'Data of Top 7 Stocks'!F25)</f>
        <v>-6.8937509186818249E-2</v>
      </c>
      <c r="J27" s="6">
        <f>LN('Data of Top 7 Stocks'!G26/'Data of Top 7 Stocks'!G25)</f>
        <v>-3.1781059869644149E-2</v>
      </c>
      <c r="K27" s="6">
        <f>LN('Data of Top 7 Stocks'!H26/'Data of Top 7 Stocks'!H25)</f>
        <v>-6.975801983281496E-2</v>
      </c>
      <c r="N27" s="6">
        <f t="shared" si="1"/>
        <v>-4.3254377678716302E-2</v>
      </c>
      <c r="O27" s="6">
        <f t="shared" si="2"/>
        <v>-7.6216099923589645E-2</v>
      </c>
      <c r="P27" s="6">
        <f t="shared" si="3"/>
        <v>-2.3892857366622899E-2</v>
      </c>
      <c r="Q27" s="6">
        <f t="shared" si="4"/>
        <v>-3.9543562756959777E-2</v>
      </c>
      <c r="R27" s="6">
        <f t="shared" si="5"/>
        <v>-6.9794286999429037E-2</v>
      </c>
      <c r="S27" s="6">
        <f t="shared" si="6"/>
        <v>-3.3260699590873778E-2</v>
      </c>
      <c r="T27" s="6">
        <f t="shared" si="7"/>
        <v>-7.3623607143010888E-2</v>
      </c>
    </row>
    <row r="28" spans="5:20" x14ac:dyDescent="0.3">
      <c r="E28" s="6">
        <f>LN('Data of Top 7 Stocks'!B27/'Data of Top 7 Stocks'!B26)</f>
        <v>7.3966799004620234E-2</v>
      </c>
      <c r="F28" s="6">
        <f>LN('Data of Top 7 Stocks'!C27/'Data of Top 7 Stocks'!C26)</f>
        <v>7.577085651703884E-2</v>
      </c>
      <c r="G28" s="6">
        <f>LN('Data of Top 7 Stocks'!D27/'Data of Top 7 Stocks'!D26)</f>
        <v>7.7850491492059984E-2</v>
      </c>
      <c r="H28" s="6">
        <f>LN('Data of Top 7 Stocks'!E27/'Data of Top 7 Stocks'!E26)</f>
        <v>9.6293964400936891E-2</v>
      </c>
      <c r="I28" s="6">
        <f>LN('Data of Top 7 Stocks'!F27/'Data of Top 7 Stocks'!F26)</f>
        <v>0.12536122804169589</v>
      </c>
      <c r="J28" s="6">
        <f>LN('Data of Top 7 Stocks'!G27/'Data of Top 7 Stocks'!G26)</f>
        <v>9.2035451414720679E-2</v>
      </c>
      <c r="K28" s="6">
        <f>LN('Data of Top 7 Stocks'!H27/'Data of Top 7 Stocks'!H26)</f>
        <v>3.8459366943679539E-2</v>
      </c>
      <c r="N28" s="6">
        <f t="shared" si="1"/>
        <v>7.2178781016810301E-2</v>
      </c>
      <c r="O28" s="6">
        <f t="shared" si="2"/>
        <v>6.594138002059434E-2</v>
      </c>
      <c r="P28" s="6">
        <f t="shared" si="3"/>
        <v>7.5291137345850259E-2</v>
      </c>
      <c r="Q28" s="6">
        <f t="shared" si="4"/>
        <v>9.3584616065465781E-2</v>
      </c>
      <c r="R28" s="6">
        <f t="shared" si="5"/>
        <v>0.1245044502290851</v>
      </c>
      <c r="S28" s="6">
        <f t="shared" si="6"/>
        <v>9.0555811693491042E-2</v>
      </c>
      <c r="T28" s="6">
        <f t="shared" si="7"/>
        <v>3.4593779633483611E-2</v>
      </c>
    </row>
    <row r="29" spans="5:20" x14ac:dyDescent="0.3">
      <c r="E29" s="6">
        <f>LN('Data of Top 7 Stocks'!B28/'Data of Top 7 Stocks'!B27)</f>
        <v>-1.9459611164706184E-2</v>
      </c>
      <c r="F29" s="6">
        <f>LN('Data of Top 7 Stocks'!C28/'Data of Top 7 Stocks'!C27)</f>
        <v>-0.16530430293937848</v>
      </c>
      <c r="G29" s="6">
        <f>LN('Data of Top 7 Stocks'!D28/'Data of Top 7 Stocks'!D27)</f>
        <v>-3.0802010266693991E-2</v>
      </c>
      <c r="H29" s="6">
        <f>LN('Data of Top 7 Stocks'!E28/'Data of Top 7 Stocks'!E27)</f>
        <v>-8.1470643135976573E-2</v>
      </c>
      <c r="I29" s="6">
        <f>LN('Data of Top 7 Stocks'!F28/'Data of Top 7 Stocks'!F27)</f>
        <v>-7.8057242249746389E-2</v>
      </c>
      <c r="J29" s="6">
        <f>LN('Data of Top 7 Stocks'!G28/'Data of Top 7 Stocks'!G27)</f>
        <v>-6.1075522014096439E-2</v>
      </c>
      <c r="K29" s="6">
        <f>LN('Data of Top 7 Stocks'!H28/'Data of Top 7 Stocks'!H27)</f>
        <v>-6.1377873234082801E-2</v>
      </c>
      <c r="N29" s="6">
        <f t="shared" si="1"/>
        <v>-2.1247629152516118E-2</v>
      </c>
      <c r="O29" s="6">
        <f t="shared" si="2"/>
        <v>-0.17513377943582298</v>
      </c>
      <c r="P29" s="6">
        <f t="shared" si="3"/>
        <v>-3.3361364412903716E-2</v>
      </c>
      <c r="Q29" s="6">
        <f t="shared" si="4"/>
        <v>-8.4179991471447682E-2</v>
      </c>
      <c r="R29" s="6">
        <f t="shared" si="5"/>
        <v>-7.8914020062357176E-2</v>
      </c>
      <c r="S29" s="6">
        <f t="shared" si="6"/>
        <v>-6.2555161735326076E-2</v>
      </c>
      <c r="T29" s="6">
        <f t="shared" si="7"/>
        <v>-6.5243460544278736E-2</v>
      </c>
    </row>
    <row r="30" spans="5:20" x14ac:dyDescent="0.3">
      <c r="E30" s="6">
        <f>LN('Data of Top 7 Stocks'!B29/'Data of Top 7 Stocks'!B28)</f>
        <v>5.6734449446606453E-2</v>
      </c>
      <c r="F30" s="6">
        <f>LN('Data of Top 7 Stocks'!C29/'Data of Top 7 Stocks'!C28)</f>
        <v>8.7011376989629699E-2</v>
      </c>
      <c r="G30" s="6">
        <f>LN('Data of Top 7 Stocks'!D29/'Data of Top 7 Stocks'!D28)</f>
        <v>3.065257810861571E-2</v>
      </c>
      <c r="H30" s="6">
        <f>LN('Data of Top 7 Stocks'!E29/'Data of Top 7 Stocks'!E28)</f>
        <v>9.3100641067064574E-2</v>
      </c>
      <c r="I30" s="6">
        <f>LN('Data of Top 7 Stocks'!F29/'Data of Top 7 Stocks'!F28)</f>
        <v>9.8401569915904652E-2</v>
      </c>
      <c r="J30" s="6">
        <f>LN('Data of Top 7 Stocks'!G29/'Data of Top 7 Stocks'!G28)</f>
        <v>5.3144445958242158E-2</v>
      </c>
      <c r="K30" s="6">
        <f>LN('Data of Top 7 Stocks'!H29/'Data of Top 7 Stocks'!H28)</f>
        <v>6.560025811393104E-2</v>
      </c>
      <c r="N30" s="6">
        <f t="shared" si="1"/>
        <v>5.4946431458796519E-2</v>
      </c>
      <c r="O30" s="6">
        <f t="shared" si="2"/>
        <v>7.7181900493185199E-2</v>
      </c>
      <c r="P30" s="6">
        <f t="shared" si="3"/>
        <v>2.8093223962405982E-2</v>
      </c>
      <c r="Q30" s="6">
        <f t="shared" si="4"/>
        <v>9.0391292731593464E-2</v>
      </c>
      <c r="R30" s="6">
        <f t="shared" si="5"/>
        <v>9.7544792103293865E-2</v>
      </c>
      <c r="S30" s="6">
        <f t="shared" si="6"/>
        <v>5.1664806237012528E-2</v>
      </c>
      <c r="T30" s="6">
        <f t="shared" si="7"/>
        <v>6.1734670803735112E-2</v>
      </c>
    </row>
    <row r="31" spans="5:20" x14ac:dyDescent="0.3">
      <c r="E31" s="6">
        <f>LN('Data of Top 7 Stocks'!B30/'Data of Top 7 Stocks'!B29)</f>
        <v>2.1063327084812497E-2</v>
      </c>
      <c r="F31" s="6">
        <f>LN('Data of Top 7 Stocks'!C30/'Data of Top 7 Stocks'!C29)</f>
        <v>-5.063301956546762E-3</v>
      </c>
      <c r="G31" s="6">
        <f>LN('Data of Top 7 Stocks'!D30/'Data of Top 7 Stocks'!D29)</f>
        <v>-4.1731521566626968E-2</v>
      </c>
      <c r="H31" s="6">
        <f>LN('Data of Top 7 Stocks'!E30/'Data of Top 7 Stocks'!E29)</f>
        <v>-6.5527698943286999E-2</v>
      </c>
      <c r="I31" s="6">
        <f>LN('Data of Top 7 Stocks'!F30/'Data of Top 7 Stocks'!F29)</f>
        <v>-4.356575892356316E-2</v>
      </c>
      <c r="J31" s="6">
        <f>LN('Data of Top 7 Stocks'!G30/'Data of Top 7 Stocks'!G29)</f>
        <v>-1.7373521801552032E-2</v>
      </c>
      <c r="K31" s="6">
        <f>LN('Data of Top 7 Stocks'!H30/'Data of Top 7 Stocks'!H29)</f>
        <v>-3.6835918588235435E-2</v>
      </c>
      <c r="N31" s="6">
        <f t="shared" si="1"/>
        <v>1.9275309097002563E-2</v>
      </c>
      <c r="O31" s="6">
        <f t="shared" si="2"/>
        <v>-1.4892778452991258E-2</v>
      </c>
      <c r="P31" s="6">
        <f t="shared" si="3"/>
        <v>-4.4290875712836693E-2</v>
      </c>
      <c r="Q31" s="6">
        <f t="shared" si="4"/>
        <v>-6.8237047278758109E-2</v>
      </c>
      <c r="R31" s="6">
        <f t="shared" si="5"/>
        <v>-4.4422536736173947E-2</v>
      </c>
      <c r="S31" s="6">
        <f t="shared" si="6"/>
        <v>-1.8853161522781665E-2</v>
      </c>
      <c r="T31" s="6">
        <f t="shared" si="7"/>
        <v>-4.0701505898431363E-2</v>
      </c>
    </row>
    <row r="32" spans="5:20" x14ac:dyDescent="0.3">
      <c r="E32" s="6">
        <f>LN('Data of Top 7 Stocks'!B31/'Data of Top 7 Stocks'!B30)</f>
        <v>2.5768861601572796E-2</v>
      </c>
      <c r="F32" s="6">
        <f>LN('Data of Top 7 Stocks'!C31/'Data of Top 7 Stocks'!C30)</f>
        <v>9.438681870455605E-2</v>
      </c>
      <c r="G32" s="6">
        <f>LN('Data of Top 7 Stocks'!D31/'Data of Top 7 Stocks'!D30)</f>
        <v>1.4079291902585162E-2</v>
      </c>
      <c r="H32" s="6">
        <f>LN('Data of Top 7 Stocks'!E31/'Data of Top 7 Stocks'!E30)</f>
        <v>-3.5327781577463122E-2</v>
      </c>
      <c r="I32" s="6">
        <f>LN('Data of Top 7 Stocks'!F31/'Data of Top 7 Stocks'!F30)</f>
        <v>0.1257534827104457</v>
      </c>
      <c r="J32" s="6">
        <f>LN('Data of Top 7 Stocks'!G31/'Data of Top 7 Stocks'!G30)</f>
        <v>7.5214486871356317E-2</v>
      </c>
      <c r="K32" s="6">
        <f>LN('Data of Top 7 Stocks'!H31/'Data of Top 7 Stocks'!H30)</f>
        <v>2.7369436017411333E-2</v>
      </c>
      <c r="N32" s="6">
        <f t="shared" si="1"/>
        <v>2.3980843613762862E-2</v>
      </c>
      <c r="O32" s="6">
        <f t="shared" si="2"/>
        <v>8.4557342208111549E-2</v>
      </c>
      <c r="P32" s="6">
        <f t="shared" si="3"/>
        <v>1.1519937756375435E-2</v>
      </c>
      <c r="Q32" s="6">
        <f t="shared" si="4"/>
        <v>-3.8037129912934231E-2</v>
      </c>
      <c r="R32" s="6">
        <f t="shared" si="5"/>
        <v>0.12489670489783491</v>
      </c>
      <c r="S32" s="6">
        <f t="shared" si="6"/>
        <v>7.3734847150126681E-2</v>
      </c>
      <c r="T32" s="6">
        <f t="shared" si="7"/>
        <v>2.3503848707215405E-2</v>
      </c>
    </row>
    <row r="33" spans="5:20" x14ac:dyDescent="0.3">
      <c r="E33" s="6">
        <f>LN('Data of Top 7 Stocks'!B32/'Data of Top 7 Stocks'!B31)</f>
        <v>5.3202691044155065E-2</v>
      </c>
      <c r="F33" s="6">
        <f>LN('Data of Top 7 Stocks'!C32/'Data of Top 7 Stocks'!C31)</f>
        <v>4.735947003885823E-2</v>
      </c>
      <c r="G33" s="6">
        <f>LN('Data of Top 7 Stocks'!D32/'Data of Top 7 Stocks'!D31)</f>
        <v>7.536368540199341E-2</v>
      </c>
      <c r="H33" s="6">
        <f>LN('Data of Top 7 Stocks'!E32/'Data of Top 7 Stocks'!E31)</f>
        <v>7.5140141521120155E-2</v>
      </c>
      <c r="I33" s="6">
        <f>LN('Data of Top 7 Stocks'!F32/'Data of Top 7 Stocks'!F31)</f>
        <v>8.7553031620019275E-2</v>
      </c>
      <c r="J33" s="6">
        <f>LN('Data of Top 7 Stocks'!G32/'Data of Top 7 Stocks'!G31)</f>
        <v>9.7446584041089704E-2</v>
      </c>
      <c r="K33" s="6">
        <f>LN('Data of Top 7 Stocks'!H32/'Data of Top 7 Stocks'!H31)</f>
        <v>-6.1962137857264718E-2</v>
      </c>
      <c r="N33" s="6">
        <f t="shared" si="1"/>
        <v>5.1414673056345131E-2</v>
      </c>
      <c r="O33" s="6">
        <f t="shared" si="2"/>
        <v>3.7529993542413737E-2</v>
      </c>
      <c r="P33" s="6">
        <f t="shared" si="3"/>
        <v>7.2804331255783686E-2</v>
      </c>
      <c r="Q33" s="6">
        <f t="shared" si="4"/>
        <v>7.2430793185649045E-2</v>
      </c>
      <c r="R33" s="6">
        <f t="shared" si="5"/>
        <v>8.6696253807408488E-2</v>
      </c>
      <c r="S33" s="6">
        <f t="shared" si="6"/>
        <v>9.5966944319860067E-2</v>
      </c>
      <c r="T33" s="6">
        <f t="shared" si="7"/>
        <v>-6.5827725167460646E-2</v>
      </c>
    </row>
    <row r="34" spans="5:20" x14ac:dyDescent="0.3">
      <c r="E34" s="6">
        <f>LN('Data of Top 7 Stocks'!B33/'Data of Top 7 Stocks'!B32)</f>
        <v>1.732490108988469E-2</v>
      </c>
      <c r="F34" s="6">
        <f>LN('Data of Top 7 Stocks'!C33/'Data of Top 7 Stocks'!C32)</f>
        <v>4.469115165104711E-2</v>
      </c>
      <c r="G34" s="6">
        <f>LN('Data of Top 7 Stocks'!D33/'Data of Top 7 Stocks'!D32)</f>
        <v>7.6998517561782656E-3</v>
      </c>
      <c r="H34" s="6">
        <f>LN('Data of Top 7 Stocks'!E33/'Data of Top 7 Stocks'!E32)</f>
        <v>9.8379680505853613E-3</v>
      </c>
      <c r="I34" s="6">
        <f>LN('Data of Top 7 Stocks'!F33/'Data of Top 7 Stocks'!F32)</f>
        <v>-3.0686478044347158E-2</v>
      </c>
      <c r="J34" s="6">
        <f>LN('Data of Top 7 Stocks'!G33/'Data of Top 7 Stocks'!G32)</f>
        <v>4.2436104259928623E-2</v>
      </c>
      <c r="K34" s="6">
        <f>LN('Data of Top 7 Stocks'!H33/'Data of Top 7 Stocks'!H32)</f>
        <v>4.9119342871550127E-2</v>
      </c>
      <c r="N34" s="6">
        <f t="shared" si="1"/>
        <v>1.5536883102074756E-2</v>
      </c>
      <c r="O34" s="6">
        <f t="shared" si="2"/>
        <v>3.4861675154602617E-2</v>
      </c>
      <c r="P34" s="6">
        <f t="shared" si="3"/>
        <v>5.1404976099685383E-3</v>
      </c>
      <c r="Q34" s="6">
        <f t="shared" si="4"/>
        <v>7.1286197151142552E-3</v>
      </c>
      <c r="R34" s="6">
        <f t="shared" si="5"/>
        <v>-3.1543255856957948E-2</v>
      </c>
      <c r="S34" s="6">
        <f t="shared" si="6"/>
        <v>4.0956464538698993E-2</v>
      </c>
      <c r="T34" s="6">
        <f t="shared" si="7"/>
        <v>4.5253755561354199E-2</v>
      </c>
    </row>
    <row r="35" spans="5:20" x14ac:dyDescent="0.3">
      <c r="E35" s="6">
        <f>LN('Data of Top 7 Stocks'!B34/'Data of Top 7 Stocks'!B33)</f>
        <v>4.0011263789691949E-2</v>
      </c>
      <c r="F35" s="6">
        <f>LN('Data of Top 7 Stocks'!C34/'Data of Top 7 Stocks'!C33)</f>
        <v>-1.4854384538196166E-2</v>
      </c>
      <c r="G35" s="6">
        <f>LN('Data of Top 7 Stocks'!D34/'Data of Top 7 Stocks'!D33)</f>
        <v>3.1316709718548094E-2</v>
      </c>
      <c r="H35" s="6">
        <f>LN('Data of Top 7 Stocks'!E34/'Data of Top 7 Stocks'!E33)</f>
        <v>3.5211666115242859E-2</v>
      </c>
      <c r="I35" s="6">
        <f>LN('Data of Top 7 Stocks'!F34/'Data of Top 7 Stocks'!F33)</f>
        <v>4.0331885888211898E-2</v>
      </c>
      <c r="J35" s="6">
        <f>LN('Data of Top 7 Stocks'!G34/'Data of Top 7 Stocks'!G33)</f>
        <v>1.9342962843130935E-2</v>
      </c>
      <c r="K35" s="6">
        <f>LN('Data of Top 7 Stocks'!H34/'Data of Top 7 Stocks'!H33)</f>
        <v>7.7078499557644342E-2</v>
      </c>
      <c r="N35" s="6">
        <f t="shared" si="1"/>
        <v>3.8223245801882015E-2</v>
      </c>
      <c r="O35" s="6">
        <f t="shared" si="2"/>
        <v>-2.4683861034640663E-2</v>
      </c>
      <c r="P35" s="6">
        <f t="shared" si="3"/>
        <v>2.8757355572338366E-2</v>
      </c>
      <c r="Q35" s="6">
        <f t="shared" si="4"/>
        <v>3.250231777977175E-2</v>
      </c>
      <c r="R35" s="6">
        <f t="shared" si="5"/>
        <v>3.9475108075601111E-2</v>
      </c>
      <c r="S35" s="6">
        <f t="shared" si="6"/>
        <v>1.7863323121901302E-2</v>
      </c>
      <c r="T35" s="6">
        <f t="shared" si="7"/>
        <v>7.3212912247448414E-2</v>
      </c>
    </row>
    <row r="36" spans="5:20" x14ac:dyDescent="0.3">
      <c r="E36" s="6">
        <f>LN('Data of Top 7 Stocks'!B35/'Data of Top 7 Stocks'!B34)</f>
        <v>-3.3758253350564646E-3</v>
      </c>
      <c r="F36" s="6">
        <f>LN('Data of Top 7 Stocks'!C35/'Data of Top 7 Stocks'!C34)</f>
        <v>-4.7054632060350099E-2</v>
      </c>
      <c r="G36" s="6">
        <f>LN('Data of Top 7 Stocks'!D35/'Data of Top 7 Stocks'!D34)</f>
        <v>-1.992938672579514E-2</v>
      </c>
      <c r="H36" s="6">
        <f>LN('Data of Top 7 Stocks'!E35/'Data of Top 7 Stocks'!E34)</f>
        <v>-3.742745021594867E-2</v>
      </c>
      <c r="I36" s="6">
        <f>LN('Data of Top 7 Stocks'!F35/'Data of Top 7 Stocks'!F34)</f>
        <v>-1.1262059706525088E-2</v>
      </c>
      <c r="J36" s="6">
        <f>LN('Data of Top 7 Stocks'!G35/'Data of Top 7 Stocks'!G34)</f>
        <v>-3.7764442090807204E-2</v>
      </c>
      <c r="K36" s="6">
        <f>LN('Data of Top 7 Stocks'!H35/'Data of Top 7 Stocks'!H34)</f>
        <v>-7.200492195694301E-2</v>
      </c>
      <c r="N36" s="6">
        <f t="shared" si="1"/>
        <v>-5.1638433228663981E-3</v>
      </c>
      <c r="O36" s="6">
        <f t="shared" si="2"/>
        <v>-5.6884108556794599E-2</v>
      </c>
      <c r="P36" s="6">
        <f t="shared" si="3"/>
        <v>-2.2488740872004868E-2</v>
      </c>
      <c r="Q36" s="6">
        <f t="shared" si="4"/>
        <v>-4.0136798551419779E-2</v>
      </c>
      <c r="R36" s="6">
        <f t="shared" si="5"/>
        <v>-1.2118837519135877E-2</v>
      </c>
      <c r="S36" s="6">
        <f t="shared" si="6"/>
        <v>-3.9244081812036834E-2</v>
      </c>
      <c r="T36" s="6">
        <f t="shared" si="7"/>
        <v>-7.5870509267138939E-2</v>
      </c>
    </row>
    <row r="37" spans="5:20" x14ac:dyDescent="0.3">
      <c r="E37" s="6">
        <f>LN('Data of Top 7 Stocks'!B36/'Data of Top 7 Stocks'!B35)</f>
        <v>-4.7153211796885024E-2</v>
      </c>
      <c r="F37" s="6">
        <f>LN('Data of Top 7 Stocks'!C36/'Data of Top 7 Stocks'!C35)</f>
        <v>-9.3295404105983568E-2</v>
      </c>
      <c r="G37" s="6">
        <f>LN('Data of Top 7 Stocks'!D36/'Data of Top 7 Stocks'!D35)</f>
        <v>-6.5193403823948184E-2</v>
      </c>
      <c r="H37" s="6">
        <f>LN('Data of Top 7 Stocks'!E36/'Data of Top 7 Stocks'!E35)</f>
        <v>-6.0400689890804091E-2</v>
      </c>
      <c r="I37" s="6">
        <f>LN('Data of Top 7 Stocks'!F36/'Data of Top 7 Stocks'!F35)</f>
        <v>-2.9347478632018233E-2</v>
      </c>
      <c r="J37" s="6">
        <f>LN('Data of Top 7 Stocks'!G36/'Data of Top 7 Stocks'!G35)</f>
        <v>-5.5631861531233492E-2</v>
      </c>
      <c r="K37" s="6">
        <f>LN('Data of Top 7 Stocks'!H36/'Data of Top 7 Stocks'!H35)</f>
        <v>-3.748846822618597E-2</v>
      </c>
      <c r="N37" s="6">
        <f t="shared" si="1"/>
        <v>-4.8941229784694958E-2</v>
      </c>
      <c r="O37" s="6">
        <f t="shared" si="2"/>
        <v>-0.10312488060242807</v>
      </c>
      <c r="P37" s="6">
        <f t="shared" si="3"/>
        <v>-6.7752757970157909E-2</v>
      </c>
      <c r="Q37" s="6">
        <f t="shared" si="4"/>
        <v>-6.31100382262752E-2</v>
      </c>
      <c r="R37" s="6">
        <f t="shared" si="5"/>
        <v>-3.0204256444629023E-2</v>
      </c>
      <c r="S37" s="6">
        <f t="shared" si="6"/>
        <v>-5.7111501252463122E-2</v>
      </c>
      <c r="T37" s="6">
        <f t="shared" si="7"/>
        <v>-4.1354055536381898E-2</v>
      </c>
    </row>
    <row r="38" spans="5:20" x14ac:dyDescent="0.3">
      <c r="E38" s="6">
        <f>LN('Data of Top 7 Stocks'!B37/'Data of Top 7 Stocks'!B36)</f>
        <v>-4.8909349856288961E-2</v>
      </c>
      <c r="F38" s="6">
        <f>LN('Data of Top 7 Stocks'!C37/'Data of Top 7 Stocks'!C36)</f>
        <v>-0.17496858248869585</v>
      </c>
      <c r="G38" s="6">
        <f>LN('Data of Top 7 Stocks'!D37/'Data of Top 7 Stocks'!D36)</f>
        <v>-4.5910953013130092E-2</v>
      </c>
      <c r="H38" s="6">
        <f>LN('Data of Top 7 Stocks'!E37/'Data of Top 7 Stocks'!E36)</f>
        <v>-2.2825135009119372E-2</v>
      </c>
      <c r="I38" s="6">
        <f>LN('Data of Top 7 Stocks'!F37/'Data of Top 7 Stocks'!F36)</f>
        <v>-6.407349685422993E-2</v>
      </c>
      <c r="J38" s="6">
        <f>LN('Data of Top 7 Stocks'!G37/'Data of Top 7 Stocks'!G36)</f>
        <v>-2.5092310049581686E-2</v>
      </c>
      <c r="K38" s="6">
        <f>LN('Data of Top 7 Stocks'!H37/'Data of Top 7 Stocks'!H36)</f>
        <v>-9.0655696933066143E-3</v>
      </c>
      <c r="N38" s="6">
        <f t="shared" si="1"/>
        <v>-5.0697367844098895E-2</v>
      </c>
      <c r="O38" s="6">
        <f t="shared" si="2"/>
        <v>-0.18479805898514035</v>
      </c>
      <c r="P38" s="6">
        <f t="shared" si="3"/>
        <v>-4.8470307159339816E-2</v>
      </c>
      <c r="Q38" s="6">
        <f t="shared" si="4"/>
        <v>-2.5534483344590478E-2</v>
      </c>
      <c r="R38" s="6">
        <f t="shared" si="5"/>
        <v>-6.4930274666840718E-2</v>
      </c>
      <c r="S38" s="6">
        <f t="shared" si="6"/>
        <v>-2.6571949770811319E-2</v>
      </c>
      <c r="T38" s="6">
        <f t="shared" si="7"/>
        <v>-1.2931157003502544E-2</v>
      </c>
    </row>
    <row r="39" spans="5:20" x14ac:dyDescent="0.3">
      <c r="E39" s="6">
        <f>LN('Data of Top 7 Stocks'!B38/'Data of Top 7 Stocks'!B37)</f>
        <v>9.9624043835097129E-3</v>
      </c>
      <c r="F39" s="6">
        <f>LN('Data of Top 7 Stocks'!C38/'Data of Top 7 Stocks'!C37)</f>
        <v>5.2793999268307738E-2</v>
      </c>
      <c r="G39" s="6">
        <f>LN('Data of Top 7 Stocks'!D38/'Data of Top 7 Stocks'!D37)</f>
        <v>3.2278219110643734E-2</v>
      </c>
      <c r="H39" s="6">
        <f>LN('Data of Top 7 Stocks'!E38/'Data of Top 7 Stocks'!E37)</f>
        <v>2.5630693661893404E-2</v>
      </c>
      <c r="I39" s="6">
        <f>LN('Data of Top 7 Stocks'!F38/'Data of Top 7 Stocks'!F37)</f>
        <v>0.10351580423201734</v>
      </c>
      <c r="J39" s="6">
        <f>LN('Data of Top 7 Stocks'!G38/'Data of Top 7 Stocks'!G37)</f>
        <v>4.4182352696185173E-2</v>
      </c>
      <c r="K39" s="6">
        <f>LN('Data of Top 7 Stocks'!H38/'Data of Top 7 Stocks'!H37)</f>
        <v>5.3614077330217613E-2</v>
      </c>
      <c r="N39" s="6">
        <f t="shared" si="1"/>
        <v>8.174386395699779E-3</v>
      </c>
      <c r="O39" s="6">
        <f t="shared" si="2"/>
        <v>4.2964522771863245E-2</v>
      </c>
      <c r="P39" s="6">
        <f t="shared" si="3"/>
        <v>2.9718864964434006E-2</v>
      </c>
      <c r="Q39" s="6">
        <f t="shared" si="4"/>
        <v>2.2921345326422298E-2</v>
      </c>
      <c r="R39" s="6">
        <f t="shared" si="5"/>
        <v>0.10265902641940655</v>
      </c>
      <c r="S39" s="6">
        <f t="shared" si="6"/>
        <v>4.2702712974955544E-2</v>
      </c>
      <c r="T39" s="6">
        <f t="shared" si="7"/>
        <v>4.9748490020021685E-2</v>
      </c>
    </row>
    <row r="40" spans="5:20" x14ac:dyDescent="0.3">
      <c r="E40" s="6">
        <f>LN('Data of Top 7 Stocks'!B39/'Data of Top 7 Stocks'!B38)</f>
        <v>-4.3308614980323366E-2</v>
      </c>
      <c r="F40" s="6">
        <f>LN('Data of Top 7 Stocks'!C39/'Data of Top 7 Stocks'!C38)</f>
        <v>-8.6316691306951354E-2</v>
      </c>
      <c r="G40" s="6">
        <f>LN('Data of Top 7 Stocks'!D39/'Data of Top 7 Stocks'!D38)</f>
        <v>-7.7493588571154556E-2</v>
      </c>
      <c r="H40" s="6">
        <f>LN('Data of Top 7 Stocks'!E39/'Data of Top 7 Stocks'!E38)</f>
        <v>-7.3586713475994034E-2</v>
      </c>
      <c r="I40" s="6">
        <f>LN('Data of Top 7 Stocks'!F39/'Data of Top 7 Stocks'!F38)</f>
        <v>1.2172015692528458E-2</v>
      </c>
      <c r="J40" s="6">
        <f>LN('Data of Top 7 Stocks'!G39/'Data of Top 7 Stocks'!G38)</f>
        <v>-7.5893104042913301E-2</v>
      </c>
      <c r="K40" s="6">
        <f>LN('Data of Top 7 Stocks'!H39/'Data of Top 7 Stocks'!H38)</f>
        <v>-0.14519494223672288</v>
      </c>
      <c r="N40" s="6">
        <f t="shared" si="1"/>
        <v>-4.50966329681333E-2</v>
      </c>
      <c r="O40" s="6">
        <f t="shared" si="2"/>
        <v>-9.6146167803395854E-2</v>
      </c>
      <c r="P40" s="6">
        <f t="shared" si="3"/>
        <v>-8.0052942717364281E-2</v>
      </c>
      <c r="Q40" s="6">
        <f t="shared" si="4"/>
        <v>-7.6296061811465143E-2</v>
      </c>
      <c r="R40" s="6">
        <f t="shared" si="5"/>
        <v>1.1315237879917669E-2</v>
      </c>
      <c r="S40" s="6">
        <f t="shared" si="6"/>
        <v>-7.7372743764142937E-2</v>
      </c>
      <c r="T40" s="6">
        <f t="shared" si="7"/>
        <v>-0.14906052954691881</v>
      </c>
    </row>
    <row r="41" spans="5:20" x14ac:dyDescent="0.3">
      <c r="E41" s="6">
        <f>LN('Data of Top 7 Stocks'!B40/'Data of Top 7 Stocks'!B39)</f>
        <v>-1.7932459227172246E-3</v>
      </c>
      <c r="F41" s="6">
        <f>LN('Data of Top 7 Stocks'!C40/'Data of Top 7 Stocks'!C39)</f>
        <v>-5.2889463920372699E-2</v>
      </c>
      <c r="G41" s="6">
        <f>LN('Data of Top 7 Stocks'!D40/'Data of Top 7 Stocks'!D39)</f>
        <v>-2.8261939845677198E-2</v>
      </c>
      <c r="H41" s="6">
        <f>LN('Data of Top 7 Stocks'!E40/'Data of Top 7 Stocks'!E39)</f>
        <v>-4.0295220190347876E-2</v>
      </c>
      <c r="I41" s="6">
        <f>LN('Data of Top 7 Stocks'!F40/'Data of Top 7 Stocks'!F39)</f>
        <v>-9.6916876146253633E-2</v>
      </c>
      <c r="J41" s="6">
        <f>LN('Data of Top 7 Stocks'!G40/'Data of Top 7 Stocks'!G39)</f>
        <v>-8.2217282226221045E-2</v>
      </c>
      <c r="K41" s="6">
        <f>LN('Data of Top 7 Stocks'!H40/'Data of Top 7 Stocks'!H39)</f>
        <v>-4.1024238863443793E-2</v>
      </c>
      <c r="N41" s="6">
        <f t="shared" si="1"/>
        <v>-3.5812639105271583E-3</v>
      </c>
      <c r="O41" s="6">
        <f t="shared" si="2"/>
        <v>-6.2718940416817193E-2</v>
      </c>
      <c r="P41" s="6">
        <f t="shared" si="3"/>
        <v>-3.0821293991886926E-2</v>
      </c>
      <c r="Q41" s="6">
        <f t="shared" si="4"/>
        <v>-4.3004568525818986E-2</v>
      </c>
      <c r="R41" s="6">
        <f t="shared" si="5"/>
        <v>-9.777365395886442E-2</v>
      </c>
      <c r="S41" s="6">
        <f t="shared" si="6"/>
        <v>-8.3696921947450681E-2</v>
      </c>
      <c r="T41" s="6">
        <f t="shared" si="7"/>
        <v>-4.4889826173639721E-2</v>
      </c>
    </row>
    <row r="42" spans="5:20" x14ac:dyDescent="0.3">
      <c r="E42" s="6">
        <f>LN('Data of Top 7 Stocks'!B41/'Data of Top 7 Stocks'!B40)</f>
        <v>-8.4795948376163E-2</v>
      </c>
      <c r="F42" s="6">
        <f>LN('Data of Top 7 Stocks'!C41/'Data of Top 7 Stocks'!C40)</f>
        <v>-3.0821580040600156E-2</v>
      </c>
      <c r="G42" s="6">
        <f>LN('Data of Top 7 Stocks'!D41/'Data of Top 7 Stocks'!D40)</f>
        <v>-2.1325305821549567E-2</v>
      </c>
      <c r="H42" s="6">
        <f>LN('Data of Top 7 Stocks'!E41/'Data of Top 7 Stocks'!E40)</f>
        <v>-3.1794436944454781E-2</v>
      </c>
      <c r="I42" s="6">
        <f>LN('Data of Top 7 Stocks'!F41/'Data of Top 7 Stocks'!F40)</f>
        <v>-3.7297600747960784E-2</v>
      </c>
      <c r="J42" s="6">
        <f>LN('Data of Top 7 Stocks'!G41/'Data of Top 7 Stocks'!G40)</f>
        <v>-6.8789406101607414E-3</v>
      </c>
      <c r="K42" s="6">
        <f>LN('Data of Top 7 Stocks'!H41/'Data of Top 7 Stocks'!H40)</f>
        <v>-3.4267542082957812E-2</v>
      </c>
      <c r="N42" s="6">
        <f t="shared" si="1"/>
        <v>-8.6583966363972933E-2</v>
      </c>
      <c r="O42" s="6">
        <f t="shared" si="2"/>
        <v>-4.065105653704465E-2</v>
      </c>
      <c r="P42" s="6">
        <f t="shared" si="3"/>
        <v>-2.3884659967759295E-2</v>
      </c>
      <c r="Q42" s="6">
        <f t="shared" si="4"/>
        <v>-3.450378527992589E-2</v>
      </c>
      <c r="R42" s="6">
        <f t="shared" si="5"/>
        <v>-3.8154378560571571E-2</v>
      </c>
      <c r="S42" s="6">
        <f t="shared" si="6"/>
        <v>-8.3585803313903743E-3</v>
      </c>
      <c r="T42" s="6">
        <f t="shared" si="7"/>
        <v>-3.813312939315374E-2</v>
      </c>
    </row>
    <row r="43" spans="5:20" x14ac:dyDescent="0.3">
      <c r="E43" s="6">
        <f>LN('Data of Top 7 Stocks'!B42/'Data of Top 7 Stocks'!B41)</f>
        <v>1.3583161874453163E-2</v>
      </c>
      <c r="F43" s="6">
        <f>LN('Data of Top 7 Stocks'!C42/'Data of Top 7 Stocks'!C41)</f>
        <v>-4.9545931246833411E-3</v>
      </c>
      <c r="G43" s="6">
        <f>LN('Data of Top 7 Stocks'!D42/'Data of Top 7 Stocks'!D41)</f>
        <v>5.737053882651535E-3</v>
      </c>
      <c r="H43" s="6">
        <f>LN('Data of Top 7 Stocks'!E42/'Data of Top 7 Stocks'!E41)</f>
        <v>3.1186595774894153E-2</v>
      </c>
      <c r="I43" s="6">
        <f>LN('Data of Top 7 Stocks'!F42/'Data of Top 7 Stocks'!F41)</f>
        <v>-0.17318715394540204</v>
      </c>
      <c r="J43" s="6">
        <f>LN('Data of Top 7 Stocks'!G42/'Data of Top 7 Stocks'!G41)</f>
        <v>1.3710884499994858E-2</v>
      </c>
      <c r="K43" s="6">
        <f>LN('Data of Top 7 Stocks'!H42/'Data of Top 7 Stocks'!H41)</f>
        <v>-1.6572296193059964E-2</v>
      </c>
      <c r="N43" s="6">
        <f t="shared" si="1"/>
        <v>1.1795143886643229E-2</v>
      </c>
      <c r="O43" s="6">
        <f t="shared" si="2"/>
        <v>-1.4784069621127837E-2</v>
      </c>
      <c r="P43" s="6">
        <f t="shared" si="3"/>
        <v>3.1776997364418081E-3</v>
      </c>
      <c r="Q43" s="6">
        <f t="shared" si="4"/>
        <v>2.8477247439423047E-2</v>
      </c>
      <c r="R43" s="6">
        <f t="shared" si="5"/>
        <v>-0.17404393175801283</v>
      </c>
      <c r="S43" s="6">
        <f t="shared" si="6"/>
        <v>1.2231244778765225E-2</v>
      </c>
      <c r="T43" s="6">
        <f t="shared" si="7"/>
        <v>-2.0437883503255892E-2</v>
      </c>
    </row>
    <row r="44" spans="5:20" x14ac:dyDescent="0.3">
      <c r="E44" s="6">
        <f>LN('Data of Top 7 Stocks'!B43/'Data of Top 7 Stocks'!B42)</f>
        <v>-1.2281549137357642E-2</v>
      </c>
      <c r="F44" s="6">
        <f>LN('Data of Top 7 Stocks'!C43/'Data of Top 7 Stocks'!C42)</f>
        <v>-7.2962423756317077E-2</v>
      </c>
      <c r="G44" s="6">
        <f>LN('Data of Top 7 Stocks'!D43/'Data of Top 7 Stocks'!D42)</f>
        <v>-2.4547472850429176E-2</v>
      </c>
      <c r="H44" s="6">
        <f>LN('Data of Top 7 Stocks'!E43/'Data of Top 7 Stocks'!E42)</f>
        <v>-2.1717714871879904E-2</v>
      </c>
      <c r="I44" s="6">
        <f>LN('Data of Top 7 Stocks'!F43/'Data of Top 7 Stocks'!F42)</f>
        <v>-8.4524426087893872E-2</v>
      </c>
      <c r="J44" s="6">
        <f>LN('Data of Top 7 Stocks'!G43/'Data of Top 7 Stocks'!G42)</f>
        <v>-6.9204885181335926E-2</v>
      </c>
      <c r="K44" s="6">
        <f>LN('Data of Top 7 Stocks'!H43/'Data of Top 7 Stocks'!H42)</f>
        <v>-5.1431341027813077E-2</v>
      </c>
      <c r="N44" s="6">
        <f t="shared" si="1"/>
        <v>-1.4069567125167576E-2</v>
      </c>
      <c r="O44" s="6">
        <f t="shared" si="2"/>
        <v>-8.2791900252761577E-2</v>
      </c>
      <c r="P44" s="6">
        <f t="shared" si="3"/>
        <v>-2.7106826996638904E-2</v>
      </c>
      <c r="Q44" s="6">
        <f t="shared" si="4"/>
        <v>-2.442706320735101E-2</v>
      </c>
      <c r="R44" s="6">
        <f t="shared" si="5"/>
        <v>-8.538120390050466E-2</v>
      </c>
      <c r="S44" s="6">
        <f t="shared" si="6"/>
        <v>-7.0684524902565563E-2</v>
      </c>
      <c r="T44" s="6">
        <f t="shared" si="7"/>
        <v>-5.5296928338009005E-2</v>
      </c>
    </row>
    <row r="45" spans="5:20" x14ac:dyDescent="0.3">
      <c r="E45" s="6">
        <f>LN('Data of Top 7 Stocks'!B44/'Data of Top 7 Stocks'!B43)</f>
        <v>6.2264112667405953E-2</v>
      </c>
      <c r="F45" s="6">
        <f>LN('Data of Top 7 Stocks'!C44/'Data of Top 7 Stocks'!C43)</f>
        <v>0.10473699094159325</v>
      </c>
      <c r="G45" s="6">
        <f>LN('Data of Top 7 Stocks'!D44/'Data of Top 7 Stocks'!D43)</f>
        <v>5.7634713100968883E-2</v>
      </c>
      <c r="H45" s="6">
        <f>LN('Data of Top 7 Stocks'!E44/'Data of Top 7 Stocks'!E43)</f>
        <v>4.6242241124802956E-2</v>
      </c>
      <c r="I45" s="6">
        <f>LN('Data of Top 7 Stocks'!F44/'Data of Top 7 Stocks'!F43)</f>
        <v>4.5068781498540281E-2</v>
      </c>
      <c r="J45" s="6">
        <f>LN('Data of Top 7 Stocks'!G44/'Data of Top 7 Stocks'!G43)</f>
        <v>0.10991514161554809</v>
      </c>
      <c r="K45" s="6">
        <f>LN('Data of Top 7 Stocks'!H44/'Data of Top 7 Stocks'!H43)</f>
        <v>2.5315835751357131E-2</v>
      </c>
      <c r="N45" s="6">
        <f t="shared" si="1"/>
        <v>6.0476094679596019E-2</v>
      </c>
      <c r="O45" s="6">
        <f t="shared" si="2"/>
        <v>9.490751444514875E-2</v>
      </c>
      <c r="P45" s="6">
        <f t="shared" si="3"/>
        <v>5.5075358954759158E-2</v>
      </c>
      <c r="Q45" s="6">
        <f t="shared" si="4"/>
        <v>4.3532892789331847E-2</v>
      </c>
      <c r="R45" s="6">
        <f t="shared" si="5"/>
        <v>4.4212003685929493E-2</v>
      </c>
      <c r="S45" s="6">
        <f t="shared" si="6"/>
        <v>0.10843550189431846</v>
      </c>
      <c r="T45" s="6">
        <f t="shared" si="7"/>
        <v>2.1450248441161203E-2</v>
      </c>
    </row>
    <row r="46" spans="5:20" x14ac:dyDescent="0.3">
      <c r="E46" s="6">
        <f>LN('Data of Top 7 Stocks'!B45/'Data of Top 7 Stocks'!B44)</f>
        <v>5.5920313410769175E-2</v>
      </c>
      <c r="F46" s="6">
        <f>LN('Data of Top 7 Stocks'!C45/'Data of Top 7 Stocks'!C44)</f>
        <v>0.10351438598472165</v>
      </c>
      <c r="G46" s="6">
        <f>LN('Data of Top 7 Stocks'!D45/'Data of Top 7 Stocks'!D44)</f>
        <v>-2.6152665227702435E-2</v>
      </c>
      <c r="H46" s="6">
        <f>LN('Data of Top 7 Stocks'!E45/'Data of Top 7 Stocks'!E44)</f>
        <v>-4.9042346661886393E-2</v>
      </c>
      <c r="I46" s="6">
        <f>LN('Data of Top 7 Stocks'!F45/'Data of Top 7 Stocks'!F44)</f>
        <v>6.3593754896924801E-2</v>
      </c>
      <c r="J46" s="6">
        <f>LN('Data of Top 7 Stocks'!G45/'Data of Top 7 Stocks'!G44)</f>
        <v>-0.143107290449664</v>
      </c>
      <c r="K46" s="6">
        <f>LN('Data of Top 7 Stocks'!H45/'Data of Top 7 Stocks'!H44)</f>
        <v>-0.27047335628325014</v>
      </c>
      <c r="N46" s="6">
        <f t="shared" si="1"/>
        <v>5.4132295422959241E-2</v>
      </c>
      <c r="O46" s="6">
        <f t="shared" si="2"/>
        <v>9.3684909488277152E-2</v>
      </c>
      <c r="P46" s="6">
        <f t="shared" si="3"/>
        <v>-2.8712019373912163E-2</v>
      </c>
      <c r="Q46" s="6">
        <f t="shared" si="4"/>
        <v>-5.1751694997357503E-2</v>
      </c>
      <c r="R46" s="6">
        <f t="shared" si="5"/>
        <v>6.2736977084314013E-2</v>
      </c>
      <c r="S46" s="6">
        <f t="shared" si="6"/>
        <v>-0.14458693017089363</v>
      </c>
      <c r="T46" s="6">
        <f t="shared" si="7"/>
        <v>-0.27433894359344607</v>
      </c>
    </row>
    <row r="47" spans="5:20" x14ac:dyDescent="0.3">
      <c r="E47" s="6">
        <f>LN('Data of Top 7 Stocks'!B46/'Data of Top 7 Stocks'!B45)</f>
        <v>-0.11818442607817516</v>
      </c>
      <c r="F47" s="6">
        <f>LN('Data of Top 7 Stocks'!C46/'Data of Top 7 Stocks'!C45)</f>
        <v>2.3580942588906879E-2</v>
      </c>
      <c r="G47" s="6">
        <f>LN('Data of Top 7 Stocks'!D46/'Data of Top 7 Stocks'!D45)</f>
        <v>-6.3354953659650548E-2</v>
      </c>
      <c r="H47" s="6">
        <f>LN('Data of Top 7 Stocks'!E46/'Data of Top 7 Stocks'!E45)</f>
        <v>-0.10629562923835821</v>
      </c>
      <c r="I47" s="6">
        <f>LN('Data of Top 7 Stocks'!F46/'Data of Top 7 Stocks'!F45)</f>
        <v>-9.6636982951213632E-2</v>
      </c>
      <c r="J47" s="6">
        <f>LN('Data of Top 7 Stocks'!G46/'Data of Top 7 Stocks'!G45)</f>
        <v>-0.12806196705502559</v>
      </c>
      <c r="K47" s="6">
        <f>LN('Data of Top 7 Stocks'!H46/'Data of Top 7 Stocks'!H45)</f>
        <v>-8.8588866907161223E-2</v>
      </c>
      <c r="N47" s="6">
        <f t="shared" si="1"/>
        <v>-0.11997244406598509</v>
      </c>
      <c r="O47" s="6">
        <f t="shared" si="2"/>
        <v>1.3751466092462382E-2</v>
      </c>
      <c r="P47" s="6">
        <f t="shared" si="3"/>
        <v>-6.5914307805860273E-2</v>
      </c>
      <c r="Q47" s="6">
        <f t="shared" si="4"/>
        <v>-0.10900497757382932</v>
      </c>
      <c r="R47" s="6">
        <f t="shared" si="5"/>
        <v>-9.7493760763824419E-2</v>
      </c>
      <c r="S47" s="6">
        <f t="shared" si="6"/>
        <v>-0.12954160677625523</v>
      </c>
      <c r="T47" s="6">
        <f t="shared" si="7"/>
        <v>-9.2454454217357152E-2</v>
      </c>
    </row>
    <row r="48" spans="5:20" x14ac:dyDescent="0.3">
      <c r="E48" s="6">
        <f>LN('Data of Top 7 Stocks'!B47/'Data of Top 7 Stocks'!B46)</f>
        <v>7.8629767354917654E-2</v>
      </c>
      <c r="F48" s="6">
        <f>LN('Data of Top 7 Stocks'!C47/'Data of Top 7 Stocks'!C46)</f>
        <v>0.14258281871679993</v>
      </c>
      <c r="G48" s="6">
        <f>LN('Data of Top 7 Stocks'!D47/'Data of Top 7 Stocks'!D46)</f>
        <v>0.10990772948513354</v>
      </c>
      <c r="H48" s="6">
        <f>LN('Data of Top 7 Stocks'!E47/'Data of Top 7 Stocks'!E46)</f>
        <v>0.10754108866245456</v>
      </c>
      <c r="I48" s="6">
        <f>LN('Data of Top 7 Stocks'!F47/'Data of Top 7 Stocks'!F46)</f>
        <v>-5.7025164614085334E-2</v>
      </c>
      <c r="J48" s="6">
        <f>LN('Data of Top 7 Stocks'!G47/'Data of Top 7 Stocks'!G46)</f>
        <v>0.10239944222492851</v>
      </c>
      <c r="K48" s="6">
        <f>LN('Data of Top 7 Stocks'!H47/'Data of Top 7 Stocks'!H46)</f>
        <v>0.21901564681803126</v>
      </c>
      <c r="N48" s="6">
        <f t="shared" si="1"/>
        <v>7.684174936710772E-2</v>
      </c>
      <c r="O48" s="6">
        <f t="shared" si="2"/>
        <v>0.13275334222035542</v>
      </c>
      <c r="P48" s="6">
        <f t="shared" si="3"/>
        <v>0.10734837533892382</v>
      </c>
      <c r="Q48" s="6">
        <f t="shared" si="4"/>
        <v>0.10483174032698345</v>
      </c>
      <c r="R48" s="6">
        <f t="shared" si="5"/>
        <v>-5.7881942426696122E-2</v>
      </c>
      <c r="S48" s="6">
        <f t="shared" si="6"/>
        <v>0.10091980250369888</v>
      </c>
      <c r="T48" s="6">
        <f t="shared" si="7"/>
        <v>0.21515005950783533</v>
      </c>
    </row>
    <row r="49" spans="5:20" x14ac:dyDescent="0.3">
      <c r="E49" s="6">
        <f>LN('Data of Top 7 Stocks'!B48/'Data of Top 7 Stocks'!B47)</f>
        <v>1.0565233331160884E-2</v>
      </c>
      <c r="F49" s="6">
        <f>LN('Data of Top 7 Stocks'!C48/'Data of Top 7 Stocks'!C47)</f>
        <v>-5.7987257650349282E-2</v>
      </c>
      <c r="G49" s="6">
        <f>LN('Data of Top 7 Stocks'!D48/'Data of Top 7 Stocks'!D47)</f>
        <v>-2.412420146617025E-2</v>
      </c>
      <c r="H49" s="6">
        <f>LN('Data of Top 7 Stocks'!E48/'Data of Top 7 Stocks'!E47)</f>
        <v>1.0524240760960951E-2</v>
      </c>
      <c r="I49" s="6">
        <f>LN('Data of Top 7 Stocks'!F48/'Data of Top 7 Stocks'!F47)</f>
        <v>-8.3949736552239945E-2</v>
      </c>
      <c r="J49" s="6">
        <f>LN('Data of Top 7 Stocks'!G48/'Data of Top 7 Stocks'!G47)</f>
        <v>-6.8256108393790413E-2</v>
      </c>
      <c r="K49" s="6">
        <f>LN('Data of Top 7 Stocks'!H48/'Data of Top 7 Stocks'!H47)</f>
        <v>-8.6195939547612441E-3</v>
      </c>
      <c r="N49" s="6">
        <f t="shared" si="1"/>
        <v>8.7772153433509498E-3</v>
      </c>
      <c r="O49" s="6">
        <f t="shared" si="2"/>
        <v>-6.7816734146793775E-2</v>
      </c>
      <c r="P49" s="6">
        <f t="shared" si="3"/>
        <v>-2.6683555612379978E-2</v>
      </c>
      <c r="Q49" s="6">
        <f t="shared" si="4"/>
        <v>7.8148924254898451E-3</v>
      </c>
      <c r="R49" s="6">
        <f t="shared" si="5"/>
        <v>-8.4806514364850732E-2</v>
      </c>
      <c r="S49" s="6">
        <f t="shared" si="6"/>
        <v>-6.9735748115020049E-2</v>
      </c>
      <c r="T49" s="6">
        <f t="shared" si="7"/>
        <v>-1.2485181264957174E-2</v>
      </c>
    </row>
    <row r="50" spans="5:20" x14ac:dyDescent="0.3">
      <c r="E50" s="6">
        <f>LN('Data of Top 7 Stocks'!B49/'Data of Top 7 Stocks'!B48)</f>
        <v>-2.1243283817862266E-2</v>
      </c>
      <c r="F50" s="6">
        <f>LN('Data of Top 7 Stocks'!C49/'Data of Top 7 Stocks'!C48)</f>
        <v>5.4306271898921975E-2</v>
      </c>
      <c r="G50" s="6">
        <f>LN('Data of Top 7 Stocks'!D49/'Data of Top 7 Stocks'!D48)</f>
        <v>2.5660796996978985E-2</v>
      </c>
      <c r="H50" s="6">
        <f>LN('Data of Top 7 Stocks'!E49/'Data of Top 7 Stocks'!E48)</f>
        <v>3.0786597811011633E-4</v>
      </c>
      <c r="I50" s="6">
        <f>LN('Data of Top 7 Stocks'!F49/'Data of Top 7 Stocks'!F48)</f>
        <v>1.4708982997557749E-2</v>
      </c>
      <c r="J50" s="6">
        <f>LN('Data of Top 7 Stocks'!G49/'Data of Top 7 Stocks'!G48)</f>
        <v>-7.7846300882388883E-3</v>
      </c>
      <c r="K50" s="6">
        <f>LN('Data of Top 7 Stocks'!H49/'Data of Top 7 Stocks'!H48)</f>
        <v>-5.7281101757108216E-3</v>
      </c>
      <c r="N50" s="6">
        <f t="shared" si="1"/>
        <v>-2.30313018056722E-2</v>
      </c>
      <c r="O50" s="6">
        <f t="shared" si="2"/>
        <v>4.4476795402477481E-2</v>
      </c>
      <c r="P50" s="6">
        <f t="shared" si="3"/>
        <v>2.3101442850769257E-2</v>
      </c>
      <c r="Q50" s="6">
        <f t="shared" si="4"/>
        <v>-2.4014823573609901E-3</v>
      </c>
      <c r="R50" s="6">
        <f t="shared" si="5"/>
        <v>1.385220518494696E-2</v>
      </c>
      <c r="S50" s="6">
        <f t="shared" si="6"/>
        <v>-9.2642698094685203E-3</v>
      </c>
      <c r="T50" s="6">
        <f t="shared" si="7"/>
        <v>-9.5936974859067506E-3</v>
      </c>
    </row>
    <row r="51" spans="5:20" x14ac:dyDescent="0.3">
      <c r="E51" s="6">
        <f>LN('Data of Top 7 Stocks'!B50/'Data of Top 7 Stocks'!B49)</f>
        <v>-2.0275757148998643E-3</v>
      </c>
      <c r="F51" s="6">
        <f>LN('Data of Top 7 Stocks'!C50/'Data of Top 7 Stocks'!C49)</f>
        <v>3.680656793686464E-2</v>
      </c>
      <c r="G51" s="6">
        <f>LN('Data of Top 7 Stocks'!D50/'Data of Top 7 Stocks'!D49)</f>
        <v>2.9971796303320166E-2</v>
      </c>
      <c r="H51" s="6">
        <f>LN('Data of Top 7 Stocks'!E50/'Data of Top 7 Stocks'!E49)</f>
        <v>3.0118496874024226E-2</v>
      </c>
      <c r="I51" s="6">
        <f>LN('Data of Top 7 Stocks'!F50/'Data of Top 7 Stocks'!F49)</f>
        <v>6.3560519260914577E-2</v>
      </c>
      <c r="J51" s="6">
        <f>LN('Data of Top 7 Stocks'!G50/'Data of Top 7 Stocks'!G49)</f>
        <v>7.6783996743714535E-3</v>
      </c>
      <c r="K51" s="6">
        <f>LN('Data of Top 7 Stocks'!H50/'Data of Top 7 Stocks'!H49)</f>
        <v>0.10294309105850585</v>
      </c>
      <c r="N51" s="6">
        <f t="shared" si="1"/>
        <v>-3.8155937027097983E-3</v>
      </c>
      <c r="O51" s="6">
        <f t="shared" si="2"/>
        <v>2.6977091440420143E-2</v>
      </c>
      <c r="P51" s="6">
        <f t="shared" si="3"/>
        <v>2.7412442157110438E-2</v>
      </c>
      <c r="Q51" s="6">
        <f t="shared" si="4"/>
        <v>2.740914853855312E-2</v>
      </c>
      <c r="R51" s="6">
        <f t="shared" si="5"/>
        <v>6.270374144830379E-2</v>
      </c>
      <c r="S51" s="6">
        <f t="shared" si="6"/>
        <v>6.1987599531418214E-3</v>
      </c>
      <c r="T51" s="6">
        <f t="shared" si="7"/>
        <v>9.9077503748309925E-2</v>
      </c>
    </row>
    <row r="52" spans="5:20" x14ac:dyDescent="0.3">
      <c r="E52" s="6">
        <f>LN('Data of Top 7 Stocks'!B51/'Data of Top 7 Stocks'!B50)</f>
        <v>-3.8974481377585586E-2</v>
      </c>
      <c r="F52" s="6">
        <f>LN('Data of Top 7 Stocks'!C51/'Data of Top 7 Stocks'!C50)</f>
        <v>7.0838548884050419E-3</v>
      </c>
      <c r="G52" s="6">
        <f>LN('Data of Top 7 Stocks'!D51/'Data of Top 7 Stocks'!D50)</f>
        <v>-3.8370944906994185E-2</v>
      </c>
      <c r="H52" s="6">
        <f>LN('Data of Top 7 Stocks'!E51/'Data of Top 7 Stocks'!E50)</f>
        <v>-7.8790670877543018E-2</v>
      </c>
      <c r="I52" s="6">
        <f>LN('Data of Top 7 Stocks'!F51/'Data of Top 7 Stocks'!F50)</f>
        <v>-8.4616255552753511E-2</v>
      </c>
      <c r="J52" s="6">
        <f>LN('Data of Top 7 Stocks'!G51/'Data of Top 7 Stocks'!G50)</f>
        <v>-5.5029710826576372E-2</v>
      </c>
      <c r="K52" s="6">
        <f>LN('Data of Top 7 Stocks'!H51/'Data of Top 7 Stocks'!H50)</f>
        <v>-6.3432430784024926E-2</v>
      </c>
      <c r="N52" s="6">
        <f t="shared" si="1"/>
        <v>-4.076249936539552E-2</v>
      </c>
      <c r="O52" s="6">
        <f t="shared" si="2"/>
        <v>-2.7456216080394549E-3</v>
      </c>
      <c r="P52" s="6">
        <f t="shared" si="3"/>
        <v>-4.093029905320391E-2</v>
      </c>
      <c r="Q52" s="6">
        <f t="shared" si="4"/>
        <v>-8.1500019213014127E-2</v>
      </c>
      <c r="R52" s="6">
        <f t="shared" si="5"/>
        <v>-8.5473033365364298E-2</v>
      </c>
      <c r="S52" s="6">
        <f t="shared" si="6"/>
        <v>-5.6509350547806002E-2</v>
      </c>
      <c r="T52" s="6">
        <f t="shared" si="7"/>
        <v>-6.7298018094220854E-2</v>
      </c>
    </row>
    <row r="53" spans="5:20" x14ac:dyDescent="0.3">
      <c r="E53" s="6">
        <f>LN('Data of Top 7 Stocks'!B52/'Data of Top 7 Stocks'!B51)</f>
        <v>-5.5314638125905792E-2</v>
      </c>
      <c r="F53" s="6">
        <f>LN('Data of Top 7 Stocks'!C52/'Data of Top 7 Stocks'!C51)</f>
        <v>-2.5619512617744512E-2</v>
      </c>
      <c r="G53" s="6">
        <f>LN('Data of Top 7 Stocks'!D52/'Data of Top 7 Stocks'!D51)</f>
        <v>-2.9789253018084071E-3</v>
      </c>
      <c r="H53" s="6">
        <f>LN('Data of Top 7 Stocks'!E52/'Data of Top 7 Stocks'!E51)</f>
        <v>-2.8075469012986014E-2</v>
      </c>
      <c r="I53" s="6">
        <f>LN('Data of Top 7 Stocks'!F52/'Data of Top 7 Stocks'!F51)</f>
        <v>-0.17549764337010959</v>
      </c>
      <c r="J53" s="6">
        <f>LN('Data of Top 7 Stocks'!G52/'Data of Top 7 Stocks'!G51)</f>
        <v>-1.39024561849189E-2</v>
      </c>
      <c r="K53" s="6">
        <f>LN('Data of Top 7 Stocks'!H52/'Data of Top 7 Stocks'!H51)</f>
        <v>3.0002675334629404E-2</v>
      </c>
      <c r="N53" s="6">
        <f t="shared" si="1"/>
        <v>-5.7102656113715726E-2</v>
      </c>
      <c r="O53" s="6">
        <f t="shared" si="2"/>
        <v>-3.5448989114189006E-2</v>
      </c>
      <c r="P53" s="6">
        <f t="shared" si="3"/>
        <v>-5.538279448018134E-3</v>
      </c>
      <c r="Q53" s="6">
        <f t="shared" si="4"/>
        <v>-3.078481734845712E-2</v>
      </c>
      <c r="R53" s="6">
        <f t="shared" si="5"/>
        <v>-0.17635442118272038</v>
      </c>
      <c r="S53" s="6">
        <f t="shared" si="6"/>
        <v>-1.5382095906148533E-2</v>
      </c>
      <c r="T53" s="6">
        <f t="shared" si="7"/>
        <v>2.6137088024433475E-2</v>
      </c>
    </row>
    <row r="54" spans="5:20" x14ac:dyDescent="0.3">
      <c r="E54" s="6">
        <f>LN('Data of Top 7 Stocks'!B53/'Data of Top 7 Stocks'!B52)</f>
        <v>-1.9897792035336447E-2</v>
      </c>
      <c r="F54" s="6">
        <f>LN('Data of Top 7 Stocks'!C53/'Data of Top 7 Stocks'!C52)</f>
        <v>-8.564072516726999E-2</v>
      </c>
      <c r="G54" s="6">
        <f>LN('Data of Top 7 Stocks'!D53/'Data of Top 7 Stocks'!D52)</f>
        <v>-2.4658897028133189E-2</v>
      </c>
      <c r="H54" s="6">
        <f>LN('Data of Top 7 Stocks'!E53/'Data of Top 7 Stocks'!E52)</f>
        <v>-1.1477088486795095E-2</v>
      </c>
      <c r="I54" s="6">
        <f>LN('Data of Top 7 Stocks'!F53/'Data of Top 7 Stocks'!F52)</f>
        <v>-0.1987643285077853</v>
      </c>
      <c r="J54" s="6">
        <f>LN('Data of Top 7 Stocks'!G53/'Data of Top 7 Stocks'!G52)</f>
        <v>-3.0156522384007286E-2</v>
      </c>
      <c r="K54" s="6">
        <f>LN('Data of Top 7 Stocks'!H53/'Data of Top 7 Stocks'!H52)</f>
        <v>-1.1706875605596892E-2</v>
      </c>
      <c r="N54" s="6">
        <f t="shared" si="1"/>
        <v>-2.168581002314638E-2</v>
      </c>
      <c r="O54" s="6">
        <f t="shared" si="2"/>
        <v>-9.5470201663714491E-2</v>
      </c>
      <c r="P54" s="6">
        <f t="shared" si="3"/>
        <v>-2.7218251174342917E-2</v>
      </c>
      <c r="Q54" s="6">
        <f t="shared" si="4"/>
        <v>-1.4186436822266201E-2</v>
      </c>
      <c r="R54" s="6">
        <f t="shared" si="5"/>
        <v>-0.19962110632039609</v>
      </c>
      <c r="S54" s="6">
        <f t="shared" si="6"/>
        <v>-3.1636162105236919E-2</v>
      </c>
      <c r="T54" s="6">
        <f t="shared" si="7"/>
        <v>-1.5572462915792822E-2</v>
      </c>
    </row>
    <row r="55" spans="5:20" x14ac:dyDescent="0.3">
      <c r="E55" s="6">
        <f>LN('Data of Top 7 Stocks'!B54/'Data of Top 7 Stocks'!B53)</f>
        <v>-1.474490979050863E-2</v>
      </c>
      <c r="F55" s="6">
        <f>LN('Data of Top 7 Stocks'!C54/'Data of Top 7 Stocks'!C53)</f>
        <v>-4.0246880508593465E-2</v>
      </c>
      <c r="G55" s="6">
        <f>LN('Data of Top 7 Stocks'!D54/'Data of Top 7 Stocks'!D53)</f>
        <v>4.5554357328271037E-3</v>
      </c>
      <c r="H55" s="6">
        <f>LN('Data of Top 7 Stocks'!E54/'Data of Top 7 Stocks'!E53)</f>
        <v>-1.1270264678046734E-2</v>
      </c>
      <c r="I55" s="6">
        <f>LN('Data of Top 7 Stocks'!F54/'Data of Top 7 Stocks'!F53)</f>
        <v>2.4357569235037939E-4</v>
      </c>
      <c r="J55" s="6">
        <f>LN('Data of Top 7 Stocks'!G54/'Data of Top 7 Stocks'!G53)</f>
        <v>-1.4771317320312543E-2</v>
      </c>
      <c r="K55" s="6">
        <f>LN('Data of Top 7 Stocks'!H54/'Data of Top 7 Stocks'!H53)</f>
        <v>1.9297519717467102E-2</v>
      </c>
      <c r="N55" s="6">
        <f t="shared" si="1"/>
        <v>-1.6532927778318562E-2</v>
      </c>
      <c r="O55" s="6">
        <f t="shared" si="2"/>
        <v>-5.0076357005037958E-2</v>
      </c>
      <c r="P55" s="6">
        <f t="shared" si="3"/>
        <v>1.9960815866173769E-3</v>
      </c>
      <c r="Q55" s="6">
        <f t="shared" si="4"/>
        <v>-1.397961301351784E-2</v>
      </c>
      <c r="R55" s="6">
        <f t="shared" si="5"/>
        <v>-6.1320212026041011E-4</v>
      </c>
      <c r="S55" s="6">
        <f t="shared" si="6"/>
        <v>-1.6250957041542176E-2</v>
      </c>
      <c r="T55" s="6">
        <f t="shared" si="7"/>
        <v>1.5431932407271172E-2</v>
      </c>
    </row>
    <row r="56" spans="5:20" x14ac:dyDescent="0.3">
      <c r="E56" s="6">
        <f>LN('Data of Top 7 Stocks'!B55/'Data of Top 7 Stocks'!B54)</f>
        <v>-2.3887508950750916E-3</v>
      </c>
      <c r="F56" s="6">
        <f>LN('Data of Top 7 Stocks'!C55/'Data of Top 7 Stocks'!C54)</f>
        <v>1.6966813527005006E-2</v>
      </c>
      <c r="G56" s="6">
        <f>LN('Data of Top 7 Stocks'!D55/'Data of Top 7 Stocks'!D54)</f>
        <v>-6.4099399263079671E-2</v>
      </c>
      <c r="H56" s="6">
        <f>LN('Data of Top 7 Stocks'!E55/'Data of Top 7 Stocks'!E54)</f>
        <v>-1.0138493176598472E-2</v>
      </c>
      <c r="I56" s="6">
        <f>LN('Data of Top 7 Stocks'!F55/'Data of Top 7 Stocks'!F54)</f>
        <v>-8.5728049011752461E-2</v>
      </c>
      <c r="J56" s="6">
        <f>LN('Data of Top 7 Stocks'!G55/'Data of Top 7 Stocks'!G54)</f>
        <v>2.4460297570160671E-2</v>
      </c>
      <c r="K56" s="6">
        <f>LN('Data of Top 7 Stocks'!H55/'Data of Top 7 Stocks'!H54)</f>
        <v>7.7367214984117111E-2</v>
      </c>
      <c r="N56" s="6">
        <f t="shared" si="1"/>
        <v>-4.1767688828850255E-3</v>
      </c>
      <c r="O56" s="6">
        <f t="shared" si="2"/>
        <v>7.1373370305605095E-3</v>
      </c>
      <c r="P56" s="6">
        <f t="shared" si="3"/>
        <v>-6.6658753409289395E-2</v>
      </c>
      <c r="Q56" s="6">
        <f t="shared" si="4"/>
        <v>-1.2847841512069578E-2</v>
      </c>
      <c r="R56" s="6">
        <f t="shared" si="5"/>
        <v>-8.6584826824363248E-2</v>
      </c>
      <c r="S56" s="6">
        <f t="shared" si="6"/>
        <v>2.2980657848931038E-2</v>
      </c>
      <c r="T56" s="6">
        <f t="shared" si="7"/>
        <v>7.3501627673921183E-2</v>
      </c>
    </row>
    <row r="57" spans="5:20" x14ac:dyDescent="0.3">
      <c r="E57" s="6">
        <f>LN('Data of Top 7 Stocks'!B56/'Data of Top 7 Stocks'!B55)</f>
        <v>3.8888325538782118E-2</v>
      </c>
      <c r="F57" s="6">
        <f>LN('Data of Top 7 Stocks'!C56/'Data of Top 7 Stocks'!C55)</f>
        <v>0.12864058263941455</v>
      </c>
      <c r="G57" s="6">
        <f>LN('Data of Top 7 Stocks'!D56/'Data of Top 7 Stocks'!D55)</f>
        <v>6.1636189584282457E-2</v>
      </c>
      <c r="H57" s="6">
        <f>LN('Data of Top 7 Stocks'!E56/'Data of Top 7 Stocks'!E55)</f>
        <v>5.3283526895069606E-2</v>
      </c>
      <c r="I57" s="6">
        <f>LN('Data of Top 7 Stocks'!F56/'Data of Top 7 Stocks'!F55)</f>
        <v>7.9375718831081049E-2</v>
      </c>
      <c r="J57" s="6">
        <f>LN('Data of Top 7 Stocks'!G56/'Data of Top 7 Stocks'!G55)</f>
        <v>0.13091412297681432</v>
      </c>
      <c r="K57" s="6">
        <f>LN('Data of Top 7 Stocks'!H56/'Data of Top 7 Stocks'!H55)</f>
        <v>5.2146644993436325E-2</v>
      </c>
      <c r="N57" s="6">
        <f t="shared" si="1"/>
        <v>3.7100307550972184E-2</v>
      </c>
      <c r="O57" s="6">
        <f t="shared" si="2"/>
        <v>0.11881110614297005</v>
      </c>
      <c r="P57" s="6">
        <f t="shared" si="3"/>
        <v>5.9076835438072732E-2</v>
      </c>
      <c r="Q57" s="6">
        <f t="shared" si="4"/>
        <v>5.0574178559598497E-2</v>
      </c>
      <c r="R57" s="6">
        <f t="shared" si="5"/>
        <v>7.8518941018470262E-2</v>
      </c>
      <c r="S57" s="6">
        <f t="shared" si="6"/>
        <v>0.12943448325558468</v>
      </c>
      <c r="T57" s="6">
        <f t="shared" si="7"/>
        <v>4.8281057683240397E-2</v>
      </c>
    </row>
    <row r="58" spans="5:20" x14ac:dyDescent="0.3">
      <c r="E58" s="6">
        <f>LN('Data of Top 7 Stocks'!B57/'Data of Top 7 Stocks'!B56)</f>
        <v>2.2815793645185652E-2</v>
      </c>
      <c r="F58" s="6">
        <f>LN('Data of Top 7 Stocks'!C57/'Data of Top 7 Stocks'!C56)</f>
        <v>5.4129505222835508E-2</v>
      </c>
      <c r="G58" s="6">
        <f>LN('Data of Top 7 Stocks'!D57/'Data of Top 7 Stocks'!D56)</f>
        <v>4.1297378538543896E-3</v>
      </c>
      <c r="H58" s="6">
        <f>LN('Data of Top 7 Stocks'!E57/'Data of Top 7 Stocks'!E56)</f>
        <v>6.2079464528916953E-2</v>
      </c>
      <c r="I58" s="6">
        <f>LN('Data of Top 7 Stocks'!F57/'Data of Top 7 Stocks'!F56)</f>
        <v>8.6207677203143568E-2</v>
      </c>
      <c r="J58" s="6">
        <f>LN('Data of Top 7 Stocks'!G57/'Data of Top 7 Stocks'!G56)</f>
        <v>-8.9062368917329719E-3</v>
      </c>
      <c r="K58" s="6">
        <f>LN('Data of Top 7 Stocks'!H57/'Data of Top 7 Stocks'!H56)</f>
        <v>1.7297337361659271E-2</v>
      </c>
      <c r="N58" s="6">
        <f t="shared" si="1"/>
        <v>2.1027775657375718E-2</v>
      </c>
      <c r="O58" s="6">
        <f t="shared" si="2"/>
        <v>4.4300028726391008E-2</v>
      </c>
      <c r="P58" s="6">
        <f t="shared" si="3"/>
        <v>1.5703837076446628E-3</v>
      </c>
      <c r="Q58" s="6">
        <f t="shared" si="4"/>
        <v>5.9370116193445843E-2</v>
      </c>
      <c r="R58" s="6">
        <f t="shared" si="5"/>
        <v>8.5350899390532781E-2</v>
      </c>
      <c r="S58" s="6">
        <f t="shared" si="6"/>
        <v>-1.0385876612962603E-2</v>
      </c>
      <c r="T58" s="6">
        <f t="shared" si="7"/>
        <v>1.3431750051463342E-2</v>
      </c>
    </row>
    <row r="59" spans="5:20" x14ac:dyDescent="0.3">
      <c r="E59" s="6">
        <f>LN('Data of Top 7 Stocks'!B58/'Data of Top 7 Stocks'!B57)</f>
        <v>5.6815842496116861E-2</v>
      </c>
      <c r="F59" s="6">
        <f>LN('Data of Top 7 Stocks'!C58/'Data of Top 7 Stocks'!C57)</f>
        <v>0.13212906453045875</v>
      </c>
      <c r="G59" s="6">
        <f>LN('Data of Top 7 Stocks'!D58/'Data of Top 7 Stocks'!D57)</f>
        <v>3.2518529301884452E-2</v>
      </c>
      <c r="H59" s="6">
        <f>LN('Data of Top 7 Stocks'!E58/'Data of Top 7 Stocks'!E57)</f>
        <v>1.3678717761870626E-2</v>
      </c>
      <c r="I59" s="6">
        <f>LN('Data of Top 7 Stocks'!F58/'Data of Top 7 Stocks'!F57)</f>
        <v>0.28771954739042016</v>
      </c>
      <c r="J59" s="6">
        <f>LN('Data of Top 7 Stocks'!G58/'Data of Top 7 Stocks'!G57)</f>
        <v>5.0038008130668971E-2</v>
      </c>
      <c r="K59" s="6">
        <f>LN('Data of Top 7 Stocks'!H58/'Data of Top 7 Stocks'!H57)</f>
        <v>8.5036262778510632E-2</v>
      </c>
      <c r="N59" s="6">
        <f t="shared" si="1"/>
        <v>5.5027824508306927E-2</v>
      </c>
      <c r="O59" s="6">
        <f t="shared" si="2"/>
        <v>0.12229958803401425</v>
      </c>
      <c r="P59" s="6">
        <f t="shared" si="3"/>
        <v>2.9959175155674724E-2</v>
      </c>
      <c r="Q59" s="6">
        <f t="shared" si="4"/>
        <v>1.096936942639952E-2</v>
      </c>
      <c r="R59" s="6">
        <f t="shared" si="5"/>
        <v>0.28686276957780937</v>
      </c>
      <c r="S59" s="6">
        <f t="shared" si="6"/>
        <v>4.8558368409439341E-2</v>
      </c>
      <c r="T59" s="6">
        <f t="shared" si="7"/>
        <v>8.1170675468314704E-2</v>
      </c>
    </row>
    <row r="60" spans="5:20" x14ac:dyDescent="0.3">
      <c r="E60" s="6">
        <f>LN('Data of Top 7 Stocks'!B59/'Data of Top 7 Stocks'!B58)</f>
        <v>5.7067041658145766E-2</v>
      </c>
      <c r="F60" s="6">
        <f>LN('Data of Top 7 Stocks'!C59/'Data of Top 7 Stocks'!C58)</f>
        <v>3.5700848799698925E-2</v>
      </c>
      <c r="G60" s="6">
        <f>LN('Data of Top 7 Stocks'!D59/'Data of Top 7 Stocks'!D58)</f>
        <v>4.0241555304965045E-2</v>
      </c>
      <c r="H60" s="6">
        <f>LN('Data of Top 7 Stocks'!E59/'Data of Top 7 Stocks'!E58)</f>
        <v>5.301265673680166E-2</v>
      </c>
      <c r="I60" s="6">
        <f>LN('Data of Top 7 Stocks'!F59/'Data of Top 7 Stocks'!F58)</f>
        <v>6.5697208790246764E-2</v>
      </c>
      <c r="J60" s="6">
        <f>LN('Data of Top 7 Stocks'!G59/'Data of Top 7 Stocks'!G58)</f>
        <v>1.1185254969377046E-2</v>
      </c>
      <c r="K60" s="6">
        <f>LN('Data of Top 7 Stocks'!H59/'Data of Top 7 Stocks'!H58)</f>
        <v>0.20642355414654248</v>
      </c>
      <c r="N60" s="6">
        <f t="shared" si="1"/>
        <v>5.5279023670335832E-2</v>
      </c>
      <c r="O60" s="6">
        <f t="shared" si="2"/>
        <v>2.5871372303254429E-2</v>
      </c>
      <c r="P60" s="6">
        <f t="shared" si="3"/>
        <v>3.768220115875532E-2</v>
      </c>
      <c r="Q60" s="6">
        <f t="shared" si="4"/>
        <v>5.030330840133055E-2</v>
      </c>
      <c r="R60" s="6">
        <f t="shared" si="5"/>
        <v>6.4840430977635977E-2</v>
      </c>
      <c r="S60" s="6">
        <f t="shared" si="6"/>
        <v>9.7056152481474131E-3</v>
      </c>
      <c r="T60" s="6">
        <f t="shared" si="7"/>
        <v>0.20255796683634655</v>
      </c>
    </row>
    <row r="61" spans="5:20" x14ac:dyDescent="0.3">
      <c r="E61" s="6">
        <f>LN('Data of Top 7 Stocks'!B60/'Data of Top 7 Stocks'!B59)</f>
        <v>-2.2848036550102476E-2</v>
      </c>
      <c r="F61" s="6">
        <f>LN('Data of Top 7 Stocks'!C60/'Data of Top 7 Stocks'!C59)</f>
        <v>7.5543324317811356E-3</v>
      </c>
      <c r="G61" s="6">
        <f>LN('Data of Top 7 Stocks'!D60/'Data of Top 7 Stocks'!D59)</f>
        <v>1.8218933313053354E-2</v>
      </c>
      <c r="H61" s="6">
        <f>LN('Data of Top 7 Stocks'!E60/'Data of Top 7 Stocks'!E59)</f>
        <v>-0.1025226129526529</v>
      </c>
      <c r="I61" s="6">
        <f>LN('Data of Top 7 Stocks'!F60/'Data of Top 7 Stocks'!F59)</f>
        <v>3.5726393691704751E-2</v>
      </c>
      <c r="J61" s="6">
        <f>LN('Data of Top 7 Stocks'!G60/'Data of Top 7 Stocks'!G59)</f>
        <v>-5.7528298411728004E-2</v>
      </c>
      <c r="K61" s="6">
        <f>LN('Data of Top 7 Stocks'!H60/'Data of Top 7 Stocks'!H59)</f>
        <v>-6.8675087244461044E-2</v>
      </c>
      <c r="N61" s="6">
        <f t="shared" si="1"/>
        <v>-2.463605453791241E-2</v>
      </c>
      <c r="O61" s="6">
        <f t="shared" si="2"/>
        <v>-2.2751440646633612E-3</v>
      </c>
      <c r="P61" s="6">
        <f t="shared" si="3"/>
        <v>1.5659579166843626E-2</v>
      </c>
      <c r="Q61" s="6">
        <f t="shared" si="4"/>
        <v>-0.10523196128812401</v>
      </c>
      <c r="R61" s="6">
        <f t="shared" si="5"/>
        <v>3.4869615879093964E-2</v>
      </c>
      <c r="S61" s="6">
        <f t="shared" si="6"/>
        <v>-5.9007938132957634E-2</v>
      </c>
      <c r="T61" s="6">
        <f t="shared" si="7"/>
        <v>-7.2540674554656973E-2</v>
      </c>
    </row>
    <row r="62" spans="5:20" x14ac:dyDescent="0.3">
      <c r="E62" s="6">
        <f>LN('Data of Top 7 Stocks'!B61/'Data of Top 7 Stocks'!B60)</f>
        <v>1.0146351374981075E-2</v>
      </c>
      <c r="F62" s="6">
        <f>LN('Data of Top 7 Stocks'!C61/'Data of Top 7 Stocks'!C60)</f>
        <v>6.0961501805123306E-3</v>
      </c>
      <c r="G62" s="6">
        <f>LN('Data of Top 7 Stocks'!D61/'Data of Top 7 Stocks'!D60)</f>
        <v>-1.9342072022547188E-2</v>
      </c>
      <c r="H62" s="6">
        <f>LN('Data of Top 7 Stocks'!E61/'Data of Top 7 Stocks'!E60)</f>
        <v>-2.3290292128615754E-3</v>
      </c>
      <c r="I62" s="6">
        <f>LN('Data of Top 7 Stocks'!F61/'Data of Top 7 Stocks'!F60)</f>
        <v>5.6382157642082369E-2</v>
      </c>
      <c r="J62" s="6">
        <f>LN('Data of Top 7 Stocks'!G61/'Data of Top 7 Stocks'!G60)</f>
        <v>-4.2092357204802835E-3</v>
      </c>
      <c r="K62" s="6">
        <f>LN('Data of Top 7 Stocks'!H61/'Data of Top 7 Stocks'!H60)</f>
        <v>-7.3192846133796705E-3</v>
      </c>
      <c r="N62" s="6">
        <f t="shared" si="1"/>
        <v>8.3583333871711414E-3</v>
      </c>
      <c r="O62" s="6">
        <f t="shared" si="2"/>
        <v>-3.7333263159321662E-3</v>
      </c>
      <c r="P62" s="6">
        <f t="shared" si="3"/>
        <v>-2.1901426168756916E-2</v>
      </c>
      <c r="Q62" s="6">
        <f t="shared" si="4"/>
        <v>-5.0383775483326815E-3</v>
      </c>
      <c r="R62" s="6">
        <f t="shared" si="5"/>
        <v>5.5525379829471581E-2</v>
      </c>
      <c r="S62" s="6">
        <f t="shared" si="6"/>
        <v>-5.6888754417099155E-3</v>
      </c>
      <c r="T62" s="6">
        <f t="shared" si="7"/>
        <v>-1.11848719235756E-2</v>
      </c>
    </row>
    <row r="63" spans="5:20" x14ac:dyDescent="0.3">
      <c r="E63" s="6">
        <f>LN('Data of Top 7 Stocks'!B62/'Data of Top 7 Stocks'!B61)</f>
        <v>-3.9034562011126053E-2</v>
      </c>
      <c r="F63" s="6">
        <f>LN('Data of Top 7 Stocks'!C62/'Data of Top 7 Stocks'!C61)</f>
        <v>8.5100560801935343E-2</v>
      </c>
      <c r="G63" s="6">
        <f>LN('Data of Top 7 Stocks'!D62/'Data of Top 7 Stocks'!D61)</f>
        <v>-3.4856075508978498E-2</v>
      </c>
      <c r="H63" s="6">
        <f>LN('Data of Top 7 Stocks'!E62/'Data of Top 7 Stocks'!E61)</f>
        <v>-5.6915293671933237E-2</v>
      </c>
      <c r="I63" s="6">
        <f>LN('Data of Top 7 Stocks'!F62/'Data of Top 7 Stocks'!F61)</f>
        <v>-5.6432948713023026E-2</v>
      </c>
      <c r="J63" s="6">
        <f>LN('Data of Top 7 Stocks'!G62/'Data of Top 7 Stocks'!G61)</f>
        <v>-3.8809275171752096E-2</v>
      </c>
      <c r="K63" s="6">
        <f>LN('Data of Top 7 Stocks'!H62/'Data of Top 7 Stocks'!H61)</f>
        <v>-1.4507784971482763E-2</v>
      </c>
      <c r="N63" s="6">
        <f t="shared" si="1"/>
        <v>-4.0822579998935987E-2</v>
      </c>
      <c r="O63" s="6">
        <f t="shared" si="2"/>
        <v>7.5271084305490843E-2</v>
      </c>
      <c r="P63" s="6">
        <f t="shared" si="3"/>
        <v>-3.7415429655188223E-2</v>
      </c>
      <c r="Q63" s="6">
        <f t="shared" si="4"/>
        <v>-5.9624642007404346E-2</v>
      </c>
      <c r="R63" s="6">
        <f t="shared" si="5"/>
        <v>-5.7289726525633813E-2</v>
      </c>
      <c r="S63" s="6">
        <f t="shared" si="6"/>
        <v>-4.0288914892981725E-2</v>
      </c>
      <c r="T63" s="6">
        <f t="shared" si="7"/>
        <v>-1.8373372281678693E-2</v>
      </c>
    </row>
    <row r="64" spans="5:20" x14ac:dyDescent="0.3">
      <c r="E64" s="6">
        <f>LN('Data of Top 7 Stocks'!B63/'Data of Top 7 Stocks'!B62)</f>
        <v>2.9020643426697447E-2</v>
      </c>
      <c r="F64" s="6">
        <f>LN('Data of Top 7 Stocks'!C63/'Data of Top 7 Stocks'!C62)</f>
        <v>2.5435877441468496E-2</v>
      </c>
      <c r="G64" s="6">
        <f>LN('Data of Top 7 Stocks'!D63/'Data of Top 7 Stocks'!D62)</f>
        <v>2.4064113361180705E-2</v>
      </c>
      <c r="H64" s="6">
        <f>LN('Data of Top 7 Stocks'!E63/'Data of Top 7 Stocks'!E62)</f>
        <v>4.9468450747471665E-2</v>
      </c>
      <c r="I64" s="6">
        <f>LN('Data of Top 7 Stocks'!F63/'Data of Top 7 Stocks'!F62)</f>
        <v>4.6114557105174838E-3</v>
      </c>
      <c r="J64" s="6">
        <f>LN('Data of Top 7 Stocks'!G63/'Data of Top 7 Stocks'!G62)</f>
        <v>1.4862269321241012E-2</v>
      </c>
      <c r="K64" s="6">
        <f>LN('Data of Top 7 Stocks'!H63/'Data of Top 7 Stocks'!H62)</f>
        <v>8.3616336949048478E-2</v>
      </c>
      <c r="N64" s="6">
        <f t="shared" si="1"/>
        <v>2.7232625438887513E-2</v>
      </c>
      <c r="O64" s="6">
        <f t="shared" si="2"/>
        <v>1.5606400945023999E-2</v>
      </c>
      <c r="P64" s="6">
        <f t="shared" si="3"/>
        <v>2.1504759214970977E-2</v>
      </c>
      <c r="Q64" s="6">
        <f t="shared" si="4"/>
        <v>4.6759102412000556E-2</v>
      </c>
      <c r="R64" s="6">
        <f t="shared" si="5"/>
        <v>3.7546778979066944E-3</v>
      </c>
      <c r="S64" s="6">
        <f t="shared" si="6"/>
        <v>1.3382629600011381E-2</v>
      </c>
      <c r="T64" s="6">
        <f t="shared" si="7"/>
        <v>7.975074963885255E-2</v>
      </c>
    </row>
    <row r="65" spans="5:20" x14ac:dyDescent="0.3">
      <c r="E65" s="6">
        <f>LN('Data of Top 7 Stocks'!B64/'Data of Top 7 Stocks'!B63)</f>
        <v>-1.689353433549598E-2</v>
      </c>
      <c r="F65" s="6">
        <f>LN('Data of Top 7 Stocks'!C64/'Data of Top 7 Stocks'!C63)</f>
        <v>-3.9270944636711401E-2</v>
      </c>
      <c r="G65" s="6">
        <f>LN('Data of Top 7 Stocks'!D64/'Data of Top 7 Stocks'!D63)</f>
        <v>-2.6595200869813096E-2</v>
      </c>
      <c r="H65" s="6">
        <f>LN('Data of Top 7 Stocks'!E64/'Data of Top 7 Stocks'!E63)</f>
        <v>-3.2779144823407325E-2</v>
      </c>
      <c r="I65" s="6">
        <f>LN('Data of Top 7 Stocks'!F64/'Data of Top 7 Stocks'!F63)</f>
        <v>-0.13137414354203655</v>
      </c>
      <c r="J65" s="6">
        <f>LN('Data of Top 7 Stocks'!G64/'Data of Top 7 Stocks'!G63)</f>
        <v>-4.4935642434344697E-2</v>
      </c>
      <c r="K65" s="6">
        <f>LN('Data of Top 7 Stocks'!H64/'Data of Top 7 Stocks'!H63)</f>
        <v>-3.1475347493217565E-2</v>
      </c>
      <c r="N65" s="6">
        <f t="shared" si="1"/>
        <v>-1.8681552323305914E-2</v>
      </c>
      <c r="O65" s="6">
        <f t="shared" si="2"/>
        <v>-4.9100421133155894E-2</v>
      </c>
      <c r="P65" s="6">
        <f t="shared" si="3"/>
        <v>-2.9154555016022824E-2</v>
      </c>
      <c r="Q65" s="6">
        <f t="shared" si="4"/>
        <v>-3.5488493158878434E-2</v>
      </c>
      <c r="R65" s="6">
        <f t="shared" si="5"/>
        <v>-0.13223092135464734</v>
      </c>
      <c r="S65" s="6">
        <f t="shared" si="6"/>
        <v>-4.6415282155574326E-2</v>
      </c>
      <c r="T65" s="6">
        <f t="shared" si="7"/>
        <v>-3.5340934803413493E-2</v>
      </c>
    </row>
    <row r="66" spans="5:20" x14ac:dyDescent="0.3">
      <c r="E66" s="6">
        <f>LN('Data of Top 7 Stocks'!B65/'Data of Top 7 Stocks'!B64)</f>
        <v>4.2840158676492227E-2</v>
      </c>
      <c r="F66" s="6">
        <f>LN('Data of Top 7 Stocks'!C65/'Data of Top 7 Stocks'!C64)</f>
        <v>0.11346860959264606</v>
      </c>
      <c r="G66" s="6">
        <f>LN('Data of Top 7 Stocks'!D65/'Data of Top 7 Stocks'!D64)</f>
        <v>0.11694686099472941</v>
      </c>
      <c r="H66" s="6">
        <f>LN('Data of Top 7 Stocks'!E65/'Data of Top 7 Stocks'!E64)</f>
        <v>0.1144550820988957</v>
      </c>
      <c r="I66" s="6">
        <f>LN('Data of Top 7 Stocks'!F65/'Data of Top 7 Stocks'!F64)</f>
        <v>3.7847094184185602E-2</v>
      </c>
      <c r="J66" s="6">
        <f>LN('Data of Top 7 Stocks'!G65/'Data of Top 7 Stocks'!G64)</f>
        <v>8.6726608867037175E-2</v>
      </c>
      <c r="K66" s="6">
        <f>LN('Data of Top 7 Stocks'!H65/'Data of Top 7 Stocks'!H64)</f>
        <v>8.5891964355289424E-2</v>
      </c>
      <c r="N66" s="6">
        <f t="shared" si="1"/>
        <v>4.1052140688682293E-2</v>
      </c>
      <c r="O66" s="6">
        <f t="shared" si="2"/>
        <v>0.10363913309620156</v>
      </c>
      <c r="P66" s="6">
        <f t="shared" si="3"/>
        <v>0.11438750684851968</v>
      </c>
      <c r="Q66" s="6">
        <f t="shared" si="4"/>
        <v>0.11174573376342459</v>
      </c>
      <c r="R66" s="6">
        <f t="shared" si="5"/>
        <v>3.6990316371574815E-2</v>
      </c>
      <c r="S66" s="6">
        <f t="shared" si="6"/>
        <v>8.5246969145807538E-2</v>
      </c>
      <c r="T66" s="6">
        <f t="shared" si="7"/>
        <v>8.2026377045093496E-2</v>
      </c>
    </row>
    <row r="67" spans="5:20" x14ac:dyDescent="0.3">
      <c r="E67" s="6">
        <f>LN('Data of Top 7 Stocks'!B66/'Data of Top 7 Stocks'!B65)</f>
        <v>3.3309978881532858E-2</v>
      </c>
      <c r="F67" s="6">
        <f>LN('Data of Top 7 Stocks'!C66/'Data of Top 7 Stocks'!C65)</f>
        <v>3.999771396937378E-2</v>
      </c>
      <c r="G67" s="6">
        <f>LN('Data of Top 7 Stocks'!D66/'Data of Top 7 Stocks'!D65)</f>
        <v>4.071434195622484E-3</v>
      </c>
      <c r="H67" s="6">
        <f>LN('Data of Top 7 Stocks'!E66/'Data of Top 7 Stocks'!E65)</f>
        <v>3.6901704588611098E-2</v>
      </c>
      <c r="I67" s="6">
        <f>LN('Data of Top 7 Stocks'!F66/'Data of Top 7 Stocks'!F65)</f>
        <v>5.5500829551021466E-2</v>
      </c>
      <c r="J67" s="6">
        <f>LN('Data of Top 7 Stocks'!G66/'Data of Top 7 Stocks'!G65)</f>
        <v>-8.3215418301725696E-3</v>
      </c>
      <c r="K67" s="6">
        <f>LN('Data of Top 7 Stocks'!H66/'Data of Top 7 Stocks'!H65)</f>
        <v>5.1801830262426504E-2</v>
      </c>
      <c r="N67" s="6">
        <f t="shared" si="1"/>
        <v>3.1521960893722924E-2</v>
      </c>
      <c r="O67" s="6">
        <f t="shared" si="2"/>
        <v>3.0168237472929283E-2</v>
      </c>
      <c r="P67" s="6">
        <f t="shared" si="3"/>
        <v>1.5120800494127572E-3</v>
      </c>
      <c r="Q67" s="6">
        <f t="shared" si="4"/>
        <v>3.4192356253139988E-2</v>
      </c>
      <c r="R67" s="6">
        <f t="shared" si="5"/>
        <v>5.4644051738410679E-2</v>
      </c>
      <c r="S67" s="6">
        <f t="shared" si="6"/>
        <v>-9.8011815514022008E-3</v>
      </c>
      <c r="T67" s="6">
        <f t="shared" si="7"/>
        <v>4.7936242952230576E-2</v>
      </c>
    </row>
    <row r="68" spans="5:20" x14ac:dyDescent="0.3">
      <c r="E68" s="6">
        <f>LN('Data of Top 7 Stocks'!B67/'Data of Top 7 Stocks'!B66)</f>
        <v>2.8604133764773904E-2</v>
      </c>
      <c r="F68" s="6">
        <f>LN('Data of Top 7 Stocks'!C67/'Data of Top 7 Stocks'!C66)</f>
        <v>3.6660997063171212E-2</v>
      </c>
      <c r="G68" s="6">
        <f>LN('Data of Top 7 Stocks'!D67/'Data of Top 7 Stocks'!D66)</f>
        <v>2.7178356447915747E-2</v>
      </c>
      <c r="H68" s="6">
        <f>LN('Data of Top 7 Stocks'!E67/'Data of Top 7 Stocks'!E66)</f>
        <v>-1.6350701310460358E-2</v>
      </c>
      <c r="I68" s="6">
        <f>LN('Data of Top 7 Stocks'!F67/'Data of Top 7 Stocks'!F66)</f>
        <v>8.5758908017193602E-2</v>
      </c>
      <c r="J68" s="6">
        <f>LN('Data of Top 7 Stocks'!G67/'Data of Top 7 Stocks'!G66)</f>
        <v>5.1247435800140018E-2</v>
      </c>
      <c r="K68" s="6">
        <f>LN('Data of Top 7 Stocks'!H67/'Data of Top 7 Stocks'!H66)</f>
        <v>2.8378504445995351E-2</v>
      </c>
      <c r="N68" s="6">
        <f t="shared" si="1"/>
        <v>2.681611577696397E-2</v>
      </c>
      <c r="O68" s="6">
        <f t="shared" si="2"/>
        <v>2.6831520566726715E-2</v>
      </c>
      <c r="P68" s="6">
        <f t="shared" si="3"/>
        <v>2.4619002301706019E-2</v>
      </c>
      <c r="Q68" s="6">
        <f t="shared" si="4"/>
        <v>-1.9060049645931464E-2</v>
      </c>
      <c r="R68" s="6">
        <f t="shared" si="5"/>
        <v>8.4902130204582815E-2</v>
      </c>
      <c r="S68" s="6">
        <f t="shared" si="6"/>
        <v>4.9767796078910388E-2</v>
      </c>
      <c r="T68" s="6">
        <f t="shared" si="7"/>
        <v>2.4512917135799422E-2</v>
      </c>
    </row>
    <row r="69" spans="5:20" x14ac:dyDescent="0.3">
      <c r="E69" s="6">
        <f>LN('Data of Top 7 Stocks'!B68/'Data of Top 7 Stocks'!B67)</f>
        <v>-1.4564876952733591E-3</v>
      </c>
      <c r="F69" s="6">
        <f>LN('Data of Top 7 Stocks'!C68/'Data of Top 7 Stocks'!C67)</f>
        <v>-2.6999086151434488E-2</v>
      </c>
      <c r="G69" s="6">
        <f>LN('Data of Top 7 Stocks'!D68/'Data of Top 7 Stocks'!D67)</f>
        <v>1.1381395490146532E-2</v>
      </c>
      <c r="H69" s="6">
        <f>LN('Data of Top 7 Stocks'!E68/'Data of Top 7 Stocks'!E67)</f>
        <v>4.4221204388455421E-2</v>
      </c>
      <c r="I69" s="6">
        <f>LN('Data of Top 7 Stocks'!F68/'Data of Top 7 Stocks'!F67)</f>
        <v>-0.11425845318279786</v>
      </c>
      <c r="J69" s="6">
        <f>LN('Data of Top 7 Stocks'!G68/'Data of Top 7 Stocks'!G67)</f>
        <v>-1.1979690382716714E-2</v>
      </c>
      <c r="K69" s="6">
        <f>LN('Data of Top 7 Stocks'!H68/'Data of Top 7 Stocks'!H67)</f>
        <v>1.9438047766150261E-2</v>
      </c>
      <c r="N69" s="6">
        <f t="shared" si="1"/>
        <v>-3.244505683083293E-3</v>
      </c>
      <c r="O69" s="6">
        <f t="shared" si="2"/>
        <v>-3.6828562647878982E-2</v>
      </c>
      <c r="P69" s="6">
        <f t="shared" si="3"/>
        <v>8.8220413439368053E-3</v>
      </c>
      <c r="Q69" s="6">
        <f t="shared" si="4"/>
        <v>4.1511856052984311E-2</v>
      </c>
      <c r="R69" s="6">
        <f t="shared" si="5"/>
        <v>-0.11511523099540864</v>
      </c>
      <c r="S69" s="6">
        <f t="shared" si="6"/>
        <v>-1.3459330103946347E-2</v>
      </c>
      <c r="T69" s="6">
        <f t="shared" si="7"/>
        <v>1.5572460455954331E-2</v>
      </c>
    </row>
    <row r="70" spans="5:20" x14ac:dyDescent="0.3">
      <c r="E70" s="6">
        <f>LN('Data of Top 7 Stocks'!B69/'Data of Top 7 Stocks'!B68)</f>
        <v>3.3346500722198176E-3</v>
      </c>
      <c r="F70" s="6">
        <f>LN('Data of Top 7 Stocks'!C69/'Data of Top 7 Stocks'!C68)</f>
        <v>-1.0409015914735526E-2</v>
      </c>
      <c r="G70" s="6">
        <f>LN('Data of Top 7 Stocks'!D69/'Data of Top 7 Stocks'!D68)</f>
        <v>-1.8901798596315203E-2</v>
      </c>
      <c r="H70" s="6">
        <f>LN('Data of Top 7 Stocks'!E69/'Data of Top 7 Stocks'!E68)</f>
        <v>4.1419360608964534E-3</v>
      </c>
      <c r="I70" s="6">
        <f>LN('Data of Top 7 Stocks'!F69/'Data of Top 7 Stocks'!F68)</f>
        <v>-3.2427174255940426E-4</v>
      </c>
      <c r="J70" s="6">
        <f>LN('Data of Top 7 Stocks'!G69/'Data of Top 7 Stocks'!G68)</f>
        <v>4.3994791594848424E-3</v>
      </c>
      <c r="K70" s="6">
        <f>LN('Data of Top 7 Stocks'!H69/'Data of Top 7 Stocks'!H68)</f>
        <v>2.463617822634365E-2</v>
      </c>
      <c r="N70" s="6">
        <f t="shared" si="1"/>
        <v>1.5466320844098839E-3</v>
      </c>
      <c r="O70" s="6">
        <f t="shared" si="2"/>
        <v>-2.0238492411180024E-2</v>
      </c>
      <c r="P70" s="6">
        <f t="shared" si="3"/>
        <v>-2.1461152742524931E-2</v>
      </c>
      <c r="Q70" s="6">
        <f t="shared" si="4"/>
        <v>1.4325877254253469E-3</v>
      </c>
      <c r="R70" s="6">
        <f t="shared" si="5"/>
        <v>-1.1810495551701937E-3</v>
      </c>
      <c r="S70" s="6">
        <f t="shared" si="6"/>
        <v>2.9198394382552104E-3</v>
      </c>
      <c r="T70" s="6">
        <f t="shared" si="7"/>
        <v>2.0770590916147722E-2</v>
      </c>
    </row>
    <row r="71" spans="5:20" x14ac:dyDescent="0.3">
      <c r="E71" s="6">
        <f>LN('Data of Top 7 Stocks'!B70/'Data of Top 7 Stocks'!B69)</f>
        <v>-1.1507132663026195E-3</v>
      </c>
      <c r="F71" s="6">
        <f>LN('Data of Top 7 Stocks'!C70/'Data of Top 7 Stocks'!C69)</f>
        <v>1.3363227812167158E-2</v>
      </c>
      <c r="G71" s="6">
        <f>LN('Data of Top 7 Stocks'!D70/'Data of Top 7 Stocks'!D69)</f>
        <v>-1.328903850053752E-3</v>
      </c>
      <c r="H71" s="6">
        <f>LN('Data of Top 7 Stocks'!E70/'Data of Top 7 Stocks'!E69)</f>
        <v>-3.2297001625990855E-2</v>
      </c>
      <c r="I71" s="6">
        <f>LN('Data of Top 7 Stocks'!F70/'Data of Top 7 Stocks'!F69)</f>
        <v>-0.11392562019394366</v>
      </c>
      <c r="J71" s="6">
        <f>LN('Data of Top 7 Stocks'!G70/'Data of Top 7 Stocks'!G69)</f>
        <v>4.2494577998377372E-2</v>
      </c>
      <c r="K71" s="6">
        <f>LN('Data of Top 7 Stocks'!H70/'Data of Top 7 Stocks'!H69)</f>
        <v>-3.9601841351536909E-2</v>
      </c>
      <c r="N71" s="6">
        <f t="shared" ref="N71:N134" si="8">E71-E$203</f>
        <v>-2.938731254112553E-3</v>
      </c>
      <c r="O71" s="6">
        <f t="shared" ref="O71:O134" si="9">F71-F$203</f>
        <v>3.5337513157226615E-3</v>
      </c>
      <c r="P71" s="6">
        <f t="shared" ref="P71:P134" si="10">G71-G$203</f>
        <v>-3.8882579962634788E-3</v>
      </c>
      <c r="Q71" s="6">
        <f t="shared" ref="Q71:Q134" si="11">H71-H$203</f>
        <v>-3.5006349961461965E-2</v>
      </c>
      <c r="R71" s="6">
        <f t="shared" ref="R71:R134" si="12">I71-I$203</f>
        <v>-0.11478239800655445</v>
      </c>
      <c r="S71" s="6">
        <f t="shared" ref="S71:S134" si="13">J71-J$203</f>
        <v>4.1014938277147743E-2</v>
      </c>
      <c r="T71" s="6">
        <f t="shared" ref="T71:T134" si="14">K71-K$203</f>
        <v>-4.3467428661732838E-2</v>
      </c>
    </row>
    <row r="72" spans="5:20" x14ac:dyDescent="0.3">
      <c r="E72" s="6">
        <f>LN('Data of Top 7 Stocks'!B71/'Data of Top 7 Stocks'!B70)</f>
        <v>2.7847631580229827E-2</v>
      </c>
      <c r="F72" s="6">
        <f>LN('Data of Top 7 Stocks'!C71/'Data of Top 7 Stocks'!C70)</f>
        <v>2.2964377120248649E-2</v>
      </c>
      <c r="G72" s="6">
        <f>LN('Data of Top 7 Stocks'!D71/'Data of Top 7 Stocks'!D70)</f>
        <v>7.2541997014379772E-2</v>
      </c>
      <c r="H72" s="6">
        <f>LN('Data of Top 7 Stocks'!E71/'Data of Top 7 Stocks'!E70)</f>
        <v>1.8143858481585135E-2</v>
      </c>
      <c r="I72" s="6">
        <f>LN('Data of Top 7 Stocks'!F71/'Data of Top 7 Stocks'!F70)</f>
        <v>-4.6753174206414618E-3</v>
      </c>
      <c r="J72" s="6">
        <f>LN('Data of Top 7 Stocks'!G71/'Data of Top 7 Stocks'!G70)</f>
        <v>-1.4218025868904076E-2</v>
      </c>
      <c r="K72" s="6">
        <f>LN('Data of Top 7 Stocks'!H71/'Data of Top 7 Stocks'!H70)</f>
        <v>0.1211957681881229</v>
      </c>
      <c r="N72" s="6">
        <f t="shared" si="8"/>
        <v>2.6059613592419893E-2</v>
      </c>
      <c r="O72" s="6">
        <f t="shared" si="9"/>
        <v>1.3134900623804152E-2</v>
      </c>
      <c r="P72" s="6">
        <f t="shared" si="10"/>
        <v>6.9982642868170047E-2</v>
      </c>
      <c r="Q72" s="6">
        <f t="shared" si="11"/>
        <v>1.5434510146114029E-2</v>
      </c>
      <c r="R72" s="6">
        <f t="shared" si="12"/>
        <v>-5.5320952332522516E-3</v>
      </c>
      <c r="S72" s="6">
        <f t="shared" si="13"/>
        <v>-1.5697665590133709E-2</v>
      </c>
      <c r="T72" s="6">
        <f t="shared" si="14"/>
        <v>0.11733018087792697</v>
      </c>
    </row>
    <row r="73" spans="5:20" x14ac:dyDescent="0.3">
      <c r="E73" s="6">
        <f>LN('Data of Top 7 Stocks'!B72/'Data of Top 7 Stocks'!B71)</f>
        <v>2.2666665976363163E-2</v>
      </c>
      <c r="F73" s="6">
        <f>LN('Data of Top 7 Stocks'!C72/'Data of Top 7 Stocks'!C71)</f>
        <v>3.2964175538975973E-2</v>
      </c>
      <c r="G73" s="6">
        <f>LN('Data of Top 7 Stocks'!D72/'Data of Top 7 Stocks'!D71)</f>
        <v>1.0972581807188825E-2</v>
      </c>
      <c r="H73" s="6">
        <f>LN('Data of Top 7 Stocks'!E72/'Data of Top 7 Stocks'!E71)</f>
        <v>-1.6627126747079463E-2</v>
      </c>
      <c r="I73" s="6">
        <f>LN('Data of Top 7 Stocks'!F72/'Data of Top 7 Stocks'!F71)</f>
        <v>3.4396428493906873E-2</v>
      </c>
      <c r="J73" s="6">
        <f>LN('Data of Top 7 Stocks'!G72/'Data of Top 7 Stocks'!G71)</f>
        <v>1.8948371372820376E-3</v>
      </c>
      <c r="K73" s="6">
        <f>LN('Data of Top 7 Stocks'!H72/'Data of Top 7 Stocks'!H71)</f>
        <v>-3.1877567061939595E-2</v>
      </c>
      <c r="N73" s="6">
        <f t="shared" si="8"/>
        <v>2.0878647988553229E-2</v>
      </c>
      <c r="O73" s="6">
        <f t="shared" si="9"/>
        <v>2.3134699042531476E-2</v>
      </c>
      <c r="P73" s="6">
        <f t="shared" si="10"/>
        <v>8.4132276609790984E-3</v>
      </c>
      <c r="Q73" s="6">
        <f t="shared" si="11"/>
        <v>-1.9336475082550569E-2</v>
      </c>
      <c r="R73" s="6">
        <f t="shared" si="12"/>
        <v>3.3539650681296086E-2</v>
      </c>
      <c r="S73" s="6">
        <f t="shared" si="13"/>
        <v>4.151974160524056E-4</v>
      </c>
      <c r="T73" s="6">
        <f t="shared" si="14"/>
        <v>-3.5743154372135523E-2</v>
      </c>
    </row>
    <row r="74" spans="5:20" x14ac:dyDescent="0.3">
      <c r="E74" s="6">
        <f>LN('Data of Top 7 Stocks'!B73/'Data of Top 7 Stocks'!B72)</f>
        <v>-5.778024973302702E-3</v>
      </c>
      <c r="F74" s="6">
        <f>LN('Data of Top 7 Stocks'!C73/'Data of Top 7 Stocks'!C72)</f>
        <v>-1.1925781468885179E-2</v>
      </c>
      <c r="G74" s="6">
        <f>LN('Data of Top 7 Stocks'!D73/'Data of Top 7 Stocks'!D72)</f>
        <v>-5.4226917038825827E-3</v>
      </c>
      <c r="H74" s="6">
        <f>LN('Data of Top 7 Stocks'!E73/'Data of Top 7 Stocks'!E72)</f>
        <v>0.10714919634424622</v>
      </c>
      <c r="I74" s="6">
        <f>LN('Data of Top 7 Stocks'!F73/'Data of Top 7 Stocks'!F72)</f>
        <v>-1.2306391260165469E-2</v>
      </c>
      <c r="J74" s="6">
        <f>LN('Data of Top 7 Stocks'!G73/'Data of Top 7 Stocks'!G72)</f>
        <v>4.2709469099471785E-2</v>
      </c>
      <c r="K74" s="6">
        <f>LN('Data of Top 7 Stocks'!H73/'Data of Top 7 Stocks'!H72)</f>
        <v>4.4150182091166933E-3</v>
      </c>
      <c r="N74" s="6">
        <f t="shared" si="8"/>
        <v>-7.5660429611126359E-3</v>
      </c>
      <c r="O74" s="6">
        <f t="shared" si="9"/>
        <v>-2.1755257965329677E-2</v>
      </c>
      <c r="P74" s="6">
        <f t="shared" si="10"/>
        <v>-7.9820458500923092E-3</v>
      </c>
      <c r="Q74" s="6">
        <f t="shared" si="11"/>
        <v>0.10443984800877511</v>
      </c>
      <c r="R74" s="6">
        <f t="shared" si="12"/>
        <v>-1.3163169072776258E-2</v>
      </c>
      <c r="S74" s="6">
        <f t="shared" si="13"/>
        <v>4.1229829378242155E-2</v>
      </c>
      <c r="T74" s="6">
        <f t="shared" si="14"/>
        <v>5.4943089892076384E-4</v>
      </c>
    </row>
    <row r="75" spans="5:20" x14ac:dyDescent="0.3">
      <c r="E75" s="6">
        <f>LN('Data of Top 7 Stocks'!B74/'Data of Top 7 Stocks'!B73)</f>
        <v>1.4896890673710132E-2</v>
      </c>
      <c r="F75" s="6">
        <f>LN('Data of Top 7 Stocks'!C74/'Data of Top 7 Stocks'!C73)</f>
        <v>9.8065090730796278E-2</v>
      </c>
      <c r="G75" s="6">
        <f>LN('Data of Top 7 Stocks'!D74/'Data of Top 7 Stocks'!D73)</f>
        <v>2.987580919588809E-2</v>
      </c>
      <c r="H75" s="6">
        <f>LN('Data of Top 7 Stocks'!E74/'Data of Top 7 Stocks'!E73)</f>
        <v>4.3707793405685848E-2</v>
      </c>
      <c r="I75" s="6">
        <f>LN('Data of Top 7 Stocks'!F74/'Data of Top 7 Stocks'!F73)</f>
        <v>6.9889401658115732E-2</v>
      </c>
      <c r="J75" s="6">
        <f>LN('Data of Top 7 Stocks'!G74/'Data of Top 7 Stocks'!G73)</f>
        <v>5.2901831305928147E-2</v>
      </c>
      <c r="K75" s="6">
        <f>LN('Data of Top 7 Stocks'!H74/'Data of Top 7 Stocks'!H73)</f>
        <v>4.9358229738251366E-2</v>
      </c>
      <c r="N75" s="6">
        <f t="shared" si="8"/>
        <v>1.3108872685900198E-2</v>
      </c>
      <c r="O75" s="6">
        <f t="shared" si="9"/>
        <v>8.8235614234351778E-2</v>
      </c>
      <c r="P75" s="6">
        <f t="shared" si="10"/>
        <v>2.7316455049678362E-2</v>
      </c>
      <c r="Q75" s="6">
        <f t="shared" si="11"/>
        <v>4.0998445070214738E-2</v>
      </c>
      <c r="R75" s="6">
        <f t="shared" si="12"/>
        <v>6.9032623845504945E-2</v>
      </c>
      <c r="S75" s="6">
        <f t="shared" si="13"/>
        <v>5.1422191584698518E-2</v>
      </c>
      <c r="T75" s="6">
        <f t="shared" si="14"/>
        <v>4.5492642428055438E-2</v>
      </c>
    </row>
    <row r="76" spans="5:20" x14ac:dyDescent="0.3">
      <c r="E76" s="6">
        <f>LN('Data of Top 7 Stocks'!B75/'Data of Top 7 Stocks'!B74)</f>
        <v>1.5402610078958693E-3</v>
      </c>
      <c r="F76" s="6">
        <f>LN('Data of Top 7 Stocks'!C75/'Data of Top 7 Stocks'!C74)</f>
        <v>0.21993944732342677</v>
      </c>
      <c r="G76" s="6">
        <f>LN('Data of Top 7 Stocks'!D75/'Data of Top 7 Stocks'!D74)</f>
        <v>4.4692111077323564E-2</v>
      </c>
      <c r="H76" s="6">
        <f>LN('Data of Top 7 Stocks'!E75/'Data of Top 7 Stocks'!E74)</f>
        <v>1.4957630203240695E-2</v>
      </c>
      <c r="I76" s="6">
        <f>LN('Data of Top 7 Stocks'!F75/'Data of Top 7 Stocks'!F74)</f>
        <v>6.9836303862605156E-2</v>
      </c>
      <c r="J76" s="6">
        <f>LN('Data of Top 7 Stocks'!G75/'Data of Top 7 Stocks'!G74)</f>
        <v>3.2664945098933147E-2</v>
      </c>
      <c r="K76" s="6">
        <f>LN('Data of Top 7 Stocks'!H75/'Data of Top 7 Stocks'!H74)</f>
        <v>6.4630114402477318E-2</v>
      </c>
      <c r="N76" s="6">
        <f t="shared" si="8"/>
        <v>-2.4775697991406441E-4</v>
      </c>
      <c r="O76" s="6">
        <f t="shared" si="9"/>
        <v>0.21010997082698227</v>
      </c>
      <c r="P76" s="6">
        <f t="shared" si="10"/>
        <v>4.2132756931113839E-2</v>
      </c>
      <c r="Q76" s="6">
        <f t="shared" si="11"/>
        <v>1.2248281867769589E-2</v>
      </c>
      <c r="R76" s="6">
        <f t="shared" si="12"/>
        <v>6.8979526049994369E-2</v>
      </c>
      <c r="S76" s="6">
        <f t="shared" si="13"/>
        <v>3.1185305377703514E-2</v>
      </c>
      <c r="T76" s="6">
        <f t="shared" si="14"/>
        <v>6.076452709228139E-2</v>
      </c>
    </row>
    <row r="77" spans="5:20" x14ac:dyDescent="0.3">
      <c r="E77" s="6">
        <f>LN('Data of Top 7 Stocks'!B76/'Data of Top 7 Stocks'!B75)</f>
        <v>3.0980647068657906E-2</v>
      </c>
      <c r="F77" s="6">
        <f>LN('Data of Top 7 Stocks'!C76/'Data of Top 7 Stocks'!C75)</f>
        <v>9.7088141269606847E-3</v>
      </c>
      <c r="G77" s="6">
        <f>LN('Data of Top 7 Stocks'!D76/'Data of Top 7 Stocks'!D75)</f>
        <v>7.5117443100765355E-3</v>
      </c>
      <c r="H77" s="6">
        <f>LN('Data of Top 7 Stocks'!E76/'Data of Top 7 Stocks'!E75)</f>
        <v>4.8138640210735771E-4</v>
      </c>
      <c r="I77" s="6">
        <f>LN('Data of Top 7 Stocks'!F76/'Data of Top 7 Stocks'!F75)</f>
        <v>0.10226518806065771</v>
      </c>
      <c r="J77" s="6">
        <f>LN('Data of Top 7 Stocks'!G76/'Data of Top 7 Stocks'!G75)</f>
        <v>3.3887675410339151E-2</v>
      </c>
      <c r="K77" s="6">
        <f>LN('Data of Top 7 Stocks'!H76/'Data of Top 7 Stocks'!H75)</f>
        <v>3.9545038511689605E-2</v>
      </c>
      <c r="N77" s="6">
        <f t="shared" si="8"/>
        <v>2.9192629080847972E-2</v>
      </c>
      <c r="O77" s="6">
        <f t="shared" si="9"/>
        <v>-1.2066236948381215E-4</v>
      </c>
      <c r="P77" s="6">
        <f t="shared" si="10"/>
        <v>4.9523901638668082E-3</v>
      </c>
      <c r="Q77" s="6">
        <f t="shared" si="11"/>
        <v>-2.2279619333637488E-3</v>
      </c>
      <c r="R77" s="6">
        <f t="shared" si="12"/>
        <v>0.10140841024804692</v>
      </c>
      <c r="S77" s="6">
        <f t="shared" si="13"/>
        <v>3.2408035689109521E-2</v>
      </c>
      <c r="T77" s="6">
        <f t="shared" si="14"/>
        <v>3.5679451201493677E-2</v>
      </c>
    </row>
    <row r="78" spans="5:20" x14ac:dyDescent="0.3">
      <c r="E78" s="6">
        <f>LN('Data of Top 7 Stocks'!B77/'Data of Top 7 Stocks'!B76)</f>
        <v>5.5262358059044708E-5</v>
      </c>
      <c r="F78" s="6">
        <f>LN('Data of Top 7 Stocks'!C77/'Data of Top 7 Stocks'!C76)</f>
        <v>-1.4340834760880323E-2</v>
      </c>
      <c r="G78" s="6">
        <f>LN('Data of Top 7 Stocks'!D77/'Data of Top 7 Stocks'!D76)</f>
        <v>-2.6006086626644491E-2</v>
      </c>
      <c r="H78" s="6">
        <f>LN('Data of Top 7 Stocks'!E77/'Data of Top 7 Stocks'!E76)</f>
        <v>-1.9765730567712206E-2</v>
      </c>
      <c r="I78" s="6">
        <f>LN('Data of Top 7 Stocks'!F77/'Data of Top 7 Stocks'!F76)</f>
        <v>0.13297040901858076</v>
      </c>
      <c r="J78" s="6">
        <f>LN('Data of Top 7 Stocks'!G77/'Data of Top 7 Stocks'!G76)</f>
        <v>-6.6214712209007008E-3</v>
      </c>
      <c r="K78" s="6">
        <f>LN('Data of Top 7 Stocks'!H77/'Data of Top 7 Stocks'!H76)</f>
        <v>-2.8501073436594363E-2</v>
      </c>
      <c r="N78" s="6">
        <f t="shared" si="8"/>
        <v>-1.7327556297508889E-3</v>
      </c>
      <c r="O78" s="6">
        <f t="shared" si="9"/>
        <v>-2.4170311257324821E-2</v>
      </c>
      <c r="P78" s="6">
        <f t="shared" si="10"/>
        <v>-2.8565440772854219E-2</v>
      </c>
      <c r="Q78" s="6">
        <f t="shared" si="11"/>
        <v>-2.2475078903183312E-2</v>
      </c>
      <c r="R78" s="6">
        <f t="shared" si="12"/>
        <v>0.13211363120596997</v>
      </c>
      <c r="S78" s="6">
        <f t="shared" si="13"/>
        <v>-8.1011109421303337E-3</v>
      </c>
      <c r="T78" s="6">
        <f t="shared" si="14"/>
        <v>-3.2366660746790295E-2</v>
      </c>
    </row>
    <row r="79" spans="5:20" x14ac:dyDescent="0.3">
      <c r="E79" s="6">
        <f>LN('Data of Top 7 Stocks'!B78/'Data of Top 7 Stocks'!B77)</f>
        <v>2.1647286752214241E-2</v>
      </c>
      <c r="F79" s="6">
        <f>LN('Data of Top 7 Stocks'!C78/'Data of Top 7 Stocks'!C77)</f>
        <v>9.6317949087032798E-2</v>
      </c>
      <c r="G79" s="6">
        <f>LN('Data of Top 7 Stocks'!D78/'Data of Top 7 Stocks'!D77)</f>
        <v>4.6457421352234012E-2</v>
      </c>
      <c r="H79" s="6">
        <f>LN('Data of Top 7 Stocks'!E78/'Data of Top 7 Stocks'!E77)</f>
        <v>1.0579525759550863E-2</v>
      </c>
      <c r="I79" s="6">
        <f>LN('Data of Top 7 Stocks'!F78/'Data of Top 7 Stocks'!F77)</f>
        <v>6.3950172971977845E-2</v>
      </c>
      <c r="J79" s="6">
        <f>LN('Data of Top 7 Stocks'!G78/'Data of Top 7 Stocks'!G77)</f>
        <v>1.65518803663794E-2</v>
      </c>
      <c r="K79" s="6">
        <f>LN('Data of Top 7 Stocks'!H78/'Data of Top 7 Stocks'!H77)</f>
        <v>5.8813540394974745E-2</v>
      </c>
      <c r="N79" s="6">
        <f t="shared" si="8"/>
        <v>1.9859268764404307E-2</v>
      </c>
      <c r="O79" s="6">
        <f t="shared" si="9"/>
        <v>8.6488472590588297E-2</v>
      </c>
      <c r="P79" s="6">
        <f t="shared" si="10"/>
        <v>4.3898067206024287E-2</v>
      </c>
      <c r="Q79" s="6">
        <f t="shared" si="11"/>
        <v>7.8701774240797565E-3</v>
      </c>
      <c r="R79" s="6">
        <f t="shared" si="12"/>
        <v>6.3093395159367058E-2</v>
      </c>
      <c r="S79" s="6">
        <f t="shared" si="13"/>
        <v>1.5072240645149768E-2</v>
      </c>
      <c r="T79" s="6">
        <f t="shared" si="14"/>
        <v>5.4947953084778817E-2</v>
      </c>
    </row>
    <row r="80" spans="5:20" x14ac:dyDescent="0.3">
      <c r="E80" s="6">
        <f>LN('Data of Top 7 Stocks'!B79/'Data of Top 7 Stocks'!B78)</f>
        <v>9.4726219615903634E-3</v>
      </c>
      <c r="F80" s="6">
        <f>LN('Data of Top 7 Stocks'!C79/'Data of Top 7 Stocks'!C78)</f>
        <v>-1.1307540975463274E-2</v>
      </c>
      <c r="G80" s="6">
        <f>LN('Data of Top 7 Stocks'!D79/'Data of Top 7 Stocks'!D78)</f>
        <v>-2.1584952579157442E-2</v>
      </c>
      <c r="H80" s="6">
        <f>LN('Data of Top 7 Stocks'!E79/'Data of Top 7 Stocks'!E78)</f>
        <v>-9.679987734303579E-3</v>
      </c>
      <c r="I80" s="6">
        <f>LN('Data of Top 7 Stocks'!F79/'Data of Top 7 Stocks'!F78)</f>
        <v>-1.5237948087881963E-2</v>
      </c>
      <c r="J80" s="6">
        <f>LN('Data of Top 7 Stocks'!G79/'Data of Top 7 Stocks'!G78)</f>
        <v>3.0141203304936234E-2</v>
      </c>
      <c r="K80" s="6">
        <f>LN('Data of Top 7 Stocks'!H79/'Data of Top 7 Stocks'!H78)</f>
        <v>2.713732603412709E-2</v>
      </c>
      <c r="N80" s="6">
        <f t="shared" si="8"/>
        <v>7.6846039737804295E-3</v>
      </c>
      <c r="O80" s="6">
        <f t="shared" si="9"/>
        <v>-2.1137017471907771E-2</v>
      </c>
      <c r="P80" s="6">
        <f t="shared" si="10"/>
        <v>-2.414430672536717E-2</v>
      </c>
      <c r="Q80" s="6">
        <f t="shared" si="11"/>
        <v>-1.2389336069774685E-2</v>
      </c>
      <c r="R80" s="6">
        <f t="shared" si="12"/>
        <v>-1.6094725900492754E-2</v>
      </c>
      <c r="S80" s="6">
        <f t="shared" si="13"/>
        <v>2.8661563583706601E-2</v>
      </c>
      <c r="T80" s="6">
        <f t="shared" si="14"/>
        <v>2.3271738723931162E-2</v>
      </c>
    </row>
    <row r="81" spans="5:20" x14ac:dyDescent="0.3">
      <c r="E81" s="6">
        <f>LN('Data of Top 7 Stocks'!B80/'Data of Top 7 Stocks'!B79)</f>
        <v>3.8307586848585352E-2</v>
      </c>
      <c r="F81" s="6">
        <f>LN('Data of Top 7 Stocks'!C80/'Data of Top 7 Stocks'!C79)</f>
        <v>2.129926257824849E-3</v>
      </c>
      <c r="G81" s="6">
        <f>LN('Data of Top 7 Stocks'!D80/'Data of Top 7 Stocks'!D79)</f>
        <v>1.6342361456957322E-2</v>
      </c>
      <c r="H81" s="6">
        <f>LN('Data of Top 7 Stocks'!E80/'Data of Top 7 Stocks'!E79)</f>
        <v>-2.1815441250491396E-2</v>
      </c>
      <c r="I81" s="6">
        <f>LN('Data of Top 7 Stocks'!F80/'Data of Top 7 Stocks'!F79)</f>
        <v>1.9947803437117884E-2</v>
      </c>
      <c r="J81" s="6">
        <f>LN('Data of Top 7 Stocks'!G80/'Data of Top 7 Stocks'!G79)</f>
        <v>7.9325765422078951E-3</v>
      </c>
      <c r="K81" s="6">
        <f>LN('Data of Top 7 Stocks'!H80/'Data of Top 7 Stocks'!H79)</f>
        <v>-6.0794684476122313E-3</v>
      </c>
      <c r="N81" s="6">
        <f t="shared" si="8"/>
        <v>3.6519568860775418E-2</v>
      </c>
      <c r="O81" s="6">
        <f t="shared" si="9"/>
        <v>-7.6995502386196478E-3</v>
      </c>
      <c r="P81" s="6">
        <f t="shared" si="10"/>
        <v>1.3783007310747596E-2</v>
      </c>
      <c r="Q81" s="6">
        <f t="shared" si="11"/>
        <v>-2.4524789585962502E-2</v>
      </c>
      <c r="R81" s="6">
        <f t="shared" si="12"/>
        <v>1.9091025624507093E-2</v>
      </c>
      <c r="S81" s="6">
        <f t="shared" si="13"/>
        <v>6.4529368209782631E-3</v>
      </c>
      <c r="T81" s="6">
        <f t="shared" si="14"/>
        <v>-9.9450557578081612E-3</v>
      </c>
    </row>
    <row r="82" spans="5:20" x14ac:dyDescent="0.3">
      <c r="E82" s="6">
        <f>LN('Data of Top 7 Stocks'!B81/'Data of Top 7 Stocks'!B80)</f>
        <v>-1.710687759357539E-2</v>
      </c>
      <c r="F82" s="6">
        <f>LN('Data of Top 7 Stocks'!C81/'Data of Top 7 Stocks'!C80)</f>
        <v>4.7169898781388667E-3</v>
      </c>
      <c r="G82" s="6">
        <f>LN('Data of Top 7 Stocks'!D81/'Data of Top 7 Stocks'!D80)</f>
        <v>-9.7970566426632717E-3</v>
      </c>
      <c r="H82" s="6">
        <f>LN('Data of Top 7 Stocks'!E81/'Data of Top 7 Stocks'!E80)</f>
        <v>-1.8396192160184263E-3</v>
      </c>
      <c r="I82" s="6">
        <f>LN('Data of Top 7 Stocks'!F81/'Data of Top 7 Stocks'!F80)</f>
        <v>4.722996370311195E-2</v>
      </c>
      <c r="J82" s="6">
        <f>LN('Data of Top 7 Stocks'!G81/'Data of Top 7 Stocks'!G80)</f>
        <v>-4.4591447763385273E-3</v>
      </c>
      <c r="K82" s="6">
        <f>LN('Data of Top 7 Stocks'!H81/'Data of Top 7 Stocks'!H80)</f>
        <v>1.2294314263454897E-2</v>
      </c>
      <c r="N82" s="6">
        <f t="shared" si="8"/>
        <v>-1.8894895581385324E-2</v>
      </c>
      <c r="O82" s="6">
        <f t="shared" si="9"/>
        <v>-5.1124866183056301E-3</v>
      </c>
      <c r="P82" s="6">
        <f t="shared" si="10"/>
        <v>-1.2356410788872998E-2</v>
      </c>
      <c r="Q82" s="6">
        <f t="shared" si="11"/>
        <v>-4.548967551489533E-3</v>
      </c>
      <c r="R82" s="6">
        <f t="shared" si="12"/>
        <v>4.6373185890501163E-2</v>
      </c>
      <c r="S82" s="6">
        <f t="shared" si="13"/>
        <v>-5.9387844975681593E-3</v>
      </c>
      <c r="T82" s="6">
        <f t="shared" si="14"/>
        <v>8.4287269532589675E-3</v>
      </c>
    </row>
    <row r="83" spans="5:20" x14ac:dyDescent="0.3">
      <c r="E83" s="6">
        <f>LN('Data of Top 7 Stocks'!B82/'Data of Top 7 Stocks'!B81)</f>
        <v>5.2442509910424225E-5</v>
      </c>
      <c r="F83" s="6">
        <f>LN('Data of Top 7 Stocks'!C82/'Data of Top 7 Stocks'!C81)</f>
        <v>6.7548691906548081E-2</v>
      </c>
      <c r="G83" s="6">
        <f>LN('Data of Top 7 Stocks'!D82/'Data of Top 7 Stocks'!D81)</f>
        <v>2.3504291001622171E-2</v>
      </c>
      <c r="H83" s="6">
        <f>LN('Data of Top 7 Stocks'!E82/'Data of Top 7 Stocks'!E81)</f>
        <v>4.8519111766965606E-2</v>
      </c>
      <c r="I83" s="6">
        <f>LN('Data of Top 7 Stocks'!F82/'Data of Top 7 Stocks'!F81)</f>
        <v>2.5009849627301087E-2</v>
      </c>
      <c r="J83" s="6">
        <f>LN('Data of Top 7 Stocks'!G82/'Data of Top 7 Stocks'!G81)</f>
        <v>3.7060885099851296E-2</v>
      </c>
      <c r="K83" s="6">
        <f>LN('Data of Top 7 Stocks'!H82/'Data of Top 7 Stocks'!H81)</f>
        <v>6.1213635215807645E-2</v>
      </c>
      <c r="N83" s="6">
        <f t="shared" si="8"/>
        <v>-1.7355754778995095E-3</v>
      </c>
      <c r="O83" s="6">
        <f t="shared" si="9"/>
        <v>5.771921541010358E-2</v>
      </c>
      <c r="P83" s="6">
        <f t="shared" si="10"/>
        <v>2.0944936855412443E-2</v>
      </c>
      <c r="Q83" s="6">
        <f t="shared" si="11"/>
        <v>4.5809763431494496E-2</v>
      </c>
      <c r="R83" s="6">
        <f t="shared" si="12"/>
        <v>2.4153071814690296E-2</v>
      </c>
      <c r="S83" s="6">
        <f t="shared" si="13"/>
        <v>3.5581245378621666E-2</v>
      </c>
      <c r="T83" s="6">
        <f t="shared" si="14"/>
        <v>5.7348047905611717E-2</v>
      </c>
    </row>
    <row r="84" spans="5:20" x14ac:dyDescent="0.3">
      <c r="E84" s="6">
        <f>LN('Data of Top 7 Stocks'!B83/'Data of Top 7 Stocks'!B82)</f>
        <v>6.5337503429461312E-3</v>
      </c>
      <c r="F84" s="6">
        <f>LN('Data of Top 7 Stocks'!C83/'Data of Top 7 Stocks'!C82)</f>
        <v>-2.584238262552099E-2</v>
      </c>
      <c r="G84" s="6">
        <f>LN('Data of Top 7 Stocks'!D83/'Data of Top 7 Stocks'!D82)</f>
        <v>-4.2669982449904005E-3</v>
      </c>
      <c r="H84" s="6">
        <f>LN('Data of Top 7 Stocks'!E83/'Data of Top 7 Stocks'!E82)</f>
        <v>-4.4009709553507997E-2</v>
      </c>
      <c r="I84" s="6">
        <f>LN('Data of Top 7 Stocks'!F83/'Data of Top 7 Stocks'!F82)</f>
        <v>-7.894751781504461E-2</v>
      </c>
      <c r="J84" s="6">
        <f>LN('Data of Top 7 Stocks'!G83/'Data of Top 7 Stocks'!G82)</f>
        <v>-3.5367143837291358E-2</v>
      </c>
      <c r="K84" s="6">
        <f>LN('Data of Top 7 Stocks'!H83/'Data of Top 7 Stocks'!H82)</f>
        <v>-4.8456746129722297E-2</v>
      </c>
      <c r="N84" s="6">
        <f t="shared" si="8"/>
        <v>4.7457323551361973E-3</v>
      </c>
      <c r="O84" s="6">
        <f t="shared" si="9"/>
        <v>-3.5671859121965487E-2</v>
      </c>
      <c r="P84" s="6">
        <f t="shared" si="10"/>
        <v>-6.8263523912001269E-3</v>
      </c>
      <c r="Q84" s="6">
        <f t="shared" si="11"/>
        <v>-4.6719057888979107E-2</v>
      </c>
      <c r="R84" s="6">
        <f t="shared" si="12"/>
        <v>-7.9804295627655397E-2</v>
      </c>
      <c r="S84" s="6">
        <f t="shared" si="13"/>
        <v>-3.6846783558520987E-2</v>
      </c>
      <c r="T84" s="6">
        <f t="shared" si="14"/>
        <v>-5.2322333439918225E-2</v>
      </c>
    </row>
    <row r="85" spans="5:20" x14ac:dyDescent="0.3">
      <c r="E85" s="6">
        <f>LN('Data of Top 7 Stocks'!B84/'Data of Top 7 Stocks'!B83)</f>
        <v>2.0064112739263402E-2</v>
      </c>
      <c r="F85" s="6">
        <f>LN('Data of Top 7 Stocks'!C84/'Data of Top 7 Stocks'!C83)</f>
        <v>5.360387052329775E-2</v>
      </c>
      <c r="G85" s="6">
        <f>LN('Data of Top 7 Stocks'!D84/'Data of Top 7 Stocks'!D83)</f>
        <v>-1.5832857786531325E-2</v>
      </c>
      <c r="H85" s="6">
        <f>LN('Data of Top 7 Stocks'!E84/'Data of Top 7 Stocks'!E83)</f>
        <v>9.9527841251878857E-2</v>
      </c>
      <c r="I85" s="6">
        <f>LN('Data of Top 7 Stocks'!F84/'Data of Top 7 Stocks'!F83)</f>
        <v>2.4390526410955998E-2</v>
      </c>
      <c r="J85" s="6">
        <f>LN('Data of Top 7 Stocks'!G84/'Data of Top 7 Stocks'!G83)</f>
        <v>1.6857117066423025E-2</v>
      </c>
      <c r="K85" s="6">
        <f>LN('Data of Top 7 Stocks'!H84/'Data of Top 7 Stocks'!H83)</f>
        <v>0.10083728555865566</v>
      </c>
      <c r="N85" s="6">
        <f t="shared" si="8"/>
        <v>1.8276094751453469E-2</v>
      </c>
      <c r="O85" s="6">
        <f t="shared" si="9"/>
        <v>4.377439402685325E-2</v>
      </c>
      <c r="P85" s="6">
        <f t="shared" si="10"/>
        <v>-1.8392211932741053E-2</v>
      </c>
      <c r="Q85" s="6">
        <f t="shared" si="11"/>
        <v>9.6818492916407747E-2</v>
      </c>
      <c r="R85" s="6">
        <f t="shared" si="12"/>
        <v>2.3533748598345207E-2</v>
      </c>
      <c r="S85" s="6">
        <f t="shared" si="13"/>
        <v>1.5377477345193392E-2</v>
      </c>
      <c r="T85" s="6">
        <f t="shared" si="14"/>
        <v>9.6971698248459734E-2</v>
      </c>
    </row>
    <row r="86" spans="5:20" x14ac:dyDescent="0.3">
      <c r="E86" s="6">
        <f>LN('Data of Top 7 Stocks'!B85/'Data of Top 7 Stocks'!B84)</f>
        <v>-7.3295195416429509E-2</v>
      </c>
      <c r="F86" s="6">
        <f>LN('Data of Top 7 Stocks'!C85/'Data of Top 7 Stocks'!C84)</f>
        <v>-4.528828153369608E-2</v>
      </c>
      <c r="G86" s="6">
        <f>LN('Data of Top 7 Stocks'!D85/'Data of Top 7 Stocks'!D84)</f>
        <v>-3.1797319684254005E-2</v>
      </c>
      <c r="H86" s="6">
        <f>LN('Data of Top 7 Stocks'!E85/'Data of Top 7 Stocks'!E84)</f>
        <v>-3.4296966944903133E-2</v>
      </c>
      <c r="I86" s="6">
        <f>LN('Data of Top 7 Stocks'!F85/'Data of Top 7 Stocks'!F84)</f>
        <v>-4.8366143584947514E-2</v>
      </c>
      <c r="J86" s="6">
        <f>LN('Data of Top 7 Stocks'!G85/'Data of Top 7 Stocks'!G84)</f>
        <v>5.4174699998547522E-2</v>
      </c>
      <c r="K86" s="6">
        <f>LN('Data of Top 7 Stocks'!H85/'Data of Top 7 Stocks'!H84)</f>
        <v>-4.6376647927199359E-2</v>
      </c>
      <c r="N86" s="6">
        <f t="shared" si="8"/>
        <v>-7.5083213404239443E-2</v>
      </c>
      <c r="O86" s="6">
        <f t="shared" si="9"/>
        <v>-5.5117758030140573E-2</v>
      </c>
      <c r="P86" s="6">
        <f t="shared" si="10"/>
        <v>-3.435667383046373E-2</v>
      </c>
      <c r="Q86" s="6">
        <f t="shared" si="11"/>
        <v>-3.7006315280374243E-2</v>
      </c>
      <c r="R86" s="6">
        <f t="shared" si="12"/>
        <v>-4.9222921397558302E-2</v>
      </c>
      <c r="S86" s="6">
        <f t="shared" si="13"/>
        <v>5.2695060277317893E-2</v>
      </c>
      <c r="T86" s="6">
        <f t="shared" si="14"/>
        <v>-5.0242235237395287E-2</v>
      </c>
    </row>
    <row r="87" spans="5:20" x14ac:dyDescent="0.3">
      <c r="E87" s="6">
        <f>LN('Data of Top 7 Stocks'!B86/'Data of Top 7 Stocks'!B85)</f>
        <v>-2.3348661983835253E-2</v>
      </c>
      <c r="F87" s="6">
        <f>LN('Data of Top 7 Stocks'!C86/'Data of Top 7 Stocks'!C85)</f>
        <v>-8.9619152894988036E-2</v>
      </c>
      <c r="G87" s="6">
        <f>LN('Data of Top 7 Stocks'!D86/'Data of Top 7 Stocks'!D85)</f>
        <v>-2.0870376342923932E-2</v>
      </c>
      <c r="H87" s="6">
        <f>LN('Data of Top 7 Stocks'!E86/'Data of Top 7 Stocks'!E85)</f>
        <v>1.1254824434786193E-2</v>
      </c>
      <c r="I87" s="6">
        <f>LN('Data of Top 7 Stocks'!F86/'Data of Top 7 Stocks'!F85)</f>
        <v>-4.5162858108805951E-2</v>
      </c>
      <c r="J87" s="6">
        <f>LN('Data of Top 7 Stocks'!G86/'Data of Top 7 Stocks'!G85)</f>
        <v>-8.3459726119423875E-3</v>
      </c>
      <c r="K87" s="6">
        <f>LN('Data of Top 7 Stocks'!H86/'Data of Top 7 Stocks'!H85)</f>
        <v>-2.9690114566811067E-2</v>
      </c>
      <c r="N87" s="6">
        <f t="shared" si="8"/>
        <v>-2.5136679971645186E-2</v>
      </c>
      <c r="O87" s="6">
        <f t="shared" si="9"/>
        <v>-9.9448629391432536E-2</v>
      </c>
      <c r="P87" s="6">
        <f t="shared" si="10"/>
        <v>-2.342973048913366E-2</v>
      </c>
      <c r="Q87" s="6">
        <f t="shared" si="11"/>
        <v>8.5454760993150872E-3</v>
      </c>
      <c r="R87" s="6">
        <f t="shared" si="12"/>
        <v>-4.6019635921416738E-2</v>
      </c>
      <c r="S87" s="6">
        <f t="shared" si="13"/>
        <v>-9.8256123331720187E-3</v>
      </c>
      <c r="T87" s="6">
        <f t="shared" si="14"/>
        <v>-3.3555701877006995E-2</v>
      </c>
    </row>
    <row r="88" spans="5:20" x14ac:dyDescent="0.3">
      <c r="E88" s="6">
        <f>LN('Data of Top 7 Stocks'!B87/'Data of Top 7 Stocks'!B86)</f>
        <v>-1.8735645118341585E-2</v>
      </c>
      <c r="F88" s="6">
        <f>LN('Data of Top 7 Stocks'!C87/'Data of Top 7 Stocks'!C86)</f>
        <v>5.8245813702432141E-2</v>
      </c>
      <c r="G88" s="6">
        <f>LN('Data of Top 7 Stocks'!D87/'Data of Top 7 Stocks'!D86)</f>
        <v>-1.4212226858409897E-2</v>
      </c>
      <c r="H88" s="6">
        <f>LN('Data of Top 7 Stocks'!E87/'Data of Top 7 Stocks'!E86)</f>
        <v>-1.6341504416980582E-2</v>
      </c>
      <c r="I88" s="6">
        <f>LN('Data of Top 7 Stocks'!F87/'Data of Top 7 Stocks'!F86)</f>
        <v>-0.1187055710964053</v>
      </c>
      <c r="J88" s="6">
        <f>LN('Data of Top 7 Stocks'!G87/'Data of Top 7 Stocks'!G86)</f>
        <v>-3.8218397923577153E-2</v>
      </c>
      <c r="K88" s="6">
        <f>LN('Data of Top 7 Stocks'!H87/'Data of Top 7 Stocks'!H86)</f>
        <v>-6.2904353426330481E-2</v>
      </c>
      <c r="N88" s="6">
        <f t="shared" si="8"/>
        <v>-2.0523663106151519E-2</v>
      </c>
      <c r="O88" s="6">
        <f t="shared" si="9"/>
        <v>4.8416337205987647E-2</v>
      </c>
      <c r="P88" s="6">
        <f t="shared" si="10"/>
        <v>-1.6771581004619625E-2</v>
      </c>
      <c r="Q88" s="6">
        <f t="shared" si="11"/>
        <v>-1.9050852752451688E-2</v>
      </c>
      <c r="R88" s="6">
        <f t="shared" si="12"/>
        <v>-0.11956234890901608</v>
      </c>
      <c r="S88" s="6">
        <f t="shared" si="13"/>
        <v>-3.9698037644806783E-2</v>
      </c>
      <c r="T88" s="6">
        <f t="shared" si="14"/>
        <v>-6.6769940736526409E-2</v>
      </c>
    </row>
    <row r="89" spans="5:20" x14ac:dyDescent="0.3">
      <c r="E89" s="6">
        <f>LN('Data of Top 7 Stocks'!B88/'Data of Top 7 Stocks'!B87)</f>
        <v>2.3337224506253518E-2</v>
      </c>
      <c r="F89" s="6">
        <f>LN('Data of Top 7 Stocks'!C88/'Data of Top 7 Stocks'!C87)</f>
        <v>6.0923449598775867E-2</v>
      </c>
      <c r="G89" s="6">
        <f>LN('Data of Top 7 Stocks'!D88/'Data of Top 7 Stocks'!D87)</f>
        <v>2.0330353366573593E-2</v>
      </c>
      <c r="H89" s="6">
        <f>LN('Data of Top 7 Stocks'!E88/'Data of Top 7 Stocks'!E87)</f>
        <v>1.8808357348497045E-2</v>
      </c>
      <c r="I89" s="6">
        <f>LN('Data of Top 7 Stocks'!F88/'Data of Top 7 Stocks'!F87)</f>
        <v>0.10183209288233351</v>
      </c>
      <c r="J89" s="6">
        <f>LN('Data of Top 7 Stocks'!G88/'Data of Top 7 Stocks'!G87)</f>
        <v>3.002101493577514E-4</v>
      </c>
      <c r="K89" s="6">
        <f>LN('Data of Top 7 Stocks'!H88/'Data of Top 7 Stocks'!H87)</f>
        <v>7.9121291879492277E-3</v>
      </c>
      <c r="N89" s="6">
        <f t="shared" si="8"/>
        <v>2.1549206518443585E-2</v>
      </c>
      <c r="O89" s="6">
        <f t="shared" si="9"/>
        <v>5.1093973102331366E-2</v>
      </c>
      <c r="P89" s="6">
        <f t="shared" si="10"/>
        <v>1.7770999220363865E-2</v>
      </c>
      <c r="Q89" s="6">
        <f t="shared" si="11"/>
        <v>1.6099009013025939E-2</v>
      </c>
      <c r="R89" s="6">
        <f t="shared" si="12"/>
        <v>0.10097531506972272</v>
      </c>
      <c r="S89" s="6">
        <f t="shared" si="13"/>
        <v>-1.1794295718718806E-3</v>
      </c>
      <c r="T89" s="6">
        <f t="shared" si="14"/>
        <v>4.0465418777532979E-3</v>
      </c>
    </row>
    <row r="90" spans="5:20" x14ac:dyDescent="0.3">
      <c r="E90" s="6">
        <f>LN('Data of Top 7 Stocks'!B89/'Data of Top 7 Stocks'!B88)</f>
        <v>5.8973262530996114E-2</v>
      </c>
      <c r="F90" s="6">
        <f>LN('Data of Top 7 Stocks'!C89/'Data of Top 7 Stocks'!C88)</f>
        <v>5.269387764990531E-2</v>
      </c>
      <c r="G90" s="6">
        <f>LN('Data of Top 7 Stocks'!D89/'Data of Top 7 Stocks'!D88)</f>
        <v>1.7433379952222997E-2</v>
      </c>
      <c r="H90" s="6">
        <f>LN('Data of Top 7 Stocks'!E89/'Data of Top 7 Stocks'!E88)</f>
        <v>4.3540808283288185E-2</v>
      </c>
      <c r="I90" s="6">
        <f>LN('Data of Top 7 Stocks'!F89/'Data of Top 7 Stocks'!F88)</f>
        <v>2.6552428401140398E-2</v>
      </c>
      <c r="J90" s="6">
        <f>LN('Data of Top 7 Stocks'!G89/'Data of Top 7 Stocks'!G88)</f>
        <v>3.5820765387400672E-2</v>
      </c>
      <c r="K90" s="6">
        <f>LN('Data of Top 7 Stocks'!H89/'Data of Top 7 Stocks'!H88)</f>
        <v>3.7400385665967532E-2</v>
      </c>
      <c r="N90" s="6">
        <f t="shared" si="8"/>
        <v>5.718524454318618E-2</v>
      </c>
      <c r="O90" s="6">
        <f t="shared" si="9"/>
        <v>4.286440115346081E-2</v>
      </c>
      <c r="P90" s="6">
        <f t="shared" si="10"/>
        <v>1.4874025806013271E-2</v>
      </c>
      <c r="Q90" s="6">
        <f t="shared" si="11"/>
        <v>4.0831459947817075E-2</v>
      </c>
      <c r="R90" s="6">
        <f t="shared" si="12"/>
        <v>2.5695650588529607E-2</v>
      </c>
      <c r="S90" s="6">
        <f t="shared" si="13"/>
        <v>3.4341125666171042E-2</v>
      </c>
      <c r="T90" s="6">
        <f t="shared" si="14"/>
        <v>3.3534798355771604E-2</v>
      </c>
    </row>
    <row r="91" spans="5:20" x14ac:dyDescent="0.3">
      <c r="E91" s="6">
        <f>LN('Data of Top 7 Stocks'!B90/'Data of Top 7 Stocks'!B89)</f>
        <v>-6.1383645154890747E-2</v>
      </c>
      <c r="F91" s="6">
        <f>LN('Data of Top 7 Stocks'!C90/'Data of Top 7 Stocks'!C89)</f>
        <v>-6.252035698133393E-2</v>
      </c>
      <c r="G91" s="6">
        <f>LN('Data of Top 7 Stocks'!D90/'Data of Top 7 Stocks'!D89)</f>
        <v>1.692526789134478E-2</v>
      </c>
      <c r="H91" s="6">
        <f>LN('Data of Top 7 Stocks'!E90/'Data of Top 7 Stocks'!E89)</f>
        <v>5.2933515745732952E-3</v>
      </c>
      <c r="I91" s="6">
        <f>LN('Data of Top 7 Stocks'!F90/'Data of Top 7 Stocks'!F89)</f>
        <v>1.414381949838937E-2</v>
      </c>
      <c r="J91" s="6">
        <f>LN('Data of Top 7 Stocks'!G90/'Data of Top 7 Stocks'!G89)</f>
        <v>7.9609195447424852E-4</v>
      </c>
      <c r="K91" s="6">
        <f>LN('Data of Top 7 Stocks'!H90/'Data of Top 7 Stocks'!H89)</f>
        <v>5.0818760822618813E-3</v>
      </c>
      <c r="N91" s="6">
        <f t="shared" si="8"/>
        <v>-6.3171663142700674E-2</v>
      </c>
      <c r="O91" s="6">
        <f t="shared" si="9"/>
        <v>-7.234983347777843E-2</v>
      </c>
      <c r="P91" s="6">
        <f t="shared" si="10"/>
        <v>1.4365913745135054E-2</v>
      </c>
      <c r="Q91" s="6">
        <f t="shared" si="11"/>
        <v>2.5840032391021887E-3</v>
      </c>
      <c r="R91" s="6">
        <f t="shared" si="12"/>
        <v>1.3287041685778581E-2</v>
      </c>
      <c r="S91" s="6">
        <f t="shared" si="13"/>
        <v>-6.8354776675538353E-4</v>
      </c>
      <c r="T91" s="6">
        <f t="shared" si="14"/>
        <v>1.2162887720659518E-3</v>
      </c>
    </row>
    <row r="92" spans="5:20" x14ac:dyDescent="0.3">
      <c r="E92" s="6">
        <f>LN('Data of Top 7 Stocks'!B91/'Data of Top 7 Stocks'!B90)</f>
        <v>-1.7951160144431801E-2</v>
      </c>
      <c r="F92" s="6">
        <f>LN('Data of Top 7 Stocks'!C91/'Data of Top 7 Stocks'!C90)</f>
        <v>-3.7335285194665543E-2</v>
      </c>
      <c r="G92" s="6">
        <f>LN('Data of Top 7 Stocks'!D91/'Data of Top 7 Stocks'!D90)</f>
        <v>-1.2189950640802258E-2</v>
      </c>
      <c r="H92" s="6">
        <f>LN('Data of Top 7 Stocks'!E91/'Data of Top 7 Stocks'!E90)</f>
        <v>7.4512726957422807E-3</v>
      </c>
      <c r="I92" s="6">
        <f>LN('Data of Top 7 Stocks'!F91/'Data of Top 7 Stocks'!F90)</f>
        <v>9.9107606502291057E-2</v>
      </c>
      <c r="J92" s="6">
        <f>LN('Data of Top 7 Stocks'!G91/'Data of Top 7 Stocks'!G90)</f>
        <v>1.5505299507593953E-2</v>
      </c>
      <c r="K92" s="6">
        <f>LN('Data of Top 7 Stocks'!H91/'Data of Top 7 Stocks'!H90)</f>
        <v>8.0909836238566187E-3</v>
      </c>
      <c r="N92" s="6">
        <f t="shared" si="8"/>
        <v>-1.9739178132241735E-2</v>
      </c>
      <c r="O92" s="6">
        <f t="shared" si="9"/>
        <v>-4.7164761691110044E-2</v>
      </c>
      <c r="P92" s="6">
        <f t="shared" si="10"/>
        <v>-1.4749304787011985E-2</v>
      </c>
      <c r="Q92" s="6">
        <f t="shared" si="11"/>
        <v>4.7419243602711738E-3</v>
      </c>
      <c r="R92" s="6">
        <f t="shared" si="12"/>
        <v>9.825082868968027E-2</v>
      </c>
      <c r="S92" s="6">
        <f t="shared" si="13"/>
        <v>1.402565978636432E-2</v>
      </c>
      <c r="T92" s="6">
        <f t="shared" si="14"/>
        <v>4.2253963136606888E-3</v>
      </c>
    </row>
    <row r="93" spans="5:20" x14ac:dyDescent="0.3">
      <c r="E93" s="6">
        <f>LN('Data of Top 7 Stocks'!B92/'Data of Top 7 Stocks'!B91)</f>
        <v>-1.2578618010708929E-3</v>
      </c>
      <c r="F93" s="6">
        <f>LN('Data of Top 7 Stocks'!C92/'Data of Top 7 Stocks'!C91)</f>
        <v>-5.3573797086275778E-2</v>
      </c>
      <c r="G93" s="6">
        <f>LN('Data of Top 7 Stocks'!D92/'Data of Top 7 Stocks'!D91)</f>
        <v>-4.0825779882637463E-2</v>
      </c>
      <c r="H93" s="6">
        <f>LN('Data of Top 7 Stocks'!E92/'Data of Top 7 Stocks'!E91)</f>
        <v>-5.3440699154772724E-2</v>
      </c>
      <c r="I93" s="6">
        <f>LN('Data of Top 7 Stocks'!F92/'Data of Top 7 Stocks'!F91)</f>
        <v>-0.11378215740181732</v>
      </c>
      <c r="J93" s="6">
        <f>LN('Data of Top 7 Stocks'!G92/'Data of Top 7 Stocks'!G91)</f>
        <v>-8.3682059462221001E-2</v>
      </c>
      <c r="K93" s="6">
        <f>LN('Data of Top 7 Stocks'!H92/'Data of Top 7 Stocks'!H91)</f>
        <v>-4.1041783364361272E-3</v>
      </c>
      <c r="N93" s="6">
        <f t="shared" si="8"/>
        <v>-3.0458797888808266E-3</v>
      </c>
      <c r="O93" s="6">
        <f t="shared" si="9"/>
        <v>-6.3403273582720271E-2</v>
      </c>
      <c r="P93" s="6">
        <f t="shared" si="10"/>
        <v>-4.3385134028847187E-2</v>
      </c>
      <c r="Q93" s="6">
        <f t="shared" si="11"/>
        <v>-5.6150047490243833E-2</v>
      </c>
      <c r="R93" s="6">
        <f t="shared" si="12"/>
        <v>-0.11463893521442811</v>
      </c>
      <c r="S93" s="6">
        <f t="shared" si="13"/>
        <v>-8.5161699183450637E-2</v>
      </c>
      <c r="T93" s="6">
        <f t="shared" si="14"/>
        <v>-7.9697656466320571E-3</v>
      </c>
    </row>
    <row r="94" spans="5:20" x14ac:dyDescent="0.3">
      <c r="E94" s="6">
        <f>LN('Data of Top 7 Stocks'!B93/'Data of Top 7 Stocks'!B92)</f>
        <v>-2.069438013026861E-2</v>
      </c>
      <c r="F94" s="6">
        <f>LN('Data of Top 7 Stocks'!C93/'Data of Top 7 Stocks'!C92)</f>
        <v>4.442041509978855E-2</v>
      </c>
      <c r="G94" s="6">
        <f>LN('Data of Top 7 Stocks'!D93/'Data of Top 7 Stocks'!D92)</f>
        <v>-3.9825578904485945E-3</v>
      </c>
      <c r="H94" s="6">
        <f>LN('Data of Top 7 Stocks'!E93/'Data of Top 7 Stocks'!E92)</f>
        <v>4.6723688081164233E-3</v>
      </c>
      <c r="I94" s="6">
        <f>LN('Data of Top 7 Stocks'!F93/'Data of Top 7 Stocks'!F92)</f>
        <v>2.1572236252096959E-2</v>
      </c>
      <c r="J94" s="6">
        <f>LN('Data of Top 7 Stocks'!G93/'Data of Top 7 Stocks'!G92)</f>
        <v>-1.5610682293178083E-2</v>
      </c>
      <c r="K94" s="6">
        <f>LN('Data of Top 7 Stocks'!H93/'Data of Top 7 Stocks'!H92)</f>
        <v>3.7711336387596136E-3</v>
      </c>
      <c r="N94" s="6">
        <f t="shared" si="8"/>
        <v>-2.2482398118078544E-2</v>
      </c>
      <c r="O94" s="6">
        <f t="shared" si="9"/>
        <v>3.4590938603344057E-2</v>
      </c>
      <c r="P94" s="6">
        <f t="shared" si="10"/>
        <v>-6.5419120366583209E-3</v>
      </c>
      <c r="Q94" s="6">
        <f t="shared" si="11"/>
        <v>1.9630204726453168E-3</v>
      </c>
      <c r="R94" s="6">
        <f t="shared" si="12"/>
        <v>2.0715458439486169E-2</v>
      </c>
      <c r="S94" s="6">
        <f t="shared" si="13"/>
        <v>-1.7090322014407716E-2</v>
      </c>
      <c r="T94" s="6">
        <f t="shared" si="14"/>
        <v>-9.445367143631582E-5</v>
      </c>
    </row>
    <row r="95" spans="5:20" x14ac:dyDescent="0.3">
      <c r="E95" s="6">
        <f>LN('Data of Top 7 Stocks'!B94/'Data of Top 7 Stocks'!B93)</f>
        <v>3.6023396083528773E-2</v>
      </c>
      <c r="F95" s="6">
        <f>LN('Data of Top 7 Stocks'!C94/'Data of Top 7 Stocks'!C93)</f>
        <v>5.0649408976903912E-2</v>
      </c>
      <c r="G95" s="6">
        <f>LN('Data of Top 7 Stocks'!D94/'Data of Top 7 Stocks'!D93)</f>
        <v>3.5804200770149001E-2</v>
      </c>
      <c r="H95" s="6">
        <f>LN('Data of Top 7 Stocks'!E94/'Data of Top 7 Stocks'!E93)</f>
        <v>5.0077516656275363E-2</v>
      </c>
      <c r="I95" s="6">
        <f>LN('Data of Top 7 Stocks'!F94/'Data of Top 7 Stocks'!F93)</f>
        <v>4.0377486821194013E-2</v>
      </c>
      <c r="J95" s="6">
        <f>LN('Data of Top 7 Stocks'!G94/'Data of Top 7 Stocks'!G93)</f>
        <v>6.5861928528566554E-3</v>
      </c>
      <c r="K95" s="6">
        <f>LN('Data of Top 7 Stocks'!H94/'Data of Top 7 Stocks'!H93)</f>
        <v>4.9454557546449833E-2</v>
      </c>
      <c r="N95" s="6">
        <f t="shared" si="8"/>
        <v>3.4235378095718839E-2</v>
      </c>
      <c r="O95" s="6">
        <f t="shared" si="9"/>
        <v>4.0819932480459412E-2</v>
      </c>
      <c r="P95" s="6">
        <f t="shared" si="10"/>
        <v>3.3244846623939277E-2</v>
      </c>
      <c r="Q95" s="6">
        <f t="shared" si="11"/>
        <v>4.7368168320804253E-2</v>
      </c>
      <c r="R95" s="6">
        <f t="shared" si="12"/>
        <v>3.9520709008583225E-2</v>
      </c>
      <c r="S95" s="6">
        <f t="shared" si="13"/>
        <v>5.1065531316270233E-3</v>
      </c>
      <c r="T95" s="6">
        <f t="shared" si="14"/>
        <v>4.5588970236253905E-2</v>
      </c>
    </row>
    <row r="96" spans="5:20" x14ac:dyDescent="0.3">
      <c r="E96" s="6">
        <f>LN('Data of Top 7 Stocks'!B95/'Data of Top 7 Stocks'!B94)</f>
        <v>7.6331964047714846E-3</v>
      </c>
      <c r="F96" s="6">
        <f>LN('Data of Top 7 Stocks'!C95/'Data of Top 7 Stocks'!C94)</f>
        <v>-6.5775286471452081E-3</v>
      </c>
      <c r="G96" s="6">
        <f>LN('Data of Top 7 Stocks'!D95/'Data of Top 7 Stocks'!D94)</f>
        <v>1.4351366606158004E-3</v>
      </c>
      <c r="H96" s="6">
        <f>LN('Data of Top 7 Stocks'!E95/'Data of Top 7 Stocks'!E94)</f>
        <v>-1.6003495086480092E-3</v>
      </c>
      <c r="I96" s="6">
        <f>LN('Data of Top 7 Stocks'!F95/'Data of Top 7 Stocks'!F94)</f>
        <v>-3.6787105176749851E-2</v>
      </c>
      <c r="J96" s="6">
        <f>LN('Data of Top 7 Stocks'!G95/'Data of Top 7 Stocks'!G94)</f>
        <v>1.4200044618350225E-2</v>
      </c>
      <c r="K96" s="6">
        <f>LN('Data of Top 7 Stocks'!H95/'Data of Top 7 Stocks'!H94)</f>
        <v>-2.3487600463240189E-3</v>
      </c>
      <c r="N96" s="6">
        <f t="shared" si="8"/>
        <v>5.8451784169615507E-3</v>
      </c>
      <c r="O96" s="6">
        <f t="shared" si="9"/>
        <v>-1.6407005143589705E-2</v>
      </c>
      <c r="P96" s="6">
        <f t="shared" si="10"/>
        <v>-1.1242174855939265E-3</v>
      </c>
      <c r="Q96" s="6">
        <f t="shared" si="11"/>
        <v>-4.3096978441191161E-3</v>
      </c>
      <c r="R96" s="6">
        <f t="shared" si="12"/>
        <v>-3.7643882989360639E-2</v>
      </c>
      <c r="S96" s="6">
        <f t="shared" si="13"/>
        <v>1.2720404897120594E-2</v>
      </c>
      <c r="T96" s="6">
        <f t="shared" si="14"/>
        <v>-6.2143473565199484E-3</v>
      </c>
    </row>
    <row r="97" spans="5:20" x14ac:dyDescent="0.3">
      <c r="E97" s="6">
        <f>LN('Data of Top 7 Stocks'!B96/'Data of Top 7 Stocks'!B95)</f>
        <v>-3.3949753506396223E-2</v>
      </c>
      <c r="F97" s="6">
        <f>LN('Data of Top 7 Stocks'!C96/'Data of Top 7 Stocks'!C95)</f>
        <v>-9.3793512663756087E-2</v>
      </c>
      <c r="G97" s="6">
        <f>LN('Data of Top 7 Stocks'!D96/'Data of Top 7 Stocks'!D95)</f>
        <v>-3.23961163528597E-3</v>
      </c>
      <c r="H97" s="6">
        <f>LN('Data of Top 7 Stocks'!E96/'Data of Top 7 Stocks'!E95)</f>
        <v>-1.2895841082924995E-2</v>
      </c>
      <c r="I97" s="6">
        <f>LN('Data of Top 7 Stocks'!F96/'Data of Top 7 Stocks'!F95)</f>
        <v>-0.16939180878553697</v>
      </c>
      <c r="J97" s="6">
        <f>LN('Data of Top 7 Stocks'!G96/'Data of Top 7 Stocks'!G95)</f>
        <v>-3.6244946359735367E-2</v>
      </c>
      <c r="K97" s="6">
        <f>LN('Data of Top 7 Stocks'!H96/'Data of Top 7 Stocks'!H95)</f>
        <v>-1.9380078430695145E-2</v>
      </c>
      <c r="N97" s="6">
        <f t="shared" si="8"/>
        <v>-3.5737771494206157E-2</v>
      </c>
      <c r="O97" s="6">
        <f t="shared" si="9"/>
        <v>-0.10362298916020059</v>
      </c>
      <c r="P97" s="6">
        <f t="shared" si="10"/>
        <v>-5.7989657814956968E-3</v>
      </c>
      <c r="Q97" s="6">
        <f t="shared" si="11"/>
        <v>-1.5605189418396101E-2</v>
      </c>
      <c r="R97" s="6">
        <f t="shared" si="12"/>
        <v>-0.17024858659814776</v>
      </c>
      <c r="S97" s="6">
        <f t="shared" si="13"/>
        <v>-3.7724586080964996E-2</v>
      </c>
      <c r="T97" s="6">
        <f t="shared" si="14"/>
        <v>-2.3245665740891073E-2</v>
      </c>
    </row>
    <row r="98" spans="5:20" x14ac:dyDescent="0.3">
      <c r="E98" s="6">
        <f>LN('Data of Top 7 Stocks'!B97/'Data of Top 7 Stocks'!B96)</f>
        <v>-2.7325065664339326E-2</v>
      </c>
      <c r="F98" s="6">
        <f>LN('Data of Top 7 Stocks'!C97/'Data of Top 7 Stocks'!C96)</f>
        <v>-2.1737331648147572E-2</v>
      </c>
      <c r="G98" s="6">
        <f>LN('Data of Top 7 Stocks'!D97/'Data of Top 7 Stocks'!D96)</f>
        <v>9.5662440466480134E-3</v>
      </c>
      <c r="H98" s="6">
        <f>LN('Data of Top 7 Stocks'!E97/'Data of Top 7 Stocks'!E96)</f>
        <v>-0.10429585809032665</v>
      </c>
      <c r="I98" s="6">
        <f>LN('Data of Top 7 Stocks'!F97/'Data of Top 7 Stocks'!F96)</f>
        <v>-2.2372084306427301E-2</v>
      </c>
      <c r="J98" s="6">
        <f>LN('Data of Top 7 Stocks'!G97/'Data of Top 7 Stocks'!G96)</f>
        <v>2.0324134793510817E-2</v>
      </c>
      <c r="K98" s="6">
        <f>LN('Data of Top 7 Stocks'!H97/'Data of Top 7 Stocks'!H96)</f>
        <v>-3.9385314420045676E-2</v>
      </c>
      <c r="N98" s="6">
        <f t="shared" si="8"/>
        <v>-2.911308365214926E-2</v>
      </c>
      <c r="O98" s="6">
        <f t="shared" si="9"/>
        <v>-3.1566808144592069E-2</v>
      </c>
      <c r="P98" s="6">
        <f t="shared" si="10"/>
        <v>7.006889900438287E-3</v>
      </c>
      <c r="Q98" s="6">
        <f t="shared" si="11"/>
        <v>-0.10700520642579776</v>
      </c>
      <c r="R98" s="6">
        <f t="shared" si="12"/>
        <v>-2.3228862119038091E-2</v>
      </c>
      <c r="S98" s="6">
        <f t="shared" si="13"/>
        <v>1.8844495072281184E-2</v>
      </c>
      <c r="T98" s="6">
        <f t="shared" si="14"/>
        <v>-4.3250901730241605E-2</v>
      </c>
    </row>
    <row r="99" spans="5:20" x14ac:dyDescent="0.3">
      <c r="E99" s="6">
        <f>LN('Data of Top 7 Stocks'!B98/'Data of Top 7 Stocks'!B97)</f>
        <v>4.8897727270863091E-2</v>
      </c>
      <c r="F99" s="6">
        <f>LN('Data of Top 7 Stocks'!C98/'Data of Top 7 Stocks'!C97)</f>
        <v>0.10558271319234777</v>
      </c>
      <c r="G99" s="6">
        <f>LN('Data of Top 7 Stocks'!D98/'Data of Top 7 Stocks'!D97)</f>
        <v>6.7384593059909056E-2</v>
      </c>
      <c r="H99" s="6">
        <f>LN('Data of Top 7 Stocks'!E98/'Data of Top 7 Stocks'!E97)</f>
        <v>5.5173780436628281E-2</v>
      </c>
      <c r="I99" s="6">
        <f>LN('Data of Top 7 Stocks'!F98/'Data of Top 7 Stocks'!F97)</f>
        <v>5.9278692197879977E-2</v>
      </c>
      <c r="J99" s="6">
        <f>LN('Data of Top 7 Stocks'!G98/'Data of Top 7 Stocks'!G97)</f>
        <v>8.1595138622359717E-2</v>
      </c>
      <c r="K99" s="6">
        <f>LN('Data of Top 7 Stocks'!H98/'Data of Top 7 Stocks'!H97)</f>
        <v>5.8479356204318433E-2</v>
      </c>
      <c r="N99" s="6">
        <f t="shared" si="8"/>
        <v>4.7109709283053157E-2</v>
      </c>
      <c r="O99" s="6">
        <f t="shared" si="9"/>
        <v>9.5753236695903271E-2</v>
      </c>
      <c r="P99" s="6">
        <f t="shared" si="10"/>
        <v>6.4825238913699332E-2</v>
      </c>
      <c r="Q99" s="6">
        <f t="shared" si="11"/>
        <v>5.2464432101157171E-2</v>
      </c>
      <c r="R99" s="6">
        <f t="shared" si="12"/>
        <v>5.842191438526919E-2</v>
      </c>
      <c r="S99" s="6">
        <f t="shared" si="13"/>
        <v>8.0115498901130081E-2</v>
      </c>
      <c r="T99" s="6">
        <f t="shared" si="14"/>
        <v>5.4613768894122505E-2</v>
      </c>
    </row>
    <row r="100" spans="5:20" x14ac:dyDescent="0.3">
      <c r="E100" s="6">
        <f>LN('Data of Top 7 Stocks'!B99/'Data of Top 7 Stocks'!B98)</f>
        <v>5.3724528446336531E-2</v>
      </c>
      <c r="F100" s="6">
        <f>LN('Data of Top 7 Stocks'!C99/'Data of Top 7 Stocks'!C98)</f>
        <v>7.1167798552151482E-2</v>
      </c>
      <c r="G100" s="6">
        <f>LN('Data of Top 7 Stocks'!D99/'Data of Top 7 Stocks'!D98)</f>
        <v>4.670939164151891E-2</v>
      </c>
      <c r="H100" s="6">
        <f>LN('Data of Top 7 Stocks'!E99/'Data of Top 7 Stocks'!E98)</f>
        <v>2.6674362274030573E-2</v>
      </c>
      <c r="I100" s="6">
        <f>LN('Data of Top 7 Stocks'!F99/'Data of Top 7 Stocks'!F98)</f>
        <v>-2.443691696904441E-2</v>
      </c>
      <c r="J100" s="6">
        <f>LN('Data of Top 7 Stocks'!G99/'Data of Top 7 Stocks'!G98)</f>
        <v>3.5160979523603787E-2</v>
      </c>
      <c r="K100" s="6">
        <f>LN('Data of Top 7 Stocks'!H99/'Data of Top 7 Stocks'!H98)</f>
        <v>4.4056427519233041E-2</v>
      </c>
      <c r="N100" s="6">
        <f t="shared" si="8"/>
        <v>5.1936510458526597E-2</v>
      </c>
      <c r="O100" s="6">
        <f t="shared" si="9"/>
        <v>6.1338322055706981E-2</v>
      </c>
      <c r="P100" s="6">
        <f t="shared" si="10"/>
        <v>4.4150037495309186E-2</v>
      </c>
      <c r="Q100" s="6">
        <f t="shared" si="11"/>
        <v>2.3965013938559467E-2</v>
      </c>
      <c r="R100" s="6">
        <f t="shared" si="12"/>
        <v>-2.5293694781655201E-2</v>
      </c>
      <c r="S100" s="6">
        <f t="shared" si="13"/>
        <v>3.3681339802374158E-2</v>
      </c>
      <c r="T100" s="6">
        <f t="shared" si="14"/>
        <v>4.0190840209037113E-2</v>
      </c>
    </row>
    <row r="101" spans="5:20" x14ac:dyDescent="0.3">
      <c r="E101" s="6">
        <f>LN('Data of Top 7 Stocks'!B100/'Data of Top 7 Stocks'!B99)</f>
        <v>1.7496258487140603E-2</v>
      </c>
      <c r="F101" s="6">
        <f>LN('Data of Top 7 Stocks'!C100/'Data of Top 7 Stocks'!C99)</f>
        <v>1.9871595191651718E-2</v>
      </c>
      <c r="G101" s="6">
        <f>LN('Data of Top 7 Stocks'!D100/'Data of Top 7 Stocks'!D99)</f>
        <v>4.8680225972156472E-4</v>
      </c>
      <c r="H101" s="6">
        <f>LN('Data of Top 7 Stocks'!E100/'Data of Top 7 Stocks'!E99)</f>
        <v>2.0306782148925388E-2</v>
      </c>
      <c r="I101" s="6">
        <f>LN('Data of Top 7 Stocks'!F100/'Data of Top 7 Stocks'!F99)</f>
        <v>8.7593550843180365E-2</v>
      </c>
      <c r="J101" s="6">
        <f>LN('Data of Top 7 Stocks'!G100/'Data of Top 7 Stocks'!G99)</f>
        <v>1.1221285577288173E-2</v>
      </c>
      <c r="K101" s="6">
        <f>LN('Data of Top 7 Stocks'!H100/'Data of Top 7 Stocks'!H99)</f>
        <v>1.8891509538761633E-2</v>
      </c>
      <c r="N101" s="6">
        <f t="shared" si="8"/>
        <v>1.5708240499330669E-2</v>
      </c>
      <c r="O101" s="6">
        <f t="shared" si="9"/>
        <v>1.0042118695207221E-2</v>
      </c>
      <c r="P101" s="6">
        <f t="shared" si="10"/>
        <v>-2.0725518864881621E-3</v>
      </c>
      <c r="Q101" s="6">
        <f t="shared" si="11"/>
        <v>1.7597433813454282E-2</v>
      </c>
      <c r="R101" s="6">
        <f t="shared" si="12"/>
        <v>8.6736773030569578E-2</v>
      </c>
      <c r="S101" s="6">
        <f t="shared" si="13"/>
        <v>9.7416458560585402E-3</v>
      </c>
      <c r="T101" s="6">
        <f t="shared" si="14"/>
        <v>1.5025922228565703E-2</v>
      </c>
    </row>
    <row r="102" spans="5:20" x14ac:dyDescent="0.3">
      <c r="E102" s="6">
        <f>LN('Data of Top 7 Stocks'!B101/'Data of Top 7 Stocks'!B100)</f>
        <v>1.4750042183263009E-3</v>
      </c>
      <c r="F102" s="6">
        <f>LN('Data of Top 7 Stocks'!C101/'Data of Top 7 Stocks'!C100)</f>
        <v>-3.1316939150980889E-2</v>
      </c>
      <c r="G102" s="6">
        <f>LN('Data of Top 7 Stocks'!D101/'Data of Top 7 Stocks'!D100)</f>
        <v>2.0287602997272555E-2</v>
      </c>
      <c r="H102" s="6">
        <f>LN('Data of Top 7 Stocks'!E101/'Data of Top 7 Stocks'!E100)</f>
        <v>1.0147145889008648E-2</v>
      </c>
      <c r="I102" s="6">
        <f>LN('Data of Top 7 Stocks'!F101/'Data of Top 7 Stocks'!F100)</f>
        <v>4.8962311758135937E-3</v>
      </c>
      <c r="J102" s="6">
        <f>LN('Data of Top 7 Stocks'!G101/'Data of Top 7 Stocks'!G100)</f>
        <v>1.0687961429153601E-2</v>
      </c>
      <c r="K102" s="6">
        <f>LN('Data of Top 7 Stocks'!H101/'Data of Top 7 Stocks'!H100)</f>
        <v>9.4762097565984759E-3</v>
      </c>
      <c r="N102" s="6">
        <f t="shared" si="8"/>
        <v>-3.1301376948363285E-4</v>
      </c>
      <c r="O102" s="6">
        <f t="shared" si="9"/>
        <v>-4.1146415647425383E-2</v>
      </c>
      <c r="P102" s="6">
        <f t="shared" si="10"/>
        <v>1.7728248851062826E-2</v>
      </c>
      <c r="Q102" s="6">
        <f t="shared" si="11"/>
        <v>7.4377975535375417E-3</v>
      </c>
      <c r="R102" s="6">
        <f t="shared" si="12"/>
        <v>4.0394533632028039E-3</v>
      </c>
      <c r="S102" s="6">
        <f t="shared" si="13"/>
        <v>9.2083217079239679E-3</v>
      </c>
      <c r="T102" s="6">
        <f t="shared" si="14"/>
        <v>5.610622446402546E-3</v>
      </c>
    </row>
    <row r="103" spans="5:20" x14ac:dyDescent="0.3">
      <c r="E103" s="6">
        <f>LN('Data of Top 7 Stocks'!B102/'Data of Top 7 Stocks'!B101)</f>
        <v>6.6630188009449099E-3</v>
      </c>
      <c r="F103" s="6">
        <f>LN('Data of Top 7 Stocks'!C102/'Data of Top 7 Stocks'!C101)</f>
        <v>-2.1579005293795861E-2</v>
      </c>
      <c r="G103" s="6">
        <f>LN('Data of Top 7 Stocks'!D102/'Data of Top 7 Stocks'!D101)</f>
        <v>-7.7666161606814608E-3</v>
      </c>
      <c r="H103" s="6">
        <f>LN('Data of Top 7 Stocks'!E102/'Data of Top 7 Stocks'!E101)</f>
        <v>-3.5974834479407879E-2</v>
      </c>
      <c r="I103" s="6">
        <f>LN('Data of Top 7 Stocks'!F102/'Data of Top 7 Stocks'!F101)</f>
        <v>1.4253425079032949E-2</v>
      </c>
      <c r="J103" s="6">
        <f>LN('Data of Top 7 Stocks'!G102/'Data of Top 7 Stocks'!G101)</f>
        <v>1.9743343037176078E-3</v>
      </c>
      <c r="K103" s="6">
        <f>LN('Data of Top 7 Stocks'!H102/'Data of Top 7 Stocks'!H101)</f>
        <v>-4.0454954692313756E-2</v>
      </c>
      <c r="N103" s="6">
        <f t="shared" si="8"/>
        <v>4.875000813134976E-3</v>
      </c>
      <c r="O103" s="6">
        <f t="shared" si="9"/>
        <v>-3.1408481790240361E-2</v>
      </c>
      <c r="P103" s="6">
        <f t="shared" si="10"/>
        <v>-1.0325970306891188E-2</v>
      </c>
      <c r="Q103" s="6">
        <f t="shared" si="11"/>
        <v>-3.8684182814878988E-2</v>
      </c>
      <c r="R103" s="6">
        <f t="shared" si="12"/>
        <v>1.339664726642216E-2</v>
      </c>
      <c r="S103" s="6">
        <f t="shared" si="13"/>
        <v>4.9469458248797577E-4</v>
      </c>
      <c r="T103" s="6">
        <f t="shared" si="14"/>
        <v>-4.4320542002509684E-2</v>
      </c>
    </row>
    <row r="104" spans="5:20" x14ac:dyDescent="0.3">
      <c r="E104" s="6">
        <f>LN('Data of Top 7 Stocks'!B103/'Data of Top 7 Stocks'!B102)</f>
        <v>2.3104787958975123E-2</v>
      </c>
      <c r="F104" s="6">
        <f>LN('Data of Top 7 Stocks'!C103/'Data of Top 7 Stocks'!C102)</f>
        <v>1.5912078594962187E-2</v>
      </c>
      <c r="G104" s="6">
        <f>LN('Data of Top 7 Stocks'!D103/'Data of Top 7 Stocks'!D102)</f>
        <v>-7.4792321247003099E-4</v>
      </c>
      <c r="H104" s="6">
        <f>LN('Data of Top 7 Stocks'!E103/'Data of Top 7 Stocks'!E102)</f>
        <v>2.3459947935582023E-2</v>
      </c>
      <c r="I104" s="6">
        <f>LN('Data of Top 7 Stocks'!F103/'Data of Top 7 Stocks'!F102)</f>
        <v>2.076027072968498E-2</v>
      </c>
      <c r="J104" s="6">
        <f>LN('Data of Top 7 Stocks'!G103/'Data of Top 7 Stocks'!G102)</f>
        <v>2.6490081715768625E-3</v>
      </c>
      <c r="K104" s="6">
        <f>LN('Data of Top 7 Stocks'!H103/'Data of Top 7 Stocks'!H102)</f>
        <v>2.4120274528764332E-2</v>
      </c>
      <c r="N104" s="6">
        <f t="shared" si="8"/>
        <v>2.1316769971165189E-2</v>
      </c>
      <c r="O104" s="6">
        <f t="shared" si="9"/>
        <v>6.08260209851769E-3</v>
      </c>
      <c r="P104" s="6">
        <f t="shared" si="10"/>
        <v>-3.3072773586797577E-3</v>
      </c>
      <c r="Q104" s="6">
        <f t="shared" si="11"/>
        <v>2.0750599600110917E-2</v>
      </c>
      <c r="R104" s="6">
        <f t="shared" si="12"/>
        <v>1.9903492917074189E-2</v>
      </c>
      <c r="S104" s="6">
        <f t="shared" si="13"/>
        <v>1.1693684503472305E-3</v>
      </c>
      <c r="T104" s="6">
        <f t="shared" si="14"/>
        <v>2.0254687218568403E-2</v>
      </c>
    </row>
    <row r="105" spans="5:20" x14ac:dyDescent="0.3">
      <c r="E105" s="6">
        <f>LN('Data of Top 7 Stocks'!B104/'Data of Top 7 Stocks'!B103)</f>
        <v>9.4589802084357553E-3</v>
      </c>
      <c r="F105" s="6">
        <f>LN('Data of Top 7 Stocks'!C104/'Data of Top 7 Stocks'!C103)</f>
        <v>2.863266139172423E-2</v>
      </c>
      <c r="G105" s="6">
        <f>LN('Data of Top 7 Stocks'!D104/'Data of Top 7 Stocks'!D103)</f>
        <v>-9.3965468016999343E-3</v>
      </c>
      <c r="H105" s="6">
        <f>LN('Data of Top 7 Stocks'!E104/'Data of Top 7 Stocks'!E103)</f>
        <v>-1.7863623868973614E-2</v>
      </c>
      <c r="I105" s="6">
        <f>LN('Data of Top 7 Stocks'!F104/'Data of Top 7 Stocks'!F103)</f>
        <v>3.8851550532956497E-2</v>
      </c>
      <c r="J105" s="6">
        <f>LN('Data of Top 7 Stocks'!G104/'Data of Top 7 Stocks'!G103)</f>
        <v>1.7149618332446021E-2</v>
      </c>
      <c r="K105" s="6">
        <f>LN('Data of Top 7 Stocks'!H104/'Data of Top 7 Stocks'!H103)</f>
        <v>6.5002400610102082E-3</v>
      </c>
      <c r="N105" s="6">
        <f t="shared" si="8"/>
        <v>7.6709622206258214E-3</v>
      </c>
      <c r="O105" s="6">
        <f t="shared" si="9"/>
        <v>1.8803184895279733E-2</v>
      </c>
      <c r="P105" s="6">
        <f t="shared" si="10"/>
        <v>-1.1955900947909661E-2</v>
      </c>
      <c r="Q105" s="6">
        <f t="shared" si="11"/>
        <v>-2.057297220444472E-2</v>
      </c>
      <c r="R105" s="6">
        <f t="shared" si="12"/>
        <v>3.799477272034571E-2</v>
      </c>
      <c r="S105" s="6">
        <f t="shared" si="13"/>
        <v>1.5669978611216388E-2</v>
      </c>
      <c r="T105" s="6">
        <f t="shared" si="14"/>
        <v>2.6346527508142787E-3</v>
      </c>
    </row>
    <row r="106" spans="5:20" x14ac:dyDescent="0.3">
      <c r="E106" s="6">
        <f>LN('Data of Top 7 Stocks'!B105/'Data of Top 7 Stocks'!B104)</f>
        <v>-2.0298777082837102E-2</v>
      </c>
      <c r="F106" s="6">
        <f>LN('Data of Top 7 Stocks'!C105/'Data of Top 7 Stocks'!C104)</f>
        <v>-1.2279985169852885E-3</v>
      </c>
      <c r="G106" s="6">
        <f>LN('Data of Top 7 Stocks'!D105/'Data of Top 7 Stocks'!D104)</f>
        <v>1.0331363445409891E-2</v>
      </c>
      <c r="H106" s="6">
        <f>LN('Data of Top 7 Stocks'!E105/'Data of Top 7 Stocks'!E104)</f>
        <v>6.4891965456099002E-2</v>
      </c>
      <c r="I106" s="6">
        <f>LN('Data of Top 7 Stocks'!F105/'Data of Top 7 Stocks'!F104)</f>
        <v>-3.7941710207035784E-3</v>
      </c>
      <c r="J106" s="6">
        <f>LN('Data of Top 7 Stocks'!G105/'Data of Top 7 Stocks'!G104)</f>
        <v>2.2743984437561395E-2</v>
      </c>
      <c r="K106" s="6">
        <f>LN('Data of Top 7 Stocks'!H105/'Data of Top 7 Stocks'!H104)</f>
        <v>5.3680565601188897E-2</v>
      </c>
      <c r="N106" s="6">
        <f t="shared" si="8"/>
        <v>-2.2086795070647036E-2</v>
      </c>
      <c r="O106" s="6">
        <f t="shared" si="9"/>
        <v>-1.1057475013429786E-2</v>
      </c>
      <c r="P106" s="6">
        <f t="shared" si="10"/>
        <v>7.7720092992001645E-3</v>
      </c>
      <c r="Q106" s="6">
        <f t="shared" si="11"/>
        <v>6.2182617120627892E-2</v>
      </c>
      <c r="R106" s="6">
        <f t="shared" si="12"/>
        <v>-4.6509488333143683E-3</v>
      </c>
      <c r="S106" s="6">
        <f t="shared" si="13"/>
        <v>2.1264344716331762E-2</v>
      </c>
      <c r="T106" s="6">
        <f t="shared" si="14"/>
        <v>4.9814978290992969E-2</v>
      </c>
    </row>
    <row r="107" spans="5:20" x14ac:dyDescent="0.3">
      <c r="E107" s="6">
        <f>LN('Data of Top 7 Stocks'!B106/'Data of Top 7 Stocks'!B105)</f>
        <v>-5.5421891012324906E-3</v>
      </c>
      <c r="F107" s="6">
        <f>LN('Data of Top 7 Stocks'!C106/'Data of Top 7 Stocks'!C105)</f>
        <v>1.4031750302771918E-2</v>
      </c>
      <c r="G107" s="6">
        <f>LN('Data of Top 7 Stocks'!D106/'Data of Top 7 Stocks'!D105)</f>
        <v>3.8901224086424326E-3</v>
      </c>
      <c r="H107" s="6">
        <f>LN('Data of Top 7 Stocks'!E106/'Data of Top 7 Stocks'!E105)</f>
        <v>-1.2803361468401506E-2</v>
      </c>
      <c r="I107" s="6">
        <f>LN('Data of Top 7 Stocks'!F106/'Data of Top 7 Stocks'!F105)</f>
        <v>-1.620729261015735E-2</v>
      </c>
      <c r="J107" s="6">
        <f>LN('Data of Top 7 Stocks'!G106/'Data of Top 7 Stocks'!G105)</f>
        <v>-9.6935524560746184E-3</v>
      </c>
      <c r="K107" s="6">
        <f>LN('Data of Top 7 Stocks'!H106/'Data of Top 7 Stocks'!H105)</f>
        <v>1.6116494617294135E-3</v>
      </c>
      <c r="N107" s="6">
        <f t="shared" si="8"/>
        <v>-7.3302070890424245E-3</v>
      </c>
      <c r="O107" s="6">
        <f t="shared" si="9"/>
        <v>4.2022738063274209E-3</v>
      </c>
      <c r="P107" s="6">
        <f t="shared" si="10"/>
        <v>1.3307682624327057E-3</v>
      </c>
      <c r="Q107" s="6">
        <f t="shared" si="11"/>
        <v>-1.5512709803872612E-2</v>
      </c>
      <c r="R107" s="6">
        <f t="shared" si="12"/>
        <v>-1.7064070422768141E-2</v>
      </c>
      <c r="S107" s="6">
        <f t="shared" si="13"/>
        <v>-1.117319217730425E-2</v>
      </c>
      <c r="T107" s="6">
        <f t="shared" si="14"/>
        <v>-2.2539378484665159E-3</v>
      </c>
    </row>
    <row r="108" spans="5:20" x14ac:dyDescent="0.3">
      <c r="E108" s="6">
        <f>LN('Data of Top 7 Stocks'!B107/'Data of Top 7 Stocks'!B106)</f>
        <v>-6.0760973500102351E-2</v>
      </c>
      <c r="F108" s="6">
        <f>LN('Data of Top 7 Stocks'!C107/'Data of Top 7 Stocks'!C106)</f>
        <v>-8.5175935758657704E-3</v>
      </c>
      <c r="G108" s="6">
        <f>LN('Data of Top 7 Stocks'!D107/'Data of Top 7 Stocks'!D106)</f>
        <v>-2.2292161228803235E-2</v>
      </c>
      <c r="H108" s="6">
        <f>LN('Data of Top 7 Stocks'!E107/'Data of Top 7 Stocks'!E106)</f>
        <v>-2.8758063429585895E-2</v>
      </c>
      <c r="I108" s="6">
        <f>LN('Data of Top 7 Stocks'!F107/'Data of Top 7 Stocks'!F106)</f>
        <v>-4.523684207529037E-2</v>
      </c>
      <c r="J108" s="6">
        <f>LN('Data of Top 7 Stocks'!G107/'Data of Top 7 Stocks'!G106)</f>
        <v>-4.5098159528940425E-2</v>
      </c>
      <c r="K108" s="6">
        <f>LN('Data of Top 7 Stocks'!H107/'Data of Top 7 Stocks'!H106)</f>
        <v>-5.6947923450087739E-3</v>
      </c>
      <c r="N108" s="6">
        <f t="shared" si="8"/>
        <v>-6.2548991487912278E-2</v>
      </c>
      <c r="O108" s="6">
        <f t="shared" si="9"/>
        <v>-1.8347070072310269E-2</v>
      </c>
      <c r="P108" s="6">
        <f t="shared" si="10"/>
        <v>-2.4851515375012963E-2</v>
      </c>
      <c r="Q108" s="6">
        <f t="shared" si="11"/>
        <v>-3.1467411765057005E-2</v>
      </c>
      <c r="R108" s="6">
        <f t="shared" si="12"/>
        <v>-4.6093619887901158E-2</v>
      </c>
      <c r="S108" s="6">
        <f t="shared" si="13"/>
        <v>-4.6577799250170054E-2</v>
      </c>
      <c r="T108" s="6">
        <f t="shared" si="14"/>
        <v>-9.5603796552047038E-3</v>
      </c>
    </row>
    <row r="109" spans="5:20" x14ac:dyDescent="0.3">
      <c r="E109" s="6">
        <f>LN('Data of Top 7 Stocks'!B108/'Data of Top 7 Stocks'!B107)</f>
        <v>2.5825461422404484E-2</v>
      </c>
      <c r="F109" s="6">
        <f>LN('Data of Top 7 Stocks'!C108/'Data of Top 7 Stocks'!C107)</f>
        <v>0.10818747327525964</v>
      </c>
      <c r="G109" s="6">
        <f>LN('Data of Top 7 Stocks'!D108/'Data of Top 7 Stocks'!D107)</f>
        <v>5.4812587267311572E-2</v>
      </c>
      <c r="H109" s="6">
        <f>LN('Data of Top 7 Stocks'!E108/'Data of Top 7 Stocks'!E107)</f>
        <v>4.972645934963528E-2</v>
      </c>
      <c r="I109" s="6">
        <f>LN('Data of Top 7 Stocks'!F108/'Data of Top 7 Stocks'!F107)</f>
        <v>-8.1556196800023448E-2</v>
      </c>
      <c r="J109" s="6">
        <f>LN('Data of Top 7 Stocks'!G108/'Data of Top 7 Stocks'!G107)</f>
        <v>6.2582947346193671E-2</v>
      </c>
      <c r="K109" s="6">
        <f>LN('Data of Top 7 Stocks'!H108/'Data of Top 7 Stocks'!H107)</f>
        <v>6.2075980276928733E-2</v>
      </c>
      <c r="N109" s="6">
        <f t="shared" si="8"/>
        <v>2.403744343459455E-2</v>
      </c>
      <c r="O109" s="6">
        <f t="shared" si="9"/>
        <v>9.835799677881514E-2</v>
      </c>
      <c r="P109" s="6">
        <f t="shared" si="10"/>
        <v>5.2253233121101847E-2</v>
      </c>
      <c r="Q109" s="6">
        <f t="shared" si="11"/>
        <v>4.701711101416417E-2</v>
      </c>
      <c r="R109" s="6">
        <f t="shared" si="12"/>
        <v>-8.2412974612634235E-2</v>
      </c>
      <c r="S109" s="6">
        <f t="shared" si="13"/>
        <v>6.1103307624964041E-2</v>
      </c>
      <c r="T109" s="6">
        <f t="shared" si="14"/>
        <v>5.8210392966732805E-2</v>
      </c>
    </row>
    <row r="110" spans="5:20" x14ac:dyDescent="0.3">
      <c r="E110" s="6">
        <f>LN('Data of Top 7 Stocks'!B109/'Data of Top 7 Stocks'!B108)</f>
        <v>2.9884601810862204E-2</v>
      </c>
      <c r="F110" s="6">
        <f>LN('Data of Top 7 Stocks'!C109/'Data of Top 7 Stocks'!C108)</f>
        <v>8.3761723124079729E-2</v>
      </c>
      <c r="G110" s="6">
        <f>LN('Data of Top 7 Stocks'!D109/'Data of Top 7 Stocks'!D108)</f>
        <v>2.5918060262667547E-2</v>
      </c>
      <c r="H110" s="6">
        <f>LN('Data of Top 7 Stocks'!E109/'Data of Top 7 Stocks'!E108)</f>
        <v>2.5811902513572058E-2</v>
      </c>
      <c r="I110" s="6">
        <f>LN('Data of Top 7 Stocks'!F109/'Data of Top 7 Stocks'!F108)</f>
        <v>-3.108722080905495E-2</v>
      </c>
      <c r="J110" s="6">
        <f>LN('Data of Top 7 Stocks'!G109/'Data of Top 7 Stocks'!G108)</f>
        <v>4.6457690991725895E-3</v>
      </c>
      <c r="K110" s="6">
        <f>LN('Data of Top 7 Stocks'!H109/'Data of Top 7 Stocks'!H108)</f>
        <v>2.3644133879798954E-2</v>
      </c>
      <c r="N110" s="6">
        <f t="shared" si="8"/>
        <v>2.809658382305227E-2</v>
      </c>
      <c r="O110" s="6">
        <f t="shared" si="9"/>
        <v>7.3932246627635229E-2</v>
      </c>
      <c r="P110" s="6">
        <f t="shared" si="10"/>
        <v>2.3358706116457819E-2</v>
      </c>
      <c r="Q110" s="6">
        <f t="shared" si="11"/>
        <v>2.3102554178100951E-2</v>
      </c>
      <c r="R110" s="6">
        <f t="shared" si="12"/>
        <v>-3.1943998621665741E-2</v>
      </c>
      <c r="S110" s="6">
        <f t="shared" si="13"/>
        <v>3.1661293779429575E-3</v>
      </c>
      <c r="T110" s="6">
        <f t="shared" si="14"/>
        <v>1.9778546569603025E-2</v>
      </c>
    </row>
    <row r="111" spans="5:20" x14ac:dyDescent="0.3">
      <c r="E111" s="6">
        <f>LN('Data of Top 7 Stocks'!B110/'Data of Top 7 Stocks'!B109)</f>
        <v>4.4794074587097945E-3</v>
      </c>
      <c r="F111" s="6">
        <f>LN('Data of Top 7 Stocks'!C110/'Data of Top 7 Stocks'!C109)</f>
        <v>2.5557315356589172E-2</v>
      </c>
      <c r="G111" s="6">
        <f>LN('Data of Top 7 Stocks'!D110/'Data of Top 7 Stocks'!D109)</f>
        <v>1.3107588610373996E-2</v>
      </c>
      <c r="H111" s="6">
        <f>LN('Data of Top 7 Stocks'!E110/'Data of Top 7 Stocks'!E109)</f>
        <v>3.8858050575295656E-2</v>
      </c>
      <c r="I111" s="6">
        <f>LN('Data of Top 7 Stocks'!F110/'Data of Top 7 Stocks'!F109)</f>
        <v>-0.14663075894924732</v>
      </c>
      <c r="J111" s="6">
        <f>LN('Data of Top 7 Stocks'!G110/'Data of Top 7 Stocks'!G109)</f>
        <v>2.4042371554215545E-2</v>
      </c>
      <c r="K111" s="6">
        <f>LN('Data of Top 7 Stocks'!H110/'Data of Top 7 Stocks'!H109)</f>
        <v>2.7496941921568419E-2</v>
      </c>
      <c r="N111" s="6">
        <f t="shared" si="8"/>
        <v>2.6913894708998605E-3</v>
      </c>
      <c r="O111" s="6">
        <f t="shared" si="9"/>
        <v>1.5727838860144675E-2</v>
      </c>
      <c r="P111" s="6">
        <f t="shared" si="10"/>
        <v>1.054823446416427E-2</v>
      </c>
      <c r="Q111" s="6">
        <f t="shared" si="11"/>
        <v>3.6148702239824547E-2</v>
      </c>
      <c r="R111" s="6">
        <f t="shared" si="12"/>
        <v>-0.14748753676185811</v>
      </c>
      <c r="S111" s="6">
        <f t="shared" si="13"/>
        <v>2.2562731832985912E-2</v>
      </c>
      <c r="T111" s="6">
        <f t="shared" si="14"/>
        <v>2.3631354611372491E-2</v>
      </c>
    </row>
    <row r="112" spans="5:20" x14ac:dyDescent="0.3">
      <c r="E112" s="6">
        <f>LN('Data of Top 7 Stocks'!B111/'Data of Top 7 Stocks'!B110)</f>
        <v>-3.4740586189857377E-2</v>
      </c>
      <c r="F112" s="6">
        <f>LN('Data of Top 7 Stocks'!C111/'Data of Top 7 Stocks'!C110)</f>
        <v>8.0710504159032262E-2</v>
      </c>
      <c r="G112" s="6">
        <f>LN('Data of Top 7 Stocks'!D111/'Data of Top 7 Stocks'!D110)</f>
        <v>1.7886755468555521E-2</v>
      </c>
      <c r="H112" s="6">
        <f>LN('Data of Top 7 Stocks'!E111/'Data of Top 7 Stocks'!E110)</f>
        <v>-6.656449107264957E-2</v>
      </c>
      <c r="I112" s="6">
        <f>LN('Data of Top 7 Stocks'!F111/'Data of Top 7 Stocks'!F110)</f>
        <v>2.5111784034300273E-2</v>
      </c>
      <c r="J112" s="6">
        <f>LN('Data of Top 7 Stocks'!G111/'Data of Top 7 Stocks'!G110)</f>
        <v>7.6730580528158815E-2</v>
      </c>
      <c r="K112" s="6">
        <f>LN('Data of Top 7 Stocks'!H111/'Data of Top 7 Stocks'!H110)</f>
        <v>0.18658757504901588</v>
      </c>
      <c r="N112" s="6">
        <f t="shared" si="8"/>
        <v>-3.6528604177667311E-2</v>
      </c>
      <c r="O112" s="6">
        <f t="shared" si="9"/>
        <v>7.0881027662587762E-2</v>
      </c>
      <c r="P112" s="6">
        <f t="shared" si="10"/>
        <v>1.5327401322345795E-2</v>
      </c>
      <c r="Q112" s="6">
        <f t="shared" si="11"/>
        <v>-6.927383940812068E-2</v>
      </c>
      <c r="R112" s="6">
        <f t="shared" si="12"/>
        <v>2.4255006221689482E-2</v>
      </c>
      <c r="S112" s="6">
        <f t="shared" si="13"/>
        <v>7.5250940806929179E-2</v>
      </c>
      <c r="T112" s="6">
        <f t="shared" si="14"/>
        <v>0.18272198773881995</v>
      </c>
    </row>
    <row r="113" spans="5:20" x14ac:dyDescent="0.3">
      <c r="E113" s="6">
        <f>LN('Data of Top 7 Stocks'!B112/'Data of Top 7 Stocks'!B111)</f>
        <v>1.6013152415204665E-2</v>
      </c>
      <c r="F113" s="6">
        <f>LN('Data of Top 7 Stocks'!C112/'Data of Top 7 Stocks'!C111)</f>
        <v>8.6393995800145409E-2</v>
      </c>
      <c r="G113" s="6">
        <f>LN('Data of Top 7 Stocks'!D112/'Data of Top 7 Stocks'!D111)</f>
        <v>2.2435027317990786E-2</v>
      </c>
      <c r="H113" s="6">
        <f>LN('Data of Top 7 Stocks'!E112/'Data of Top 7 Stocks'!E111)</f>
        <v>4.5446766269731931E-2</v>
      </c>
      <c r="I113" s="6">
        <f>LN('Data of Top 7 Stocks'!F112/'Data of Top 7 Stocks'!F111)</f>
        <v>2.9676079356393058E-2</v>
      </c>
      <c r="J113" s="6">
        <f>LN('Data of Top 7 Stocks'!G112/'Data of Top 7 Stocks'!G111)</f>
        <v>1.524895255890734E-2</v>
      </c>
      <c r="K113" s="6">
        <f>LN('Data of Top 7 Stocks'!H112/'Data of Top 7 Stocks'!H111)</f>
        <v>-1.4590440146979074E-2</v>
      </c>
      <c r="N113" s="6">
        <f t="shared" si="8"/>
        <v>1.4225134427394731E-2</v>
      </c>
      <c r="O113" s="6">
        <f t="shared" si="9"/>
        <v>7.6564519303700909E-2</v>
      </c>
      <c r="P113" s="6">
        <f t="shared" si="10"/>
        <v>1.9875673171781058E-2</v>
      </c>
      <c r="Q113" s="6">
        <f t="shared" si="11"/>
        <v>4.2737417934260821E-2</v>
      </c>
      <c r="R113" s="6">
        <f t="shared" si="12"/>
        <v>2.8819301543782268E-2</v>
      </c>
      <c r="S113" s="6">
        <f t="shared" si="13"/>
        <v>1.3769312837677707E-2</v>
      </c>
      <c r="T113" s="6">
        <f t="shared" si="14"/>
        <v>-1.8456027457175003E-2</v>
      </c>
    </row>
    <row r="114" spans="5:20" x14ac:dyDescent="0.3">
      <c r="E114" s="6">
        <f>LN('Data of Top 7 Stocks'!B113/'Data of Top 7 Stocks'!B112)</f>
        <v>-3.5244514343092226E-2</v>
      </c>
      <c r="F114" s="6">
        <f>LN('Data of Top 7 Stocks'!C113/'Data of Top 7 Stocks'!C112)</f>
        <v>6.6326068765742326E-3</v>
      </c>
      <c r="G114" s="6">
        <f>LN('Data of Top 7 Stocks'!D113/'Data of Top 7 Stocks'!D112)</f>
        <v>-3.9999996623049844E-2</v>
      </c>
      <c r="H114" s="6">
        <f>LN('Data of Top 7 Stocks'!E113/'Data of Top 7 Stocks'!E112)</f>
        <v>-5.8596478547832759E-2</v>
      </c>
      <c r="I114" s="6">
        <f>LN('Data of Top 7 Stocks'!F113/'Data of Top 7 Stocks'!F112)</f>
        <v>3.2428131135373017E-2</v>
      </c>
      <c r="J114" s="6">
        <f>LN('Data of Top 7 Stocks'!G113/'Data of Top 7 Stocks'!G112)</f>
        <v>-2.8726245502388146E-2</v>
      </c>
      <c r="K114" s="6">
        <f>LN('Data of Top 7 Stocks'!H113/'Data of Top 7 Stocks'!H112)</f>
        <v>1.1068381481884614E-2</v>
      </c>
      <c r="N114" s="6">
        <f t="shared" si="8"/>
        <v>-3.703253233090216E-2</v>
      </c>
      <c r="O114" s="6">
        <f t="shared" si="9"/>
        <v>-3.1968696198702642E-3</v>
      </c>
      <c r="P114" s="6">
        <f t="shared" si="10"/>
        <v>-4.2559350769259569E-2</v>
      </c>
      <c r="Q114" s="6">
        <f t="shared" si="11"/>
        <v>-6.1305826883303868E-2</v>
      </c>
      <c r="R114" s="6">
        <f t="shared" si="12"/>
        <v>3.157135332276223E-2</v>
      </c>
      <c r="S114" s="6">
        <f t="shared" si="13"/>
        <v>-3.0205885223617779E-2</v>
      </c>
      <c r="T114" s="6">
        <f t="shared" si="14"/>
        <v>7.2027941716886843E-3</v>
      </c>
    </row>
    <row r="115" spans="5:20" x14ac:dyDescent="0.3">
      <c r="E115" s="6">
        <f>LN('Data of Top 7 Stocks'!B114/'Data of Top 7 Stocks'!B113)</f>
        <v>1.1512212438281955E-3</v>
      </c>
      <c r="F115" s="6">
        <f>LN('Data of Top 7 Stocks'!C114/'Data of Top 7 Stocks'!C113)</f>
        <v>8.2064118374702191E-2</v>
      </c>
      <c r="G115" s="6">
        <f>LN('Data of Top 7 Stocks'!D114/'Data of Top 7 Stocks'!D113)</f>
        <v>1.5422702552663236E-2</v>
      </c>
      <c r="H115" s="6">
        <f>LN('Data of Top 7 Stocks'!E114/'Data of Top 7 Stocks'!E113)</f>
        <v>2.4185655813203602E-2</v>
      </c>
      <c r="I115" s="6">
        <f>LN('Data of Top 7 Stocks'!F114/'Data of Top 7 Stocks'!F113)</f>
        <v>-4.0728225473348714E-2</v>
      </c>
      <c r="J115" s="6">
        <f>LN('Data of Top 7 Stocks'!G114/'Data of Top 7 Stocks'!G113)</f>
        <v>3.1816907303261074E-2</v>
      </c>
      <c r="K115" s="6">
        <f>LN('Data of Top 7 Stocks'!H114/'Data of Top 7 Stocks'!H113)</f>
        <v>2.2375195750451961E-2</v>
      </c>
      <c r="N115" s="6">
        <f t="shared" si="8"/>
        <v>-6.3679674398173822E-4</v>
      </c>
      <c r="O115" s="6">
        <f t="shared" si="9"/>
        <v>7.2234641878257691E-2</v>
      </c>
      <c r="P115" s="6">
        <f t="shared" si="10"/>
        <v>1.286334840645351E-2</v>
      </c>
      <c r="Q115" s="6">
        <f t="shared" si="11"/>
        <v>2.1476307477732496E-2</v>
      </c>
      <c r="R115" s="6">
        <f t="shared" si="12"/>
        <v>-4.1585003285959501E-2</v>
      </c>
      <c r="S115" s="6">
        <f t="shared" si="13"/>
        <v>3.0337267582031441E-2</v>
      </c>
      <c r="T115" s="6">
        <f t="shared" si="14"/>
        <v>1.8509608440256033E-2</v>
      </c>
    </row>
    <row r="116" spans="5:20" x14ac:dyDescent="0.3">
      <c r="E116" s="6">
        <f>LN('Data of Top 7 Stocks'!B115/'Data of Top 7 Stocks'!B114)</f>
        <v>-1.5793580258141243E-2</v>
      </c>
      <c r="F116" s="6">
        <f>LN('Data of Top 7 Stocks'!C115/'Data of Top 7 Stocks'!C114)</f>
        <v>4.2961293017898861E-2</v>
      </c>
      <c r="G116" s="6">
        <f>LN('Data of Top 7 Stocks'!D115/'Data of Top 7 Stocks'!D114)</f>
        <v>1.2496529957443176E-2</v>
      </c>
      <c r="H116" s="6">
        <f>LN('Data of Top 7 Stocks'!E115/'Data of Top 7 Stocks'!E114)</f>
        <v>-4.8533181354611668E-2</v>
      </c>
      <c r="I116" s="6">
        <f>LN('Data of Top 7 Stocks'!F115/'Data of Top 7 Stocks'!F114)</f>
        <v>5.409189587394108E-2</v>
      </c>
      <c r="J116" s="6">
        <f>LN('Data of Top 7 Stocks'!G115/'Data of Top 7 Stocks'!G114)</f>
        <v>1.8289912750917837E-2</v>
      </c>
      <c r="K116" s="6">
        <f>LN('Data of Top 7 Stocks'!H115/'Data of Top 7 Stocks'!H114)</f>
        <v>3.7050662489188979E-2</v>
      </c>
      <c r="N116" s="6">
        <f t="shared" si="8"/>
        <v>-1.7581598245951176E-2</v>
      </c>
      <c r="O116" s="6">
        <f t="shared" si="9"/>
        <v>3.313181652145436E-2</v>
      </c>
      <c r="P116" s="6">
        <f t="shared" si="10"/>
        <v>9.9371758112334497E-3</v>
      </c>
      <c r="Q116" s="6">
        <f t="shared" si="11"/>
        <v>-5.1242529690082778E-2</v>
      </c>
      <c r="R116" s="6">
        <f t="shared" si="12"/>
        <v>5.3235118061330293E-2</v>
      </c>
      <c r="S116" s="6">
        <f t="shared" si="13"/>
        <v>1.6810273029688204E-2</v>
      </c>
      <c r="T116" s="6">
        <f t="shared" si="14"/>
        <v>3.3185075178993051E-2</v>
      </c>
    </row>
    <row r="117" spans="5:20" x14ac:dyDescent="0.3">
      <c r="E117" s="6">
        <f>LN('Data of Top 7 Stocks'!B116/'Data of Top 7 Stocks'!B115)</f>
        <v>-5.0982814517918404E-2</v>
      </c>
      <c r="F117" s="6">
        <f>LN('Data of Top 7 Stocks'!C116/'Data of Top 7 Stocks'!C115)</f>
        <v>6.1853526959590122E-2</v>
      </c>
      <c r="G117" s="6">
        <f>LN('Data of Top 7 Stocks'!D116/'Data of Top 7 Stocks'!D115)</f>
        <v>-2.2587729532163141E-2</v>
      </c>
      <c r="H117" s="6">
        <f>LN('Data of Top 7 Stocks'!E116/'Data of Top 7 Stocks'!E115)</f>
        <v>-1.2695088861485588E-2</v>
      </c>
      <c r="I117" s="6">
        <f>LN('Data of Top 7 Stocks'!F116/'Data of Top 7 Stocks'!F115)</f>
        <v>-0.14470405953298013</v>
      </c>
      <c r="J117" s="6">
        <f>LN('Data of Top 7 Stocks'!G116/'Data of Top 7 Stocks'!G115)</f>
        <v>-1.6234765598386627E-2</v>
      </c>
      <c r="K117" s="6">
        <f>LN('Data of Top 7 Stocks'!H116/'Data of Top 7 Stocks'!H115)</f>
        <v>7.2402994197698599E-3</v>
      </c>
      <c r="N117" s="6">
        <f t="shared" si="8"/>
        <v>-5.2770832505728338E-2</v>
      </c>
      <c r="O117" s="6">
        <f t="shared" si="9"/>
        <v>5.2024050463145621E-2</v>
      </c>
      <c r="P117" s="6">
        <f t="shared" si="10"/>
        <v>-2.5147083678372869E-2</v>
      </c>
      <c r="Q117" s="6">
        <f t="shared" si="11"/>
        <v>-1.5404437196956694E-2</v>
      </c>
      <c r="R117" s="6">
        <f t="shared" si="12"/>
        <v>-0.14556083734559092</v>
      </c>
      <c r="S117" s="6">
        <f t="shared" si="13"/>
        <v>-1.771440531961626E-2</v>
      </c>
      <c r="T117" s="6">
        <f t="shared" si="14"/>
        <v>3.3747121095739304E-3</v>
      </c>
    </row>
    <row r="118" spans="5:20" x14ac:dyDescent="0.3">
      <c r="E118" s="6">
        <f>LN('Data of Top 7 Stocks'!B117/'Data of Top 7 Stocks'!B116)</f>
        <v>1.1009285508369396E-2</v>
      </c>
      <c r="F118" s="6">
        <f>LN('Data of Top 7 Stocks'!C117/'Data of Top 7 Stocks'!C116)</f>
        <v>3.5353860168739954E-3</v>
      </c>
      <c r="G118" s="6">
        <f>LN('Data of Top 7 Stocks'!D117/'Data of Top 7 Stocks'!D116)</f>
        <v>2.4799481563708568E-2</v>
      </c>
      <c r="H118" s="6">
        <f>LN('Data of Top 7 Stocks'!E117/'Data of Top 7 Stocks'!E116)</f>
        <v>4.1728458972593474E-2</v>
      </c>
      <c r="I118" s="6">
        <f>LN('Data of Top 7 Stocks'!F117/'Data of Top 7 Stocks'!F116)</f>
        <v>-6.9485912890005289E-2</v>
      </c>
      <c r="J118" s="6">
        <f>LN('Data of Top 7 Stocks'!G117/'Data of Top 7 Stocks'!G116)</f>
        <v>-5.3177927873475994E-3</v>
      </c>
      <c r="K118" s="6">
        <f>LN('Data of Top 7 Stocks'!H117/'Data of Top 7 Stocks'!H116)</f>
        <v>-4.4146353230120158E-2</v>
      </c>
      <c r="N118" s="6">
        <f t="shared" si="8"/>
        <v>9.2212675205594619E-3</v>
      </c>
      <c r="O118" s="6">
        <f t="shared" si="9"/>
        <v>-6.2940904795705018E-3</v>
      </c>
      <c r="P118" s="6">
        <f t="shared" si="10"/>
        <v>2.2240127417498839E-2</v>
      </c>
      <c r="Q118" s="6">
        <f t="shared" si="11"/>
        <v>3.9019110637122364E-2</v>
      </c>
      <c r="R118" s="6">
        <f t="shared" si="12"/>
        <v>-7.0342690702616076E-2</v>
      </c>
      <c r="S118" s="6">
        <f t="shared" si="13"/>
        <v>-6.7974325085772315E-3</v>
      </c>
      <c r="T118" s="6">
        <f t="shared" si="14"/>
        <v>-4.8011940540316086E-2</v>
      </c>
    </row>
    <row r="119" spans="5:20" x14ac:dyDescent="0.3">
      <c r="E119" s="6">
        <f>LN('Data of Top 7 Stocks'!B118/'Data of Top 7 Stocks'!B117)</f>
        <v>-1.9715866056017857E-3</v>
      </c>
      <c r="F119" s="6">
        <f>LN('Data of Top 7 Stocks'!C118/'Data of Top 7 Stocks'!C117)</f>
        <v>7.0858161716365428E-2</v>
      </c>
      <c r="G119" s="6">
        <f>LN('Data of Top 7 Stocks'!D118/'Data of Top 7 Stocks'!D117)</f>
        <v>2.9156308265941368E-2</v>
      </c>
      <c r="H119" s="6">
        <f>LN('Data of Top 7 Stocks'!E118/'Data of Top 7 Stocks'!E117)</f>
        <v>6.5719824823501027E-2</v>
      </c>
      <c r="I119" s="6">
        <f>LN('Data of Top 7 Stocks'!F118/'Data of Top 7 Stocks'!F117)</f>
        <v>4.3427876688532131E-2</v>
      </c>
      <c r="J119" s="6">
        <f>LN('Data of Top 7 Stocks'!G118/'Data of Top 7 Stocks'!G117)</f>
        <v>2.5193101206314891E-2</v>
      </c>
      <c r="K119" s="6">
        <f>LN('Data of Top 7 Stocks'!H118/'Data of Top 7 Stocks'!H117)</f>
        <v>5.1295360074324253E-2</v>
      </c>
      <c r="N119" s="6">
        <f t="shared" si="8"/>
        <v>-3.7596045934117197E-3</v>
      </c>
      <c r="O119" s="6">
        <f t="shared" si="9"/>
        <v>6.1028685219920928E-2</v>
      </c>
      <c r="P119" s="6">
        <f t="shared" si="10"/>
        <v>2.659695411973164E-2</v>
      </c>
      <c r="Q119" s="6">
        <f t="shared" si="11"/>
        <v>6.3010476488029918E-2</v>
      </c>
      <c r="R119" s="6">
        <f t="shared" si="12"/>
        <v>4.2571098875921344E-2</v>
      </c>
      <c r="S119" s="6">
        <f t="shared" si="13"/>
        <v>2.3713461485085258E-2</v>
      </c>
      <c r="T119" s="6">
        <f t="shared" si="14"/>
        <v>4.7429772764128325E-2</v>
      </c>
    </row>
    <row r="120" spans="5:20" x14ac:dyDescent="0.3">
      <c r="E120" s="6">
        <f>LN('Data of Top 7 Stocks'!B119/'Data of Top 7 Stocks'!B118)</f>
        <v>-4.6544184561335133E-3</v>
      </c>
      <c r="F120" s="6">
        <f>LN('Data of Top 7 Stocks'!C119/'Data of Top 7 Stocks'!C118)</f>
        <v>-4.2573447877783492E-2</v>
      </c>
      <c r="G120" s="6">
        <f>LN('Data of Top 7 Stocks'!D119/'Data of Top 7 Stocks'!D118)</f>
        <v>-1.8883145311900763E-2</v>
      </c>
      <c r="H120" s="6">
        <f>LN('Data of Top 7 Stocks'!E119/'Data of Top 7 Stocks'!E118)</f>
        <v>1.0606563805097477E-3</v>
      </c>
      <c r="I120" s="6">
        <f>LN('Data of Top 7 Stocks'!F119/'Data of Top 7 Stocks'!F118)</f>
        <v>2.8621190852833298E-2</v>
      </c>
      <c r="J120" s="6">
        <f>LN('Data of Top 7 Stocks'!G119/'Data of Top 7 Stocks'!G118)</f>
        <v>8.4064517324076004E-3</v>
      </c>
      <c r="K120" s="6">
        <f>LN('Data of Top 7 Stocks'!H119/'Data of Top 7 Stocks'!H118)</f>
        <v>-4.8242804284307411E-2</v>
      </c>
      <c r="N120" s="6">
        <f t="shared" si="8"/>
        <v>-6.4424364439434473E-3</v>
      </c>
      <c r="O120" s="6">
        <f t="shared" si="9"/>
        <v>-5.2402924374227985E-2</v>
      </c>
      <c r="P120" s="6">
        <f t="shared" si="10"/>
        <v>-2.1442499458110491E-2</v>
      </c>
      <c r="Q120" s="6">
        <f t="shared" si="11"/>
        <v>-1.6486919549613588E-3</v>
      </c>
      <c r="R120" s="6">
        <f t="shared" si="12"/>
        <v>2.7764413040222508E-2</v>
      </c>
      <c r="S120" s="6">
        <f t="shared" si="13"/>
        <v>6.9268120111779683E-3</v>
      </c>
      <c r="T120" s="6">
        <f t="shared" si="14"/>
        <v>-5.2108391594503339E-2</v>
      </c>
    </row>
    <row r="121" spans="5:20" x14ac:dyDescent="0.3">
      <c r="E121" s="6">
        <f>LN('Data of Top 7 Stocks'!B120/'Data of Top 7 Stocks'!B119)</f>
        <v>-1.1141849853919217E-2</v>
      </c>
      <c r="F121" s="6">
        <f>LN('Data of Top 7 Stocks'!C120/'Data of Top 7 Stocks'!C119)</f>
        <v>-2.6351247214082097E-2</v>
      </c>
      <c r="G121" s="6">
        <f>LN('Data of Top 7 Stocks'!D120/'Data of Top 7 Stocks'!D119)</f>
        <v>1.1344421152973322E-2</v>
      </c>
      <c r="H121" s="6">
        <f>LN('Data of Top 7 Stocks'!E120/'Data of Top 7 Stocks'!E119)</f>
        <v>1.0348442876129316E-2</v>
      </c>
      <c r="I121" s="6">
        <f>LN('Data of Top 7 Stocks'!F120/'Data of Top 7 Stocks'!F119)</f>
        <v>-6.3950871246246321E-2</v>
      </c>
      <c r="J121" s="6">
        <f>LN('Data of Top 7 Stocks'!G120/'Data of Top 7 Stocks'!G119)</f>
        <v>2.5668395152094889E-2</v>
      </c>
      <c r="K121" s="6">
        <f>LN('Data of Top 7 Stocks'!H120/'Data of Top 7 Stocks'!H119)</f>
        <v>8.2501449068943439E-2</v>
      </c>
      <c r="N121" s="6">
        <f t="shared" si="8"/>
        <v>-1.2929867841729151E-2</v>
      </c>
      <c r="O121" s="6">
        <f t="shared" si="9"/>
        <v>-3.6180723710526594E-2</v>
      </c>
      <c r="P121" s="6">
        <f t="shared" si="10"/>
        <v>8.7850670067635955E-3</v>
      </c>
      <c r="Q121" s="6">
        <f t="shared" si="11"/>
        <v>7.63909454065821E-3</v>
      </c>
      <c r="R121" s="6">
        <f t="shared" si="12"/>
        <v>-6.4807649058857109E-2</v>
      </c>
      <c r="S121" s="6">
        <f t="shared" si="13"/>
        <v>2.4188755430865256E-2</v>
      </c>
      <c r="T121" s="6">
        <f t="shared" si="14"/>
        <v>7.8635861758747511E-2</v>
      </c>
    </row>
    <row r="122" spans="5:20" x14ac:dyDescent="0.3">
      <c r="E122" s="6">
        <f>LN('Data of Top 7 Stocks'!B121/'Data of Top 7 Stocks'!B120)</f>
        <v>4.027933049853856E-2</v>
      </c>
      <c r="F122" s="6">
        <f>LN('Data of Top 7 Stocks'!C121/'Data of Top 7 Stocks'!C120)</f>
        <v>2.0431335143689111E-3</v>
      </c>
      <c r="G122" s="6">
        <f>LN('Data of Top 7 Stocks'!D121/'Data of Top 7 Stocks'!D120)</f>
        <v>-8.54363130376911E-3</v>
      </c>
      <c r="H122" s="6">
        <f>LN('Data of Top 7 Stocks'!E121/'Data of Top 7 Stocks'!E120)</f>
        <v>3.3720114451916236E-2</v>
      </c>
      <c r="I122" s="6">
        <f>LN('Data of Top 7 Stocks'!F121/'Data of Top 7 Stocks'!F120)</f>
        <v>3.6616681858060551E-2</v>
      </c>
      <c r="J122" s="6">
        <f>LN('Data of Top 7 Stocks'!G121/'Data of Top 7 Stocks'!G120)</f>
        <v>5.711222420584864E-3</v>
      </c>
      <c r="K122" s="6">
        <f>LN('Data of Top 7 Stocks'!H121/'Data of Top 7 Stocks'!H120)</f>
        <v>-2.9716208341071429E-2</v>
      </c>
      <c r="N122" s="6">
        <f t="shared" si="8"/>
        <v>3.8491312510728626E-2</v>
      </c>
      <c r="O122" s="6">
        <f t="shared" si="9"/>
        <v>-7.7863429820755857E-3</v>
      </c>
      <c r="P122" s="6">
        <f t="shared" si="10"/>
        <v>-1.1102985449978836E-2</v>
      </c>
      <c r="Q122" s="6">
        <f t="shared" si="11"/>
        <v>3.101076611644513E-2</v>
      </c>
      <c r="R122" s="6">
        <f t="shared" si="12"/>
        <v>3.5759904045449764E-2</v>
      </c>
      <c r="S122" s="6">
        <f t="shared" si="13"/>
        <v>4.2315826993552319E-3</v>
      </c>
      <c r="T122" s="6">
        <f t="shared" si="14"/>
        <v>-3.3581795651267357E-2</v>
      </c>
    </row>
    <row r="123" spans="5:20" x14ac:dyDescent="0.3">
      <c r="E123" s="6">
        <f>LN('Data of Top 7 Stocks'!B122/'Data of Top 7 Stocks'!B121)</f>
        <v>-6.7658648473814809E-2</v>
      </c>
      <c r="F123" s="6">
        <f>LN('Data of Top 7 Stocks'!C122/'Data of Top 7 Stocks'!C121)</f>
        <v>-0.14613211520748876</v>
      </c>
      <c r="G123" s="6">
        <f>LN('Data of Top 7 Stocks'!D122/'Data of Top 7 Stocks'!D121)</f>
        <v>-5.5506195577511006E-2</v>
      </c>
      <c r="H123" s="6">
        <f>LN('Data of Top 7 Stocks'!E122/'Data of Top 7 Stocks'!E121)</f>
        <v>-2.3347863205620559E-2</v>
      </c>
      <c r="I123" s="6">
        <f>LN('Data of Top 7 Stocks'!F122/'Data of Top 7 Stocks'!F121)</f>
        <v>-0.15118324642360967</v>
      </c>
      <c r="J123" s="6">
        <f>LN('Data of Top 7 Stocks'!G122/'Data of Top 7 Stocks'!G121)</f>
        <v>-6.3775904358487887E-2</v>
      </c>
      <c r="K123" s="6">
        <f>LN('Data of Top 7 Stocks'!H122/'Data of Top 7 Stocks'!H121)</f>
        <v>-6.2116503800730548E-2</v>
      </c>
      <c r="N123" s="6">
        <f t="shared" si="8"/>
        <v>-6.9446666461624743E-2</v>
      </c>
      <c r="O123" s="6">
        <f t="shared" si="9"/>
        <v>-0.15596159170393326</v>
      </c>
      <c r="P123" s="6">
        <f t="shared" si="10"/>
        <v>-5.806554972372073E-2</v>
      </c>
      <c r="Q123" s="6">
        <f t="shared" si="11"/>
        <v>-2.6057211541091665E-2</v>
      </c>
      <c r="R123" s="6">
        <f t="shared" si="12"/>
        <v>-0.15204002423622046</v>
      </c>
      <c r="S123" s="6">
        <f t="shared" si="13"/>
        <v>-6.5255544079717523E-2</v>
      </c>
      <c r="T123" s="6">
        <f t="shared" si="14"/>
        <v>-6.5982091110926483E-2</v>
      </c>
    </row>
    <row r="124" spans="5:20" x14ac:dyDescent="0.3">
      <c r="E124" s="6">
        <f>LN('Data of Top 7 Stocks'!B123/'Data of Top 7 Stocks'!B122)</f>
        <v>2.5726815238509077E-2</v>
      </c>
      <c r="F124" s="6">
        <f>LN('Data of Top 7 Stocks'!C123/'Data of Top 7 Stocks'!C122)</f>
        <v>0.14101643304546724</v>
      </c>
      <c r="G124" s="6">
        <f>LN('Data of Top 7 Stocks'!D123/'Data of Top 7 Stocks'!D122)</f>
        <v>1.7878902940207546E-2</v>
      </c>
      <c r="H124" s="6">
        <f>LN('Data of Top 7 Stocks'!E123/'Data of Top 7 Stocks'!E122)</f>
        <v>0.10966688958451309</v>
      </c>
      <c r="I124" s="6">
        <f>LN('Data of Top 7 Stocks'!F123/'Data of Top 7 Stocks'!F122)</f>
        <v>0.13491601672497774</v>
      </c>
      <c r="J124" s="6">
        <f>LN('Data of Top 7 Stocks'!G123/'Data of Top 7 Stocks'!G122)</f>
        <v>2.8174058291049908E-2</v>
      </c>
      <c r="K124" s="6">
        <f>LN('Data of Top 7 Stocks'!H123/'Data of Top 7 Stocks'!H122)</f>
        <v>-8.1788606253310775E-2</v>
      </c>
      <c r="N124" s="6">
        <f t="shared" si="8"/>
        <v>2.3938797250699143E-2</v>
      </c>
      <c r="O124" s="6">
        <f t="shared" si="9"/>
        <v>0.13118695654902274</v>
      </c>
      <c r="P124" s="6">
        <f t="shared" si="10"/>
        <v>1.5319548793997819E-2</v>
      </c>
      <c r="Q124" s="6">
        <f t="shared" si="11"/>
        <v>0.10695754124904198</v>
      </c>
      <c r="R124" s="6">
        <f t="shared" si="12"/>
        <v>0.13405923891236696</v>
      </c>
      <c r="S124" s="6">
        <f t="shared" si="13"/>
        <v>2.6694418569820275E-2</v>
      </c>
      <c r="T124" s="6">
        <f t="shared" si="14"/>
        <v>-8.5654193563506703E-2</v>
      </c>
    </row>
    <row r="125" spans="5:20" x14ac:dyDescent="0.3">
      <c r="E125" s="6">
        <f>LN('Data of Top 7 Stocks'!B124/'Data of Top 7 Stocks'!B123)</f>
        <v>7.9888213482665074E-2</v>
      </c>
      <c r="F125" s="6">
        <f>LN('Data of Top 7 Stocks'!C124/'Data of Top 7 Stocks'!C123)</f>
        <v>1.1896135306167751E-2</v>
      </c>
      <c r="G125" s="6">
        <f>LN('Data of Top 7 Stocks'!D124/'Data of Top 7 Stocks'!D123)</f>
        <v>8.3642898920621776E-4</v>
      </c>
      <c r="H125" s="6">
        <f>LN('Data of Top 7 Stocks'!E124/'Data of Top 7 Stocks'!E123)</f>
        <v>-2.7773830389910867E-2</v>
      </c>
      <c r="I125" s="6">
        <f>LN('Data of Top 7 Stocks'!F124/'Data of Top 7 Stocks'!F123)</f>
        <v>7.3857522723034294E-2</v>
      </c>
      <c r="J125" s="6">
        <f>LN('Data of Top 7 Stocks'!G124/'Data of Top 7 Stocks'!G123)</f>
        <v>3.6031560850867478E-2</v>
      </c>
      <c r="K125" s="6">
        <f>LN('Data of Top 7 Stocks'!H124/'Data of Top 7 Stocks'!H123)</f>
        <v>1.9369496931549331E-2</v>
      </c>
      <c r="N125" s="6">
        <f t="shared" si="8"/>
        <v>7.810019549485514E-2</v>
      </c>
      <c r="O125" s="6">
        <f t="shared" si="9"/>
        <v>2.0666588097232545E-3</v>
      </c>
      <c r="P125" s="6">
        <f t="shared" si="10"/>
        <v>-1.7229251570035091E-3</v>
      </c>
      <c r="Q125" s="6">
        <f t="shared" si="11"/>
        <v>-3.0483178725381973E-2</v>
      </c>
      <c r="R125" s="6">
        <f t="shared" si="12"/>
        <v>7.3000744910423507E-2</v>
      </c>
      <c r="S125" s="6">
        <f t="shared" si="13"/>
        <v>3.4551921129637848E-2</v>
      </c>
      <c r="T125" s="6">
        <f t="shared" si="14"/>
        <v>1.5503909621353401E-2</v>
      </c>
    </row>
    <row r="126" spans="5:20" x14ac:dyDescent="0.3">
      <c r="E126" s="6">
        <f>LN('Data of Top 7 Stocks'!B125/'Data of Top 7 Stocks'!B124)</f>
        <v>-1.8011630555094299E-3</v>
      </c>
      <c r="F126" s="6">
        <f>LN('Data of Top 7 Stocks'!C125/'Data of Top 7 Stocks'!C124)</f>
        <v>1.2201416272892873E-2</v>
      </c>
      <c r="G126" s="6">
        <f>LN('Data of Top 7 Stocks'!D125/'Data of Top 7 Stocks'!D124)</f>
        <v>1.9674362387498746E-2</v>
      </c>
      <c r="H126" s="6">
        <f>LN('Data of Top 7 Stocks'!E125/'Data of Top 7 Stocks'!E124)</f>
        <v>8.3956550192949182E-3</v>
      </c>
      <c r="I126" s="6">
        <f>LN('Data of Top 7 Stocks'!F125/'Data of Top 7 Stocks'!F124)</f>
        <v>-7.278851204990347E-2</v>
      </c>
      <c r="J126" s="6">
        <f>LN('Data of Top 7 Stocks'!G125/'Data of Top 7 Stocks'!G124)</f>
        <v>6.7971039608342694E-3</v>
      </c>
      <c r="K126" s="6">
        <f>LN('Data of Top 7 Stocks'!H125/'Data of Top 7 Stocks'!H124)</f>
        <v>5.2244253711716974E-2</v>
      </c>
      <c r="N126" s="6">
        <f t="shared" si="8"/>
        <v>-3.5891810433193636E-3</v>
      </c>
      <c r="O126" s="6">
        <f t="shared" si="9"/>
        <v>2.3719397764483761E-3</v>
      </c>
      <c r="P126" s="6">
        <f t="shared" si="10"/>
        <v>1.7115008241289018E-2</v>
      </c>
      <c r="Q126" s="6">
        <f t="shared" si="11"/>
        <v>5.6863066838238122E-3</v>
      </c>
      <c r="R126" s="6">
        <f t="shared" si="12"/>
        <v>-7.3645289862514257E-2</v>
      </c>
      <c r="S126" s="6">
        <f t="shared" si="13"/>
        <v>5.3174642396046374E-3</v>
      </c>
      <c r="T126" s="6">
        <f t="shared" si="14"/>
        <v>4.8378666401521046E-2</v>
      </c>
    </row>
    <row r="127" spans="5:20" x14ac:dyDescent="0.3">
      <c r="E127" s="6">
        <f>LN('Data of Top 7 Stocks'!B126/'Data of Top 7 Stocks'!B125)</f>
        <v>3.6580287889078397E-2</v>
      </c>
      <c r="F127" s="6">
        <f>LN('Data of Top 7 Stocks'!C126/'Data of Top 7 Stocks'!C125)</f>
        <v>2.8516957606938967E-2</v>
      </c>
      <c r="G127" s="6">
        <f>LN('Data of Top 7 Stocks'!D126/'Data of Top 7 Stocks'!D125)</f>
        <v>1.3102768449370703E-2</v>
      </c>
      <c r="H127" s="6">
        <f>LN('Data of Top 7 Stocks'!E126/'Data of Top 7 Stocks'!E125)</f>
        <v>4.2999284525100746E-2</v>
      </c>
      <c r="I127" s="6">
        <f>LN('Data of Top 7 Stocks'!F126/'Data of Top 7 Stocks'!F125)</f>
        <v>5.1987539009079139E-2</v>
      </c>
      <c r="J127" s="6">
        <f>LN('Data of Top 7 Stocks'!G126/'Data of Top 7 Stocks'!G125)</f>
        <v>-1.493928584931113E-2</v>
      </c>
      <c r="K127" s="6">
        <f>LN('Data of Top 7 Stocks'!H126/'Data of Top 7 Stocks'!H125)</f>
        <v>-9.049644614663262E-3</v>
      </c>
      <c r="N127" s="6">
        <f t="shared" si="8"/>
        <v>3.4792269901268463E-2</v>
      </c>
      <c r="O127" s="6">
        <f t="shared" si="9"/>
        <v>1.868748111049447E-2</v>
      </c>
      <c r="P127" s="6">
        <f t="shared" si="10"/>
        <v>1.0543414303160976E-2</v>
      </c>
      <c r="Q127" s="6">
        <f t="shared" si="11"/>
        <v>4.0289936189629637E-2</v>
      </c>
      <c r="R127" s="6">
        <f t="shared" si="12"/>
        <v>5.1130761196468352E-2</v>
      </c>
      <c r="S127" s="6">
        <f t="shared" si="13"/>
        <v>-1.6418925570540761E-2</v>
      </c>
      <c r="T127" s="6">
        <f t="shared" si="14"/>
        <v>-1.2915231924859192E-2</v>
      </c>
    </row>
    <row r="128" spans="5:20" x14ac:dyDescent="0.3">
      <c r="E128" s="6">
        <f>LN('Data of Top 7 Stocks'!B127/'Data of Top 7 Stocks'!B126)</f>
        <v>5.7917600671257921E-4</v>
      </c>
      <c r="F128" s="6">
        <f>LN('Data of Top 7 Stocks'!C127/'Data of Top 7 Stocks'!C126)</f>
        <v>0.14087085040244743</v>
      </c>
      <c r="G128" s="6">
        <f>LN('Data of Top 7 Stocks'!D127/'Data of Top 7 Stocks'!D126)</f>
        <v>2.3402646182357739E-2</v>
      </c>
      <c r="H128" s="6">
        <f>LN('Data of Top 7 Stocks'!E127/'Data of Top 7 Stocks'!E126)</f>
        <v>-6.0960165991040391E-3</v>
      </c>
      <c r="I128" s="6">
        <f>LN('Data of Top 7 Stocks'!F127/'Data of Top 7 Stocks'!F126)</f>
        <v>9.9804585107504656E-3</v>
      </c>
      <c r="J128" s="6">
        <f>LN('Data of Top 7 Stocks'!G127/'Data of Top 7 Stocks'!G126)</f>
        <v>-2.1618026166320158E-2</v>
      </c>
      <c r="K128" s="6">
        <f>LN('Data of Top 7 Stocks'!H127/'Data of Top 7 Stocks'!H126)</f>
        <v>1.3282588216356563E-2</v>
      </c>
      <c r="N128" s="6">
        <f t="shared" si="8"/>
        <v>-1.2088419810973544E-3</v>
      </c>
      <c r="O128" s="6">
        <f t="shared" si="9"/>
        <v>0.13104137390600293</v>
      </c>
      <c r="P128" s="6">
        <f t="shared" si="10"/>
        <v>2.0843292036148011E-2</v>
      </c>
      <c r="Q128" s="6">
        <f t="shared" si="11"/>
        <v>-8.805364934575146E-3</v>
      </c>
      <c r="R128" s="6">
        <f t="shared" si="12"/>
        <v>9.1236806981396766E-3</v>
      </c>
      <c r="S128" s="6">
        <f t="shared" si="13"/>
        <v>-2.309766588754979E-2</v>
      </c>
      <c r="T128" s="6">
        <f t="shared" si="14"/>
        <v>9.4170009061606327E-3</v>
      </c>
    </row>
    <row r="129" spans="5:20" x14ac:dyDescent="0.3">
      <c r="E129" s="6">
        <f>LN('Data of Top 7 Stocks'!B128/'Data of Top 7 Stocks'!B127)</f>
        <v>1.1877804923716925E-2</v>
      </c>
      <c r="F129" s="6">
        <f>LN('Data of Top 7 Stocks'!C128/'Data of Top 7 Stocks'!C127)</f>
        <v>2.9247804359933877E-2</v>
      </c>
      <c r="G129" s="6">
        <f>LN('Data of Top 7 Stocks'!D128/'Data of Top 7 Stocks'!D127)</f>
        <v>-3.5565508312157212E-2</v>
      </c>
      <c r="H129" s="6">
        <f>LN('Data of Top 7 Stocks'!E128/'Data of Top 7 Stocks'!E127)</f>
        <v>-1.433159296224149E-2</v>
      </c>
      <c r="I129" s="6">
        <f>LN('Data of Top 7 Stocks'!F128/'Data of Top 7 Stocks'!F127)</f>
        <v>-6.492802390707565E-3</v>
      </c>
      <c r="J129" s="6">
        <f>LN('Data of Top 7 Stocks'!G128/'Data of Top 7 Stocks'!G127)</f>
        <v>-2.4133985802135136E-2</v>
      </c>
      <c r="K129" s="6">
        <f>LN('Data of Top 7 Stocks'!H128/'Data of Top 7 Stocks'!H127)</f>
        <v>-2.4105711954927507E-2</v>
      </c>
      <c r="N129" s="6">
        <f t="shared" si="8"/>
        <v>1.0089786935906991E-2</v>
      </c>
      <c r="O129" s="6">
        <f t="shared" si="9"/>
        <v>1.941832786348938E-2</v>
      </c>
      <c r="P129" s="6">
        <f t="shared" si="10"/>
        <v>-3.8124862458366937E-2</v>
      </c>
      <c r="Q129" s="6">
        <f t="shared" si="11"/>
        <v>-1.7040941297712598E-2</v>
      </c>
      <c r="R129" s="6">
        <f t="shared" si="12"/>
        <v>-7.3495802033183549E-3</v>
      </c>
      <c r="S129" s="6">
        <f t="shared" si="13"/>
        <v>-2.5613625523364769E-2</v>
      </c>
      <c r="T129" s="6">
        <f t="shared" si="14"/>
        <v>-2.7971299265123435E-2</v>
      </c>
    </row>
    <row r="130" spans="5:20" x14ac:dyDescent="0.3">
      <c r="E130" s="6">
        <f>LN('Data of Top 7 Stocks'!B129/'Data of Top 7 Stocks'!B128)</f>
        <v>2.3848588767987604E-2</v>
      </c>
      <c r="F130" s="6">
        <f>LN('Data of Top 7 Stocks'!C129/'Data of Top 7 Stocks'!C128)</f>
        <v>9.7769981527452005E-2</v>
      </c>
      <c r="G130" s="6">
        <f>LN('Data of Top 7 Stocks'!D129/'Data of Top 7 Stocks'!D128)</f>
        <v>2.0787894865149141E-2</v>
      </c>
      <c r="H130" s="6">
        <f>LN('Data of Top 7 Stocks'!E129/'Data of Top 7 Stocks'!E128)</f>
        <v>1.1298252533658121E-2</v>
      </c>
      <c r="I130" s="6">
        <f>LN('Data of Top 7 Stocks'!F129/'Data of Top 7 Stocks'!F128)</f>
        <v>-3.3749610165260458E-3</v>
      </c>
      <c r="J130" s="6">
        <f>LN('Data of Top 7 Stocks'!G129/'Data of Top 7 Stocks'!G128)</f>
        <v>4.3583989439038649E-2</v>
      </c>
      <c r="K130" s="6">
        <f>LN('Data of Top 7 Stocks'!H129/'Data of Top 7 Stocks'!H128)</f>
        <v>5.4462869148829529E-2</v>
      </c>
      <c r="N130" s="6">
        <f t="shared" si="8"/>
        <v>2.2060570780177671E-2</v>
      </c>
      <c r="O130" s="6">
        <f t="shared" si="9"/>
        <v>8.7940505031007504E-2</v>
      </c>
      <c r="P130" s="6">
        <f t="shared" si="10"/>
        <v>1.8228540718939413E-2</v>
      </c>
      <c r="Q130" s="6">
        <f t="shared" si="11"/>
        <v>8.588904198187015E-3</v>
      </c>
      <c r="R130" s="6">
        <f t="shared" si="12"/>
        <v>-4.2317388291368352E-3</v>
      </c>
      <c r="S130" s="6">
        <f t="shared" si="13"/>
        <v>4.210434971780902E-2</v>
      </c>
      <c r="T130" s="6">
        <f t="shared" si="14"/>
        <v>5.0597281838633601E-2</v>
      </c>
    </row>
    <row r="131" spans="5:20" x14ac:dyDescent="0.3">
      <c r="E131" s="6">
        <f>LN('Data of Top 7 Stocks'!B130/'Data of Top 7 Stocks'!B129)</f>
        <v>7.6249731279899882E-2</v>
      </c>
      <c r="F131" s="6">
        <f>LN('Data of Top 7 Stocks'!C130/'Data of Top 7 Stocks'!C129)</f>
        <v>8.7011376989629699E-2</v>
      </c>
      <c r="G131" s="6">
        <f>LN('Data of Top 7 Stocks'!D130/'Data of Top 7 Stocks'!D129)</f>
        <v>4.3219024972915687E-2</v>
      </c>
      <c r="H131" s="6">
        <f>LN('Data of Top 7 Stocks'!E130/'Data of Top 7 Stocks'!E129)</f>
        <v>1.3267098512859041E-2</v>
      </c>
      <c r="I131" s="6">
        <f>LN('Data of Top 7 Stocks'!F130/'Data of Top 7 Stocks'!F129)</f>
        <v>2.9818019786327986E-3</v>
      </c>
      <c r="J131" s="6">
        <f>LN('Data of Top 7 Stocks'!G130/'Data of Top 7 Stocks'!G129)</f>
        <v>-3.4786424904015706E-3</v>
      </c>
      <c r="K131" s="6">
        <f>LN('Data of Top 7 Stocks'!H130/'Data of Top 7 Stocks'!H129)</f>
        <v>2.2465643160606848E-2</v>
      </c>
      <c r="N131" s="6">
        <f t="shared" si="8"/>
        <v>7.4461713292089948E-2</v>
      </c>
      <c r="O131" s="6">
        <f t="shared" si="9"/>
        <v>7.7181900493185199E-2</v>
      </c>
      <c r="P131" s="6">
        <f t="shared" si="10"/>
        <v>4.0659670826705963E-2</v>
      </c>
      <c r="Q131" s="6">
        <f t="shared" si="11"/>
        <v>1.0557750177387935E-2</v>
      </c>
      <c r="R131" s="6">
        <f t="shared" si="12"/>
        <v>2.1250241660220092E-3</v>
      </c>
      <c r="S131" s="6">
        <f t="shared" si="13"/>
        <v>-4.9582822116312026E-3</v>
      </c>
      <c r="T131" s="6">
        <f t="shared" si="14"/>
        <v>1.860005585041092E-2</v>
      </c>
    </row>
    <row r="132" spans="5:20" x14ac:dyDescent="0.3">
      <c r="E132" s="6">
        <f>LN('Data of Top 7 Stocks'!B131/'Data of Top 7 Stocks'!B130)</f>
        <v>-2.3811782695281197E-2</v>
      </c>
      <c r="F132" s="6">
        <f>LN('Data of Top 7 Stocks'!C131/'Data of Top 7 Stocks'!C130)</f>
        <v>-4.1096903399173275E-2</v>
      </c>
      <c r="G132" s="6">
        <f>LN('Data of Top 7 Stocks'!D131/'Data of Top 7 Stocks'!D130)</f>
        <v>1.6159930303008909E-2</v>
      </c>
      <c r="H132" s="6">
        <f>LN('Data of Top 7 Stocks'!E131/'Data of Top 7 Stocks'!E130)</f>
        <v>1.5936592262812597E-2</v>
      </c>
      <c r="I132" s="6">
        <f>LN('Data of Top 7 Stocks'!F131/'Data of Top 7 Stocks'!F130)</f>
        <v>2.7701067667849386E-2</v>
      </c>
      <c r="J132" s="6">
        <f>LN('Data of Top 7 Stocks'!G131/'Data of Top 7 Stocks'!G130)</f>
        <v>2.9083983739659525E-2</v>
      </c>
      <c r="K132" s="6">
        <f>LN('Data of Top 7 Stocks'!H131/'Data of Top 7 Stocks'!H130)</f>
        <v>-1.8780458679424426E-2</v>
      </c>
      <c r="N132" s="6">
        <f t="shared" si="8"/>
        <v>-2.5599800683091131E-2</v>
      </c>
      <c r="O132" s="6">
        <f t="shared" si="9"/>
        <v>-5.0926379895617768E-2</v>
      </c>
      <c r="P132" s="6">
        <f t="shared" si="10"/>
        <v>1.3600576156799183E-2</v>
      </c>
      <c r="Q132" s="6">
        <f t="shared" si="11"/>
        <v>1.3227243927341491E-2</v>
      </c>
      <c r="R132" s="6">
        <f t="shared" si="12"/>
        <v>2.6844289855238596E-2</v>
      </c>
      <c r="S132" s="6">
        <f t="shared" si="13"/>
        <v>2.7604344018429892E-2</v>
      </c>
      <c r="T132" s="6">
        <f t="shared" si="14"/>
        <v>-2.2646045989620354E-2</v>
      </c>
    </row>
    <row r="133" spans="5:20" x14ac:dyDescent="0.3">
      <c r="E133" s="6">
        <f>LN('Data of Top 7 Stocks'!B132/'Data of Top 7 Stocks'!B131)</f>
        <v>1.4972416214091323E-2</v>
      </c>
      <c r="F133" s="6">
        <f>LN('Data of Top 7 Stocks'!C132/'Data of Top 7 Stocks'!C131)</f>
        <v>-2.4230524536603817E-2</v>
      </c>
      <c r="G133" s="6">
        <f>LN('Data of Top 7 Stocks'!D132/'Data of Top 7 Stocks'!D131)</f>
        <v>-6.3118427964776692E-3</v>
      </c>
      <c r="H133" s="6">
        <f>LN('Data of Top 7 Stocks'!E132/'Data of Top 7 Stocks'!E131)</f>
        <v>1.3931343673828605E-2</v>
      </c>
      <c r="I133" s="6">
        <f>LN('Data of Top 7 Stocks'!F132/'Data of Top 7 Stocks'!F131)</f>
        <v>7.8119990202316927E-2</v>
      </c>
      <c r="J133" s="6">
        <f>LN('Data of Top 7 Stocks'!G132/'Data of Top 7 Stocks'!G131)</f>
        <v>2.1814481542495594E-2</v>
      </c>
      <c r="K133" s="6">
        <f>LN('Data of Top 7 Stocks'!H132/'Data of Top 7 Stocks'!H131)</f>
        <v>1.8899461436462012E-2</v>
      </c>
      <c r="N133" s="6">
        <f t="shared" si="8"/>
        <v>1.3184398226281389E-2</v>
      </c>
      <c r="O133" s="6">
        <f t="shared" si="9"/>
        <v>-3.4060001033048314E-2</v>
      </c>
      <c r="P133" s="6">
        <f t="shared" si="10"/>
        <v>-8.8711969426873965E-3</v>
      </c>
      <c r="Q133" s="6">
        <f t="shared" si="11"/>
        <v>1.1221995338357499E-2</v>
      </c>
      <c r="R133" s="6">
        <f t="shared" si="12"/>
        <v>7.726321238970614E-2</v>
      </c>
      <c r="S133" s="6">
        <f t="shared" si="13"/>
        <v>2.0334841821265961E-2</v>
      </c>
      <c r="T133" s="6">
        <f t="shared" si="14"/>
        <v>1.5033874126266082E-2</v>
      </c>
    </row>
    <row r="134" spans="5:20" x14ac:dyDescent="0.3">
      <c r="E134" s="6">
        <f>LN('Data of Top 7 Stocks'!B133/'Data of Top 7 Stocks'!B132)</f>
        <v>7.1982731585344503E-2</v>
      </c>
      <c r="F134" s="6">
        <f>LN('Data of Top 7 Stocks'!C133/'Data of Top 7 Stocks'!C132)</f>
        <v>1.8366799336123323E-2</v>
      </c>
      <c r="G134" s="6">
        <f>LN('Data of Top 7 Stocks'!D133/'Data of Top 7 Stocks'!D132)</f>
        <v>4.5080951205708E-2</v>
      </c>
      <c r="H134" s="6">
        <f>LN('Data of Top 7 Stocks'!E133/'Data of Top 7 Stocks'!E132)</f>
        <v>4.5346467765528829E-2</v>
      </c>
      <c r="I134" s="6">
        <f>LN('Data of Top 7 Stocks'!F133/'Data of Top 7 Stocks'!F132)</f>
        <v>0.23986172288133401</v>
      </c>
      <c r="J134" s="6">
        <f>LN('Data of Top 7 Stocks'!G133/'Data of Top 7 Stocks'!G132)</f>
        <v>3.4332679080505357E-2</v>
      </c>
      <c r="K134" s="6">
        <f>LN('Data of Top 7 Stocks'!H133/'Data of Top 7 Stocks'!H132)</f>
        <v>6.8389778235218912E-2</v>
      </c>
      <c r="N134" s="6">
        <f t="shared" si="8"/>
        <v>7.0194713597534569E-2</v>
      </c>
      <c r="O134" s="6">
        <f t="shared" si="9"/>
        <v>8.5373228396788264E-3</v>
      </c>
      <c r="P134" s="6">
        <f t="shared" si="10"/>
        <v>4.2521597059498276E-2</v>
      </c>
      <c r="Q134" s="6">
        <f t="shared" si="11"/>
        <v>4.263711943005772E-2</v>
      </c>
      <c r="R134" s="6">
        <f t="shared" si="12"/>
        <v>0.23900494506872322</v>
      </c>
      <c r="S134" s="6">
        <f t="shared" si="13"/>
        <v>3.2853039359275728E-2</v>
      </c>
      <c r="T134" s="6">
        <f t="shared" si="14"/>
        <v>6.4524190925022984E-2</v>
      </c>
    </row>
    <row r="135" spans="5:20" x14ac:dyDescent="0.3">
      <c r="E135" s="6">
        <f>LN('Data of Top 7 Stocks'!B134/'Data of Top 7 Stocks'!B133)</f>
        <v>1.8386089635070942E-2</v>
      </c>
      <c r="F135" s="6">
        <f>LN('Data of Top 7 Stocks'!C134/'Data of Top 7 Stocks'!C133)</f>
        <v>2.6739351352421142E-2</v>
      </c>
      <c r="G135" s="6">
        <f>LN('Data of Top 7 Stocks'!D134/'Data of Top 7 Stocks'!D133)</f>
        <v>-3.0422165678616418E-2</v>
      </c>
      <c r="H135" s="6">
        <f>LN('Data of Top 7 Stocks'!E134/'Data of Top 7 Stocks'!E133)</f>
        <v>-2.944285933044483E-2</v>
      </c>
      <c r="I135" s="6">
        <f>LN('Data of Top 7 Stocks'!F134/'Data of Top 7 Stocks'!F133)</f>
        <v>-1.3166773508642359E-2</v>
      </c>
      <c r="J135" s="6">
        <f>LN('Data of Top 7 Stocks'!G134/'Data of Top 7 Stocks'!G133)</f>
        <v>-2.793661869302265E-2</v>
      </c>
      <c r="K135" s="6">
        <f>LN('Data of Top 7 Stocks'!H134/'Data of Top 7 Stocks'!H133)</f>
        <v>-7.9056918233288337E-2</v>
      </c>
      <c r="N135" s="6">
        <f t="shared" ref="N135:N197" si="15">E135-E$203</f>
        <v>1.6598071647261008E-2</v>
      </c>
      <c r="O135" s="6">
        <f t="shared" ref="O135:O198" si="16">F135-F$203</f>
        <v>1.6909874855976646E-2</v>
      </c>
      <c r="P135" s="6">
        <f t="shared" ref="P135:P198" si="17">G135-G$203</f>
        <v>-3.2981519824826146E-2</v>
      </c>
      <c r="Q135" s="6">
        <f t="shared" ref="Q135:Q198" si="18">H135-H$203</f>
        <v>-3.2152207665915936E-2</v>
      </c>
      <c r="R135" s="6">
        <f t="shared" ref="R135:R198" si="19">I135-I$203</f>
        <v>-1.4023551321253148E-2</v>
      </c>
      <c r="S135" s="6">
        <f t="shared" ref="S135:S198" si="20">J135-J$203</f>
        <v>-2.9416258414252282E-2</v>
      </c>
      <c r="T135" s="6">
        <f t="shared" ref="T135:T198" si="21">K135-K$203</f>
        <v>-8.2922505543484265E-2</v>
      </c>
    </row>
    <row r="136" spans="5:20" x14ac:dyDescent="0.3">
      <c r="E136" s="6">
        <f>LN('Data of Top 7 Stocks'!B135/'Data of Top 7 Stocks'!B134)</f>
        <v>-2.7395359492932557E-2</v>
      </c>
      <c r="F136" s="6">
        <f>LN('Data of Top 7 Stocks'!C135/'Data of Top 7 Stocks'!C134)</f>
        <v>-9.1579912854418827E-2</v>
      </c>
      <c r="G136" s="6">
        <f>LN('Data of Top 7 Stocks'!D135/'Data of Top 7 Stocks'!D134)</f>
        <v>-3.6920637393442597E-2</v>
      </c>
      <c r="H136" s="6">
        <f>LN('Data of Top 7 Stocks'!E135/'Data of Top 7 Stocks'!E134)</f>
        <v>-4.0862520548102028E-2</v>
      </c>
      <c r="I136" s="6">
        <f>LN('Data of Top 7 Stocks'!F135/'Data of Top 7 Stocks'!F134)</f>
        <v>-3.705571365572273E-2</v>
      </c>
      <c r="J136" s="6">
        <f>LN('Data of Top 7 Stocks'!G135/'Data of Top 7 Stocks'!G134)</f>
        <v>-6.018446470215677E-2</v>
      </c>
      <c r="K136" s="6">
        <f>LN('Data of Top 7 Stocks'!H135/'Data of Top 7 Stocks'!H134)</f>
        <v>-4.5269398391094742E-2</v>
      </c>
      <c r="N136" s="6">
        <f t="shared" si="15"/>
        <v>-2.9183377480742491E-2</v>
      </c>
      <c r="O136" s="6">
        <f t="shared" si="16"/>
        <v>-0.10140938935086333</v>
      </c>
      <c r="P136" s="6">
        <f t="shared" si="17"/>
        <v>-3.9479991539652322E-2</v>
      </c>
      <c r="Q136" s="6">
        <f t="shared" si="18"/>
        <v>-4.3571868883573138E-2</v>
      </c>
      <c r="R136" s="6">
        <f t="shared" si="19"/>
        <v>-3.7912491468333517E-2</v>
      </c>
      <c r="S136" s="6">
        <f t="shared" si="20"/>
        <v>-6.16641044233864E-2</v>
      </c>
      <c r="T136" s="6">
        <f t="shared" si="21"/>
        <v>-4.913498570129067E-2</v>
      </c>
    </row>
    <row r="137" spans="5:20" x14ac:dyDescent="0.3">
      <c r="E137" s="6">
        <f>LN('Data of Top 7 Stocks'!B136/'Data of Top 7 Stocks'!B135)</f>
        <v>-2.8717463965036286E-2</v>
      </c>
      <c r="F137" s="6">
        <f>LN('Data of Top 7 Stocks'!C136/'Data of Top 7 Stocks'!C135)</f>
        <v>-4.2172576854733891E-2</v>
      </c>
      <c r="G137" s="6">
        <f>LN('Data of Top 7 Stocks'!D136/'Data of Top 7 Stocks'!D135)</f>
        <v>-2.7460618339327472E-2</v>
      </c>
      <c r="H137" s="6">
        <f>LN('Data of Top 7 Stocks'!E136/'Data of Top 7 Stocks'!E135)</f>
        <v>-6.1877798924799811E-2</v>
      </c>
      <c r="I137" s="6">
        <f>LN('Data of Top 7 Stocks'!F136/'Data of Top 7 Stocks'!F135)</f>
        <v>-8.458198010695557E-2</v>
      </c>
      <c r="J137" s="6">
        <f>LN('Data of Top 7 Stocks'!G136/'Data of Top 7 Stocks'!G135)</f>
        <v>-3.4461101303110229E-3</v>
      </c>
      <c r="K137" s="6">
        <f>LN('Data of Top 7 Stocks'!H136/'Data of Top 7 Stocks'!H135)</f>
        <v>-2.3534492388506422E-2</v>
      </c>
      <c r="N137" s="6">
        <f t="shared" si="15"/>
        <v>-3.050548195284622E-2</v>
      </c>
      <c r="O137" s="6">
        <f t="shared" si="16"/>
        <v>-5.2002053351178384E-2</v>
      </c>
      <c r="P137" s="6">
        <f t="shared" si="17"/>
        <v>-3.00199724855372E-2</v>
      </c>
      <c r="Q137" s="6">
        <f t="shared" si="18"/>
        <v>-6.4587147260270913E-2</v>
      </c>
      <c r="R137" s="6">
        <f t="shared" si="19"/>
        <v>-8.5438757919566358E-2</v>
      </c>
      <c r="S137" s="6">
        <f t="shared" si="20"/>
        <v>-4.9257498515406549E-3</v>
      </c>
      <c r="T137" s="6">
        <f t="shared" si="21"/>
        <v>-2.740007969870235E-2</v>
      </c>
    </row>
    <row r="138" spans="5:20" x14ac:dyDescent="0.3">
      <c r="E138" s="6">
        <f>LN('Data of Top 7 Stocks'!B137/'Data of Top 7 Stocks'!B136)</f>
        <v>8.6794204358200365E-3</v>
      </c>
      <c r="F138" s="6">
        <f>LN('Data of Top 7 Stocks'!C137/'Data of Top 7 Stocks'!C136)</f>
        <v>-5.256963063780689E-2</v>
      </c>
      <c r="G138" s="6">
        <f>LN('Data of Top 7 Stocks'!D137/'Data of Top 7 Stocks'!D136)</f>
        <v>-4.0256827131922419E-2</v>
      </c>
      <c r="H138" s="6">
        <f>LN('Data of Top 7 Stocks'!E137/'Data of Top 7 Stocks'!E136)</f>
        <v>-2.0380034626943772E-3</v>
      </c>
      <c r="I138" s="6">
        <f>LN('Data of Top 7 Stocks'!F137/'Data of Top 7 Stocks'!F136)</f>
        <v>-5.6767760614633483E-2</v>
      </c>
      <c r="J138" s="6">
        <f>LN('Data of Top 7 Stocks'!G137/'Data of Top 7 Stocks'!G136)</f>
        <v>-8.3381608939051013E-2</v>
      </c>
      <c r="K138" s="6">
        <f>LN('Data of Top 7 Stocks'!H137/'Data of Top 7 Stocks'!H136)</f>
        <v>4.7060599967013991E-2</v>
      </c>
      <c r="N138" s="6">
        <f t="shared" si="15"/>
        <v>6.8914024480101026E-3</v>
      </c>
      <c r="O138" s="6">
        <f t="shared" si="16"/>
        <v>-6.2399107134251383E-2</v>
      </c>
      <c r="P138" s="6">
        <f t="shared" si="17"/>
        <v>-4.2816181278132144E-2</v>
      </c>
      <c r="Q138" s="6">
        <f t="shared" si="18"/>
        <v>-4.7473517981654837E-3</v>
      </c>
      <c r="R138" s="6">
        <f t="shared" si="19"/>
        <v>-5.7624538427244271E-2</v>
      </c>
      <c r="S138" s="6">
        <f t="shared" si="20"/>
        <v>-8.486124866028065E-2</v>
      </c>
      <c r="T138" s="6">
        <f t="shared" si="21"/>
        <v>4.3195012656818063E-2</v>
      </c>
    </row>
    <row r="139" spans="5:20" x14ac:dyDescent="0.3">
      <c r="E139" s="6">
        <f>LN('Data of Top 7 Stocks'!B138/'Data of Top 7 Stocks'!B137)</f>
        <v>-1.6602078182525515E-2</v>
      </c>
      <c r="F139" s="6">
        <f>LN('Data of Top 7 Stocks'!C138/'Data of Top 7 Stocks'!C137)</f>
        <v>-2.377246180709067E-2</v>
      </c>
      <c r="G139" s="6">
        <f>LN('Data of Top 7 Stocks'!D138/'Data of Top 7 Stocks'!D137)</f>
        <v>-6.065014724071679E-3</v>
      </c>
      <c r="H139" s="6">
        <f>LN('Data of Top 7 Stocks'!E138/'Data of Top 7 Stocks'!E137)</f>
        <v>-1.8103603436268229E-2</v>
      </c>
      <c r="I139" s="6">
        <f>LN('Data of Top 7 Stocks'!F138/'Data of Top 7 Stocks'!F137)</f>
        <v>-3.7632914806850909E-2</v>
      </c>
      <c r="J139" s="6">
        <f>LN('Data of Top 7 Stocks'!G138/'Data of Top 7 Stocks'!G137)</f>
        <v>-5.7340976609045607E-3</v>
      </c>
      <c r="K139" s="6">
        <f>LN('Data of Top 7 Stocks'!H138/'Data of Top 7 Stocks'!H137)</f>
        <v>5.8928878256075894E-2</v>
      </c>
      <c r="N139" s="6">
        <f t="shared" si="15"/>
        <v>-1.8390096170335449E-2</v>
      </c>
      <c r="O139" s="6">
        <f t="shared" si="16"/>
        <v>-3.3601938303535167E-2</v>
      </c>
      <c r="P139" s="6">
        <f t="shared" si="17"/>
        <v>-8.6243688702814063E-3</v>
      </c>
      <c r="Q139" s="6">
        <f t="shared" si="18"/>
        <v>-2.0812951771739335E-2</v>
      </c>
      <c r="R139" s="6">
        <f t="shared" si="19"/>
        <v>-3.8489692619461696E-2</v>
      </c>
      <c r="S139" s="6">
        <f t="shared" si="20"/>
        <v>-7.2137373821341928E-3</v>
      </c>
      <c r="T139" s="6">
        <f t="shared" si="21"/>
        <v>5.5063290945879965E-2</v>
      </c>
    </row>
    <row r="140" spans="5:20" x14ac:dyDescent="0.3">
      <c r="E140" s="6">
        <f>LN('Data of Top 7 Stocks'!B139/'Data of Top 7 Stocks'!B138)</f>
        <v>4.4367311772421959E-2</v>
      </c>
      <c r="F140" s="6">
        <f>LN('Data of Top 7 Stocks'!C139/'Data of Top 7 Stocks'!C138)</f>
        <v>0.17337152102375228</v>
      </c>
      <c r="G140" s="6">
        <f>LN('Data of Top 7 Stocks'!D139/'Data of Top 7 Stocks'!D138)</f>
        <v>3.0202783300064574E-2</v>
      </c>
      <c r="H140" s="6">
        <f>LN('Data of Top 7 Stocks'!E139/'Data of Top 7 Stocks'!E138)</f>
        <v>-4.3474335992420262E-3</v>
      </c>
      <c r="I140" s="6">
        <f>LN('Data of Top 7 Stocks'!F139/'Data of Top 7 Stocks'!F138)</f>
        <v>7.7516442427828347E-2</v>
      </c>
      <c r="J140" s="6">
        <f>LN('Data of Top 7 Stocks'!G139/'Data of Top 7 Stocks'!G138)</f>
        <v>5.8854191760312452E-2</v>
      </c>
      <c r="K140" s="6">
        <f>LN('Data of Top 7 Stocks'!H139/'Data of Top 7 Stocks'!H138)</f>
        <v>1.8466066869673742E-2</v>
      </c>
      <c r="N140" s="6">
        <f t="shared" si="15"/>
        <v>4.2579293784612025E-2</v>
      </c>
      <c r="O140" s="6">
        <f t="shared" si="16"/>
        <v>0.16354204452730778</v>
      </c>
      <c r="P140" s="6">
        <f t="shared" si="17"/>
        <v>2.7643429153854846E-2</v>
      </c>
      <c r="Q140" s="6">
        <f t="shared" si="18"/>
        <v>-7.0567819347131331E-3</v>
      </c>
      <c r="R140" s="6">
        <f t="shared" si="19"/>
        <v>7.665966461521756E-2</v>
      </c>
      <c r="S140" s="6">
        <f t="shared" si="20"/>
        <v>5.7374552039082823E-2</v>
      </c>
      <c r="T140" s="6">
        <f t="shared" si="21"/>
        <v>1.4600479559477813E-2</v>
      </c>
    </row>
    <row r="141" spans="5:20" x14ac:dyDescent="0.3">
      <c r="E141" s="6">
        <f>LN('Data of Top 7 Stocks'!B140/'Data of Top 7 Stocks'!B139)</f>
        <v>3.4887094052129782E-3</v>
      </c>
      <c r="F141" s="6">
        <f>LN('Data of Top 7 Stocks'!C140/'Data of Top 7 Stocks'!C139)</f>
        <v>3.772843610381113E-2</v>
      </c>
      <c r="G141" s="6">
        <f>LN('Data of Top 7 Stocks'!D140/'Data of Top 7 Stocks'!D139)</f>
        <v>-4.0227049433736121E-3</v>
      </c>
      <c r="H141" s="6">
        <f>LN('Data of Top 7 Stocks'!E140/'Data of Top 7 Stocks'!E139)</f>
        <v>1.6191235687003588E-2</v>
      </c>
      <c r="I141" s="6">
        <f>LN('Data of Top 7 Stocks'!F140/'Data of Top 7 Stocks'!F139)</f>
        <v>1.9247226004479676E-2</v>
      </c>
      <c r="J141" s="6">
        <f>LN('Data of Top 7 Stocks'!G140/'Data of Top 7 Stocks'!G139)</f>
        <v>-1.1296244010885181E-4</v>
      </c>
      <c r="K141" s="6">
        <f>LN('Data of Top 7 Stocks'!H140/'Data of Top 7 Stocks'!H139)</f>
        <v>1.099088625166261E-3</v>
      </c>
      <c r="N141" s="6">
        <f t="shared" si="15"/>
        <v>1.7006914174030445E-3</v>
      </c>
      <c r="O141" s="6">
        <f t="shared" si="16"/>
        <v>2.7898959607366634E-2</v>
      </c>
      <c r="P141" s="6">
        <f t="shared" si="17"/>
        <v>-6.5820590895833385E-3</v>
      </c>
      <c r="Q141" s="6">
        <f t="shared" si="18"/>
        <v>1.3481887351532482E-2</v>
      </c>
      <c r="R141" s="6">
        <f t="shared" si="19"/>
        <v>1.8390448191868886E-2</v>
      </c>
      <c r="S141" s="6">
        <f t="shared" si="20"/>
        <v>-1.5926021613384838E-3</v>
      </c>
      <c r="T141" s="6">
        <f t="shared" si="21"/>
        <v>-2.7664986850296685E-3</v>
      </c>
    </row>
    <row r="142" spans="5:20" x14ac:dyDescent="0.3">
      <c r="E142" s="6">
        <f>LN('Data of Top 7 Stocks'!B141/'Data of Top 7 Stocks'!B140)</f>
        <v>9.4770804084122751E-3</v>
      </c>
      <c r="F142" s="6">
        <f>LN('Data of Top 7 Stocks'!C141/'Data of Top 7 Stocks'!C140)</f>
        <v>-8.0448602822863577E-2</v>
      </c>
      <c r="G142" s="6">
        <f>LN('Data of Top 7 Stocks'!D141/'Data of Top 7 Stocks'!D140)</f>
        <v>8.393990396089497E-4</v>
      </c>
      <c r="H142" s="6">
        <f>LN('Data of Top 7 Stocks'!E141/'Data of Top 7 Stocks'!E140)</f>
        <v>-1.3617231691830831E-2</v>
      </c>
      <c r="I142" s="6">
        <f>LN('Data of Top 7 Stocks'!F141/'Data of Top 7 Stocks'!F140)</f>
        <v>-2.859113332925892E-2</v>
      </c>
      <c r="J142" s="6">
        <f>LN('Data of Top 7 Stocks'!G141/'Data of Top 7 Stocks'!G140)</f>
        <v>8.2129054768996651E-3</v>
      </c>
      <c r="K142" s="6">
        <f>LN('Data of Top 7 Stocks'!H141/'Data of Top 7 Stocks'!H140)</f>
        <v>-1.2751409303988891E-2</v>
      </c>
      <c r="N142" s="6">
        <f t="shared" si="15"/>
        <v>7.6890624206023411E-3</v>
      </c>
      <c r="O142" s="6">
        <f t="shared" si="16"/>
        <v>-9.0278079319308077E-2</v>
      </c>
      <c r="P142" s="6">
        <f t="shared" si="17"/>
        <v>-1.7199551066007773E-3</v>
      </c>
      <c r="Q142" s="6">
        <f t="shared" si="18"/>
        <v>-1.6326580027301939E-2</v>
      </c>
      <c r="R142" s="6">
        <f t="shared" si="19"/>
        <v>-2.9447911141869711E-2</v>
      </c>
      <c r="S142" s="6">
        <f t="shared" si="20"/>
        <v>6.7332657556700331E-3</v>
      </c>
      <c r="T142" s="6">
        <f t="shared" si="21"/>
        <v>-1.661699661418482E-2</v>
      </c>
    </row>
    <row r="143" spans="5:20" x14ac:dyDescent="0.3">
      <c r="E143" s="6">
        <f>LN('Data of Top 7 Stocks'!B142/'Data of Top 7 Stocks'!B141)</f>
        <v>-3.6374113543248744E-2</v>
      </c>
      <c r="F143" s="6">
        <f>LN('Data of Top 7 Stocks'!C142/'Data of Top 7 Stocks'!C141)</f>
        <v>-0.14915077386584782</v>
      </c>
      <c r="G143" s="6">
        <f>LN('Data of Top 7 Stocks'!D142/'Data of Top 7 Stocks'!D141)</f>
        <v>-3.7716355503252447E-2</v>
      </c>
      <c r="H143" s="6">
        <f>LN('Data of Top 7 Stocks'!E142/'Data of Top 7 Stocks'!E141)</f>
        <v>-7.9328880817613578E-2</v>
      </c>
      <c r="I143" s="6">
        <f>LN('Data of Top 7 Stocks'!F142/'Data of Top 7 Stocks'!F141)</f>
        <v>-1.5912208441964303E-2</v>
      </c>
      <c r="J143" s="6">
        <f>LN('Data of Top 7 Stocks'!G142/'Data of Top 7 Stocks'!G141)</f>
        <v>-4.0646939815213043E-2</v>
      </c>
      <c r="K143" s="6">
        <f>LN('Data of Top 7 Stocks'!H142/'Data of Top 7 Stocks'!H141)</f>
        <v>-4.1196921727614175E-2</v>
      </c>
      <c r="N143" s="6">
        <f t="shared" si="15"/>
        <v>-3.8162131531058678E-2</v>
      </c>
      <c r="O143" s="6">
        <f t="shared" si="16"/>
        <v>-0.15898025036229232</v>
      </c>
      <c r="P143" s="6">
        <f t="shared" si="17"/>
        <v>-4.0275709649462171E-2</v>
      </c>
      <c r="Q143" s="6">
        <f t="shared" si="18"/>
        <v>-8.2038229153084688E-2</v>
      </c>
      <c r="R143" s="6">
        <f t="shared" si="19"/>
        <v>-1.6768986254575093E-2</v>
      </c>
      <c r="S143" s="6">
        <f t="shared" si="20"/>
        <v>-4.2126579536442672E-2</v>
      </c>
      <c r="T143" s="6">
        <f t="shared" si="21"/>
        <v>-4.5062509037810103E-2</v>
      </c>
    </row>
    <row r="144" spans="5:20" x14ac:dyDescent="0.3">
      <c r="E144" s="6">
        <f>LN('Data of Top 7 Stocks'!B143/'Data of Top 7 Stocks'!B142)</f>
        <v>7.5792115953040879E-3</v>
      </c>
      <c r="F144" s="6">
        <f>LN('Data of Top 7 Stocks'!C143/'Data of Top 7 Stocks'!C142)</f>
        <v>0.14688633712015514</v>
      </c>
      <c r="G144" s="6">
        <f>LN('Data of Top 7 Stocks'!D143/'Data of Top 7 Stocks'!D142)</f>
        <v>6.9450819886162002E-2</v>
      </c>
      <c r="H144" s="6">
        <f>LN('Data of Top 7 Stocks'!E143/'Data of Top 7 Stocks'!E142)</f>
        <v>4.2421562660211479E-2</v>
      </c>
      <c r="I144" s="6">
        <f>LN('Data of Top 7 Stocks'!F143/'Data of Top 7 Stocks'!F142)</f>
        <v>8.8761691050803393E-2</v>
      </c>
      <c r="J144" s="6">
        <f>LN('Data of Top 7 Stocks'!G143/'Data of Top 7 Stocks'!G142)</f>
        <v>8.4435956938874179E-2</v>
      </c>
      <c r="K144" s="6">
        <f>LN('Data of Top 7 Stocks'!H143/'Data of Top 7 Stocks'!H142)</f>
        <v>4.7526238316572496E-2</v>
      </c>
      <c r="N144" s="6">
        <f t="shared" si="15"/>
        <v>5.791193607494154E-3</v>
      </c>
      <c r="O144" s="6">
        <f t="shared" si="16"/>
        <v>0.13705686062371064</v>
      </c>
      <c r="P144" s="6">
        <f t="shared" si="17"/>
        <v>6.6891465739952277E-2</v>
      </c>
      <c r="Q144" s="6">
        <f t="shared" si="18"/>
        <v>3.9712214324740369E-2</v>
      </c>
      <c r="R144" s="6">
        <f t="shared" si="19"/>
        <v>8.7904913238192606E-2</v>
      </c>
      <c r="S144" s="6">
        <f t="shared" si="20"/>
        <v>8.2956317217644543E-2</v>
      </c>
      <c r="T144" s="6">
        <f t="shared" si="21"/>
        <v>4.3660651006376568E-2</v>
      </c>
    </row>
    <row r="145" spans="5:20" x14ac:dyDescent="0.3">
      <c r="E145" s="6">
        <f>LN('Data of Top 7 Stocks'!B144/'Data of Top 7 Stocks'!B143)</f>
        <v>2.5295335821680285E-2</v>
      </c>
      <c r="F145" s="6">
        <f>LN('Data of Top 7 Stocks'!C144/'Data of Top 7 Stocks'!C143)</f>
        <v>-2.6373285254889738E-2</v>
      </c>
      <c r="G145" s="6">
        <f>LN('Data of Top 7 Stocks'!D144/'Data of Top 7 Stocks'!D143)</f>
        <v>1.081016694430483E-2</v>
      </c>
      <c r="H145" s="6">
        <f>LN('Data of Top 7 Stocks'!E144/'Data of Top 7 Stocks'!E143)</f>
        <v>3.8191839849758755E-2</v>
      </c>
      <c r="I145" s="6">
        <f>LN('Data of Top 7 Stocks'!F144/'Data of Top 7 Stocks'!F143)</f>
        <v>3.3981158274386788E-2</v>
      </c>
      <c r="J145" s="6">
        <f>LN('Data of Top 7 Stocks'!G144/'Data of Top 7 Stocks'!G143)</f>
        <v>2.7032247193405221E-2</v>
      </c>
      <c r="K145" s="6">
        <f>LN('Data of Top 7 Stocks'!H144/'Data of Top 7 Stocks'!H143)</f>
        <v>6.7670405913557732E-2</v>
      </c>
      <c r="N145" s="6">
        <f t="shared" si="15"/>
        <v>2.3507317833870351E-2</v>
      </c>
      <c r="O145" s="6">
        <f t="shared" si="16"/>
        <v>-3.6202761751334231E-2</v>
      </c>
      <c r="P145" s="6">
        <f t="shared" si="17"/>
        <v>8.2508127980951036E-3</v>
      </c>
      <c r="Q145" s="6">
        <f t="shared" si="18"/>
        <v>3.5482491514287645E-2</v>
      </c>
      <c r="R145" s="6">
        <f t="shared" si="19"/>
        <v>3.3124380461776001E-2</v>
      </c>
      <c r="S145" s="6">
        <f t="shared" si="20"/>
        <v>2.5552607472175588E-2</v>
      </c>
      <c r="T145" s="6">
        <f t="shared" si="21"/>
        <v>6.3804818603361804E-2</v>
      </c>
    </row>
    <row r="146" spans="5:20" x14ac:dyDescent="0.3">
      <c r="E146" s="6">
        <f>LN('Data of Top 7 Stocks'!B145/'Data of Top 7 Stocks'!B144)</f>
        <v>-1.798285534723234E-3</v>
      </c>
      <c r="F146" s="6">
        <f>LN('Data of Top 7 Stocks'!C145/'Data of Top 7 Stocks'!C144)</f>
        <v>4.5500687519033384E-2</v>
      </c>
      <c r="G146" s="6">
        <f>LN('Data of Top 7 Stocks'!D145/'Data of Top 7 Stocks'!D144)</f>
        <v>-1.6796604733708493E-2</v>
      </c>
      <c r="H146" s="6">
        <f>LN('Data of Top 7 Stocks'!E145/'Data of Top 7 Stocks'!E144)</f>
        <v>2.1982056845773717E-3</v>
      </c>
      <c r="I146" s="6">
        <f>LN('Data of Top 7 Stocks'!F145/'Data of Top 7 Stocks'!F144)</f>
        <v>8.912875600524553E-2</v>
      </c>
      <c r="J146" s="6">
        <f>LN('Data of Top 7 Stocks'!G145/'Data of Top 7 Stocks'!G144)</f>
        <v>-1.9127489908256093E-2</v>
      </c>
      <c r="K146" s="6">
        <f>LN('Data of Top 7 Stocks'!H145/'Data of Top 7 Stocks'!H144)</f>
        <v>1.0649425981054665E-2</v>
      </c>
      <c r="N146" s="6">
        <f t="shared" si="15"/>
        <v>-3.5863035225331677E-3</v>
      </c>
      <c r="O146" s="6">
        <f t="shared" si="16"/>
        <v>3.5671211022588883E-2</v>
      </c>
      <c r="P146" s="6">
        <f t="shared" si="17"/>
        <v>-1.9355958879918221E-2</v>
      </c>
      <c r="Q146" s="6">
        <f t="shared" si="18"/>
        <v>-5.1114265089373476E-4</v>
      </c>
      <c r="R146" s="6">
        <f t="shared" si="19"/>
        <v>8.8271978192634742E-2</v>
      </c>
      <c r="S146" s="6">
        <f t="shared" si="20"/>
        <v>-2.0607129629485726E-2</v>
      </c>
      <c r="T146" s="6">
        <f t="shared" si="21"/>
        <v>6.7838386708587353E-3</v>
      </c>
    </row>
    <row r="147" spans="5:20" x14ac:dyDescent="0.3">
      <c r="E147" s="6">
        <f>LN('Data of Top 7 Stocks'!B146/'Data of Top 7 Stocks'!B145)</f>
        <v>-4.3555800396549915E-3</v>
      </c>
      <c r="F147" s="6">
        <f>LN('Data of Top 7 Stocks'!C146/'Data of Top 7 Stocks'!C145)</f>
        <v>2.8582653789479846E-2</v>
      </c>
      <c r="G147" s="6">
        <f>LN('Data of Top 7 Stocks'!D146/'Data of Top 7 Stocks'!D145)</f>
        <v>-2.8340442831758256E-2</v>
      </c>
      <c r="H147" s="6">
        <f>LN('Data of Top 7 Stocks'!E146/'Data of Top 7 Stocks'!E145)</f>
        <v>1.8791526037102952E-2</v>
      </c>
      <c r="I147" s="6">
        <f>LN('Data of Top 7 Stocks'!F146/'Data of Top 7 Stocks'!F145)</f>
        <v>-4.066843186639052E-2</v>
      </c>
      <c r="J147" s="6">
        <f>LN('Data of Top 7 Stocks'!G146/'Data of Top 7 Stocks'!G145)</f>
        <v>-7.7975186791482722E-3</v>
      </c>
      <c r="K147" s="6">
        <f>LN('Data of Top 7 Stocks'!H146/'Data of Top 7 Stocks'!H145)</f>
        <v>4.914596797088764E-2</v>
      </c>
      <c r="N147" s="6">
        <f t="shared" si="15"/>
        <v>-6.1435980274649254E-3</v>
      </c>
      <c r="O147" s="6">
        <f t="shared" si="16"/>
        <v>1.8753177293035349E-2</v>
      </c>
      <c r="P147" s="6">
        <f t="shared" si="17"/>
        <v>-3.0899796977967985E-2</v>
      </c>
      <c r="Q147" s="6">
        <f t="shared" si="18"/>
        <v>1.6082177701631846E-2</v>
      </c>
      <c r="R147" s="6">
        <f t="shared" si="19"/>
        <v>-4.1525209679001307E-2</v>
      </c>
      <c r="S147" s="6">
        <f t="shared" si="20"/>
        <v>-9.2771584003779051E-3</v>
      </c>
      <c r="T147" s="6">
        <f t="shared" si="21"/>
        <v>4.5280380660691712E-2</v>
      </c>
    </row>
    <row r="148" spans="5:20" x14ac:dyDescent="0.3">
      <c r="E148" s="6">
        <f>LN('Data of Top 7 Stocks'!B147/'Data of Top 7 Stocks'!B146)</f>
        <v>3.3014226090540026E-3</v>
      </c>
      <c r="F148" s="6">
        <f>LN('Data of Top 7 Stocks'!C147/'Data of Top 7 Stocks'!C146)</f>
        <v>7.6118666063328996E-2</v>
      </c>
      <c r="G148" s="6">
        <f>LN('Data of Top 7 Stocks'!D147/'Data of Top 7 Stocks'!D146)</f>
        <v>6.2471469390381002E-4</v>
      </c>
      <c r="H148" s="6">
        <f>LN('Data of Top 7 Stocks'!E147/'Data of Top 7 Stocks'!E146)</f>
        <v>-2.3131518790155292E-2</v>
      </c>
      <c r="I148" s="6">
        <f>LN('Data of Top 7 Stocks'!F147/'Data of Top 7 Stocks'!F146)</f>
        <v>-0.13820365617430636</v>
      </c>
      <c r="J148" s="6">
        <f>LN('Data of Top 7 Stocks'!G147/'Data of Top 7 Stocks'!G146)</f>
        <v>1.230932335501468E-2</v>
      </c>
      <c r="K148" s="6">
        <f>LN('Data of Top 7 Stocks'!H147/'Data of Top 7 Stocks'!H146)</f>
        <v>-1.0102203310802539E-2</v>
      </c>
      <c r="N148" s="6">
        <f t="shared" si="15"/>
        <v>1.5134046212440689E-3</v>
      </c>
      <c r="O148" s="6">
        <f t="shared" si="16"/>
        <v>6.6289189566884496E-2</v>
      </c>
      <c r="P148" s="6">
        <f t="shared" si="17"/>
        <v>-1.9346394523059168E-3</v>
      </c>
      <c r="Q148" s="6">
        <f t="shared" si="18"/>
        <v>-2.5840867125626398E-2</v>
      </c>
      <c r="R148" s="6">
        <f t="shared" si="19"/>
        <v>-0.13906043398691714</v>
      </c>
      <c r="S148" s="6">
        <f t="shared" si="20"/>
        <v>1.0829683633785048E-2</v>
      </c>
      <c r="T148" s="6">
        <f t="shared" si="21"/>
        <v>-1.3967790620998469E-2</v>
      </c>
    </row>
    <row r="149" spans="5:20" x14ac:dyDescent="0.3">
      <c r="E149" s="6">
        <f>LN('Data of Top 7 Stocks'!B148/'Data of Top 7 Stocks'!B147)</f>
        <v>3.2215519681507911E-2</v>
      </c>
      <c r="F149" s="6">
        <f>LN('Data of Top 7 Stocks'!C148/'Data of Top 7 Stocks'!C147)</f>
        <v>2.3461486678997966E-2</v>
      </c>
      <c r="G149" s="6">
        <f>LN('Data of Top 7 Stocks'!D148/'Data of Top 7 Stocks'!D147)</f>
        <v>4.4099390805260145E-3</v>
      </c>
      <c r="H149" s="6">
        <f>LN('Data of Top 7 Stocks'!E148/'Data of Top 7 Stocks'!E147)</f>
        <v>1.1020634189564096E-3</v>
      </c>
      <c r="I149" s="6">
        <f>LN('Data of Top 7 Stocks'!F148/'Data of Top 7 Stocks'!F147)</f>
        <v>1.3227102763830515E-2</v>
      </c>
      <c r="J149" s="6">
        <f>LN('Data of Top 7 Stocks'!G148/'Data of Top 7 Stocks'!G147)</f>
        <v>8.9992330257574241E-4</v>
      </c>
      <c r="K149" s="6">
        <f>LN('Data of Top 7 Stocks'!H148/'Data of Top 7 Stocks'!H147)</f>
        <v>-2.3114487352164984E-2</v>
      </c>
      <c r="N149" s="6">
        <f t="shared" si="15"/>
        <v>3.0427501693697977E-2</v>
      </c>
      <c r="O149" s="6">
        <f t="shared" si="16"/>
        <v>1.3632010182553469E-2</v>
      </c>
      <c r="P149" s="6">
        <f t="shared" si="17"/>
        <v>1.8505849343162877E-3</v>
      </c>
      <c r="Q149" s="6">
        <f t="shared" si="18"/>
        <v>-1.6072849165146969E-3</v>
      </c>
      <c r="R149" s="6">
        <f t="shared" si="19"/>
        <v>1.2370324951219727E-2</v>
      </c>
      <c r="S149" s="6">
        <f t="shared" si="20"/>
        <v>-5.7971641865388964E-4</v>
      </c>
      <c r="T149" s="6">
        <f t="shared" si="21"/>
        <v>-2.6980074662360912E-2</v>
      </c>
    </row>
    <row r="150" spans="5:20" x14ac:dyDescent="0.3">
      <c r="E150" s="6">
        <f>LN('Data of Top 7 Stocks'!B149/'Data of Top 7 Stocks'!B148)</f>
        <v>-1.5394485106578612E-2</v>
      </c>
      <c r="F150" s="6">
        <f>LN('Data of Top 7 Stocks'!C149/'Data of Top 7 Stocks'!C148)</f>
        <v>2.5328677490434021E-2</v>
      </c>
      <c r="G150" s="6">
        <f>LN('Data of Top 7 Stocks'!D149/'Data of Top 7 Stocks'!D148)</f>
        <v>2.3609467067534553E-2</v>
      </c>
      <c r="H150" s="6">
        <f>LN('Data of Top 7 Stocks'!E149/'Data of Top 7 Stocks'!E148)</f>
        <v>1.1256926196173668E-2</v>
      </c>
      <c r="I150" s="6">
        <f>LN('Data of Top 7 Stocks'!F149/'Data of Top 7 Stocks'!F148)</f>
        <v>0.19861313671538541</v>
      </c>
      <c r="J150" s="6">
        <f>LN('Data of Top 7 Stocks'!G149/'Data of Top 7 Stocks'!G148)</f>
        <v>-6.1568051816173535E-3</v>
      </c>
      <c r="K150" s="6">
        <f>LN('Data of Top 7 Stocks'!H149/'Data of Top 7 Stocks'!H148)</f>
        <v>-5.6013784557495082E-3</v>
      </c>
      <c r="N150" s="6">
        <f t="shared" si="15"/>
        <v>-1.7182503094388544E-2</v>
      </c>
      <c r="O150" s="6">
        <f t="shared" si="16"/>
        <v>1.5499200993989524E-2</v>
      </c>
      <c r="P150" s="6">
        <f t="shared" si="17"/>
        <v>2.1050112921324825E-2</v>
      </c>
      <c r="Q150" s="6">
        <f t="shared" si="18"/>
        <v>8.547577860702562E-3</v>
      </c>
      <c r="R150" s="6">
        <f t="shared" si="19"/>
        <v>0.19775635890277463</v>
      </c>
      <c r="S150" s="6">
        <f t="shared" si="20"/>
        <v>-7.6364449028469856E-3</v>
      </c>
      <c r="T150" s="6">
        <f t="shared" si="21"/>
        <v>-9.4669657659454381E-3</v>
      </c>
    </row>
    <row r="151" spans="5:20" x14ac:dyDescent="0.3">
      <c r="E151" s="6">
        <f>LN('Data of Top 7 Stocks'!B150/'Data of Top 7 Stocks'!B149)</f>
        <v>-3.7422926484739362E-2</v>
      </c>
      <c r="F151" s="6">
        <f>LN('Data of Top 7 Stocks'!C150/'Data of Top 7 Stocks'!C149)</f>
        <v>-4.4349002169463948E-2</v>
      </c>
      <c r="G151" s="6">
        <f>LN('Data of Top 7 Stocks'!D150/'Data of Top 7 Stocks'!D149)</f>
        <v>-4.2414409702738291E-2</v>
      </c>
      <c r="H151" s="6">
        <f>LN('Data of Top 7 Stocks'!E150/'Data of Top 7 Stocks'!E149)</f>
        <v>3.5777526357158744E-2</v>
      </c>
      <c r="I151" s="6">
        <f>LN('Data of Top 7 Stocks'!F150/'Data of Top 7 Stocks'!F149)</f>
        <v>-7.8044878024436187E-2</v>
      </c>
      <c r="J151" s="6">
        <f>LN('Data of Top 7 Stocks'!G150/'Data of Top 7 Stocks'!G149)</f>
        <v>5.2376134407314888E-2</v>
      </c>
      <c r="K151" s="6">
        <f>LN('Data of Top 7 Stocks'!H150/'Data of Top 7 Stocks'!H149)</f>
        <v>-1.0680470868656745E-2</v>
      </c>
      <c r="N151" s="6">
        <f t="shared" si="15"/>
        <v>-3.9210944472549296E-2</v>
      </c>
      <c r="O151" s="6">
        <f t="shared" si="16"/>
        <v>-5.4178478665908442E-2</v>
      </c>
      <c r="P151" s="6">
        <f t="shared" si="17"/>
        <v>-4.4973763848948016E-2</v>
      </c>
      <c r="Q151" s="6">
        <f t="shared" si="18"/>
        <v>3.3068178021687634E-2</v>
      </c>
      <c r="R151" s="6">
        <f t="shared" si="19"/>
        <v>-7.8901655837046974E-2</v>
      </c>
      <c r="S151" s="6">
        <f t="shared" si="20"/>
        <v>5.0896494686085259E-2</v>
      </c>
      <c r="T151" s="6">
        <f t="shared" si="21"/>
        <v>-1.4546058178852675E-2</v>
      </c>
    </row>
    <row r="152" spans="5:20" x14ac:dyDescent="0.3">
      <c r="E152" s="6">
        <f>LN('Data of Top 7 Stocks'!B151/'Data of Top 7 Stocks'!B150)</f>
        <v>1.8005687947755061E-2</v>
      </c>
      <c r="F152" s="6">
        <f>LN('Data of Top 7 Stocks'!C151/'Data of Top 7 Stocks'!C150)</f>
        <v>8.6475783067821915E-2</v>
      </c>
      <c r="G152" s="6">
        <f>LN('Data of Top 7 Stocks'!D151/'Data of Top 7 Stocks'!D150)</f>
        <v>2.9224925102625973E-2</v>
      </c>
      <c r="H152" s="6">
        <f>LN('Data of Top 7 Stocks'!E151/'Data of Top 7 Stocks'!E150)</f>
        <v>4.0389885295007026E-2</v>
      </c>
      <c r="I152" s="6">
        <f>LN('Data of Top 7 Stocks'!F151/'Data of Top 7 Stocks'!F150)</f>
        <v>0.25475367468111143</v>
      </c>
      <c r="J152" s="6">
        <f>LN('Data of Top 7 Stocks'!G151/'Data of Top 7 Stocks'!G150)</f>
        <v>5.0489657254678591E-2</v>
      </c>
      <c r="K152" s="6">
        <f>LN('Data of Top 7 Stocks'!H151/'Data of Top 7 Stocks'!H150)</f>
        <v>3.8361815813333922E-2</v>
      </c>
      <c r="N152" s="6">
        <f t="shared" si="15"/>
        <v>1.6217669959945127E-2</v>
      </c>
      <c r="O152" s="6">
        <f t="shared" si="16"/>
        <v>7.6646306571377415E-2</v>
      </c>
      <c r="P152" s="6">
        <f t="shared" si="17"/>
        <v>2.6665570956416244E-2</v>
      </c>
      <c r="Q152" s="6">
        <f t="shared" si="18"/>
        <v>3.7680536959535917E-2</v>
      </c>
      <c r="R152" s="6">
        <f t="shared" si="19"/>
        <v>0.25389689686850064</v>
      </c>
      <c r="S152" s="6">
        <f t="shared" si="20"/>
        <v>4.9010017533448962E-2</v>
      </c>
      <c r="T152" s="6">
        <f t="shared" si="21"/>
        <v>3.4496228503137993E-2</v>
      </c>
    </row>
    <row r="153" spans="5:20" x14ac:dyDescent="0.3">
      <c r="E153" s="6">
        <f>LN('Data of Top 7 Stocks'!B152/'Data of Top 7 Stocks'!B151)</f>
        <v>-8.6733882961758553E-3</v>
      </c>
      <c r="F153" s="6">
        <f>LN('Data of Top 7 Stocks'!C152/'Data of Top 7 Stocks'!C151)</f>
        <v>-3.9022940934756778E-2</v>
      </c>
      <c r="G153" s="6">
        <f>LN('Data of Top 7 Stocks'!D152/'Data of Top 7 Stocks'!D151)</f>
        <v>-1.8005596641390301E-2</v>
      </c>
      <c r="H153" s="6">
        <f>LN('Data of Top 7 Stocks'!E152/'Data of Top 7 Stocks'!E151)</f>
        <v>-3.3408648028362915E-2</v>
      </c>
      <c r="I153" s="6">
        <f>LN('Data of Top 7 Stocks'!F152/'Data of Top 7 Stocks'!F151)</f>
        <v>-1.5577783004996771E-3</v>
      </c>
      <c r="J153" s="6">
        <f>LN('Data of Top 7 Stocks'!G152/'Data of Top 7 Stocks'!G151)</f>
        <v>-2.7120141149262408E-2</v>
      </c>
      <c r="K153" s="6">
        <f>LN('Data of Top 7 Stocks'!H152/'Data of Top 7 Stocks'!H151)</f>
        <v>-6.1694186028579158E-2</v>
      </c>
      <c r="N153" s="6">
        <f t="shared" si="15"/>
        <v>-1.0461406283985789E-2</v>
      </c>
      <c r="O153" s="6">
        <f t="shared" si="16"/>
        <v>-4.8852417431201278E-2</v>
      </c>
      <c r="P153" s="6">
        <f t="shared" si="17"/>
        <v>-2.0564950787600029E-2</v>
      </c>
      <c r="Q153" s="6">
        <f t="shared" si="18"/>
        <v>-3.6117996363834025E-2</v>
      </c>
      <c r="R153" s="6">
        <f t="shared" si="19"/>
        <v>-2.4145561131104667E-3</v>
      </c>
      <c r="S153" s="6">
        <f t="shared" si="20"/>
        <v>-2.8599780870492041E-2</v>
      </c>
      <c r="T153" s="6">
        <f t="shared" si="21"/>
        <v>-6.5559773338775093E-2</v>
      </c>
    </row>
    <row r="154" spans="5:20" x14ac:dyDescent="0.3">
      <c r="E154" s="6">
        <f>LN('Data of Top 7 Stocks'!B153/'Data of Top 7 Stocks'!B152)</f>
        <v>2.1413529531905433E-2</v>
      </c>
      <c r="F154" s="6">
        <f>LN('Data of Top 7 Stocks'!C153/'Data of Top 7 Stocks'!C152)</f>
        <v>-2.1131969225961531E-4</v>
      </c>
      <c r="G154" s="6">
        <f>LN('Data of Top 7 Stocks'!D153/'Data of Top 7 Stocks'!D152)</f>
        <v>4.8077015681030778E-3</v>
      </c>
      <c r="H154" s="6">
        <f>LN('Data of Top 7 Stocks'!E153/'Data of Top 7 Stocks'!E152)</f>
        <v>-4.5849394208657607E-2</v>
      </c>
      <c r="I154" s="6">
        <f>LN('Data of Top 7 Stocks'!F153/'Data of Top 7 Stocks'!F152)</f>
        <v>9.4652352199479983E-2</v>
      </c>
      <c r="J154" s="6">
        <f>LN('Data of Top 7 Stocks'!G153/'Data of Top 7 Stocks'!G152)</f>
        <v>-2.7470268592904974E-2</v>
      </c>
      <c r="K154" s="6">
        <f>LN('Data of Top 7 Stocks'!H153/'Data of Top 7 Stocks'!H152)</f>
        <v>9.0908083715072353E-3</v>
      </c>
      <c r="N154" s="6">
        <f t="shared" si="15"/>
        <v>1.96255115440955E-2</v>
      </c>
      <c r="O154" s="6">
        <f t="shared" si="16"/>
        <v>-1.0040796188704113E-2</v>
      </c>
      <c r="P154" s="6">
        <f t="shared" si="17"/>
        <v>2.2483474218933509E-3</v>
      </c>
      <c r="Q154" s="6">
        <f t="shared" si="18"/>
        <v>-4.8558742544128716E-2</v>
      </c>
      <c r="R154" s="6">
        <f t="shared" si="19"/>
        <v>9.3795574386869196E-2</v>
      </c>
      <c r="S154" s="6">
        <f t="shared" si="20"/>
        <v>-2.8949908314134607E-2</v>
      </c>
      <c r="T154" s="6">
        <f t="shared" si="21"/>
        <v>5.2252210613113054E-3</v>
      </c>
    </row>
    <row r="155" spans="5:20" x14ac:dyDescent="0.3">
      <c r="E155" s="6">
        <f>LN('Data of Top 7 Stocks'!B154/'Data of Top 7 Stocks'!B153)</f>
        <v>3.1937645965089051E-2</v>
      </c>
      <c r="F155" s="6">
        <f>LN('Data of Top 7 Stocks'!C154/'Data of Top 7 Stocks'!C153)</f>
        <v>-2.6411242516535895E-2</v>
      </c>
      <c r="G155" s="6">
        <f>LN('Data of Top 7 Stocks'!D154/'Data of Top 7 Stocks'!D153)</f>
        <v>1.5372836828988743E-2</v>
      </c>
      <c r="H155" s="6">
        <f>LN('Data of Top 7 Stocks'!E154/'Data of Top 7 Stocks'!E153)</f>
        <v>2.5112943592418991E-2</v>
      </c>
      <c r="I155" s="6">
        <f>LN('Data of Top 7 Stocks'!F154/'Data of Top 7 Stocks'!F153)</f>
        <v>-2.1212742893624719E-2</v>
      </c>
      <c r="J155" s="6">
        <f>LN('Data of Top 7 Stocks'!G154/'Data of Top 7 Stocks'!G153)</f>
        <v>5.3196413313867777E-2</v>
      </c>
      <c r="K155" s="6">
        <f>LN('Data of Top 7 Stocks'!H154/'Data of Top 7 Stocks'!H153)</f>
        <v>2.6786843242608636E-2</v>
      </c>
      <c r="N155" s="6">
        <f t="shared" si="15"/>
        <v>3.0149627977279117E-2</v>
      </c>
      <c r="O155" s="6">
        <f t="shared" si="16"/>
        <v>-3.6240719012980392E-2</v>
      </c>
      <c r="P155" s="6">
        <f t="shared" si="17"/>
        <v>1.2813482682779017E-2</v>
      </c>
      <c r="Q155" s="6">
        <f t="shared" si="18"/>
        <v>2.2403595256947885E-2</v>
      </c>
      <c r="R155" s="6">
        <f t="shared" si="19"/>
        <v>-2.206952070623551E-2</v>
      </c>
      <c r="S155" s="6">
        <f t="shared" si="20"/>
        <v>5.1716773592638147E-2</v>
      </c>
      <c r="T155" s="6">
        <f t="shared" si="21"/>
        <v>2.2921255932412708E-2</v>
      </c>
    </row>
    <row r="156" spans="5:20" x14ac:dyDescent="0.3">
      <c r="E156" s="6">
        <f>LN('Data of Top 7 Stocks'!B155/'Data of Top 7 Stocks'!B154)</f>
        <v>2.2951212560818574E-2</v>
      </c>
      <c r="F156" s="6">
        <f>LN('Data of Top 7 Stocks'!C155/'Data of Top 7 Stocks'!C154)</f>
        <v>2.9857218007132806E-2</v>
      </c>
      <c r="G156" s="6">
        <f>LN('Data of Top 7 Stocks'!D155/'Data of Top 7 Stocks'!D154)</f>
        <v>4.639656606737326E-2</v>
      </c>
      <c r="H156" s="6">
        <f>LN('Data of Top 7 Stocks'!E155/'Data of Top 7 Stocks'!E154)</f>
        <v>3.3524643326054357E-2</v>
      </c>
      <c r="I156" s="6">
        <f>LN('Data of Top 7 Stocks'!F155/'Data of Top 7 Stocks'!F154)</f>
        <v>0.12013665881291236</v>
      </c>
      <c r="J156" s="6">
        <f>LN('Data of Top 7 Stocks'!G155/'Data of Top 7 Stocks'!G154)</f>
        <v>8.807307368051126E-2</v>
      </c>
      <c r="K156" s="6">
        <f>LN('Data of Top 7 Stocks'!H155/'Data of Top 7 Stocks'!H154)</f>
        <v>8.2594978411714093E-2</v>
      </c>
      <c r="N156" s="6">
        <f t="shared" si="15"/>
        <v>2.116319457300864E-2</v>
      </c>
      <c r="O156" s="6">
        <f t="shared" si="16"/>
        <v>2.0027741510688309E-2</v>
      </c>
      <c r="P156" s="6">
        <f t="shared" si="17"/>
        <v>4.3837211921163535E-2</v>
      </c>
      <c r="Q156" s="6">
        <f t="shared" si="18"/>
        <v>3.0815294990583251E-2</v>
      </c>
      <c r="R156" s="6">
        <f t="shared" si="19"/>
        <v>0.11927988100030157</v>
      </c>
      <c r="S156" s="6">
        <f t="shared" si="20"/>
        <v>8.6593433959281624E-2</v>
      </c>
      <c r="T156" s="6">
        <f t="shared" si="21"/>
        <v>7.8729391101518165E-2</v>
      </c>
    </row>
    <row r="157" spans="5:20" x14ac:dyDescent="0.3">
      <c r="E157" s="6">
        <f>LN('Data of Top 7 Stocks'!B156/'Data of Top 7 Stocks'!B155)</f>
        <v>2.1550012109691326E-2</v>
      </c>
      <c r="F157" s="6">
        <f>LN('Data of Top 7 Stocks'!C156/'Data of Top 7 Stocks'!C155)</f>
        <v>-5.9217125020602904E-2</v>
      </c>
      <c r="G157" s="6">
        <f>LN('Data of Top 7 Stocks'!D156/'Data of Top 7 Stocks'!D155)</f>
        <v>8.3068144132540205E-3</v>
      </c>
      <c r="H157" s="6">
        <f>LN('Data of Top 7 Stocks'!E156/'Data of Top 7 Stocks'!E155)</f>
        <v>8.2948798215992853E-2</v>
      </c>
      <c r="I157" s="6">
        <f>LN('Data of Top 7 Stocks'!F156/'Data of Top 7 Stocks'!F155)</f>
        <v>0.114024890740485</v>
      </c>
      <c r="J157" s="6">
        <f>LN('Data of Top 7 Stocks'!G156/'Data of Top 7 Stocks'!G155)</f>
        <v>1.8922314167646639E-3</v>
      </c>
      <c r="K157" s="6">
        <f>LN('Data of Top 7 Stocks'!H156/'Data of Top 7 Stocks'!H155)</f>
        <v>-5.4978757910612132E-3</v>
      </c>
      <c r="N157" s="6">
        <f t="shared" si="15"/>
        <v>1.9761994121881392E-2</v>
      </c>
      <c r="O157" s="6">
        <f t="shared" si="16"/>
        <v>-6.9046601517047404E-2</v>
      </c>
      <c r="P157" s="6">
        <f t="shared" si="17"/>
        <v>5.747460267044294E-3</v>
      </c>
      <c r="Q157" s="6">
        <f t="shared" si="18"/>
        <v>8.0239449880521743E-2</v>
      </c>
      <c r="R157" s="6">
        <f t="shared" si="19"/>
        <v>0.11316811292787421</v>
      </c>
      <c r="S157" s="6">
        <f t="shared" si="20"/>
        <v>4.1259169553503183E-4</v>
      </c>
      <c r="T157" s="6">
        <f t="shared" si="21"/>
        <v>-9.3634631012571422E-3</v>
      </c>
    </row>
    <row r="158" spans="5:20" x14ac:dyDescent="0.3">
      <c r="E158" s="6">
        <f>LN('Data of Top 7 Stocks'!B157/'Data of Top 7 Stocks'!B156)</f>
        <v>2.5308740115828361E-2</v>
      </c>
      <c r="F158" s="6">
        <f>LN('Data of Top 7 Stocks'!C157/'Data of Top 7 Stocks'!C156)</f>
        <v>3.346350027344173E-3</v>
      </c>
      <c r="G158" s="6">
        <f>LN('Data of Top 7 Stocks'!D157/'Data of Top 7 Stocks'!D156)</f>
        <v>-2.4144994992573873E-2</v>
      </c>
      <c r="H158" s="6">
        <f>LN('Data of Top 7 Stocks'!E157/'Data of Top 7 Stocks'!E156)</f>
        <v>8.3414695556723317E-3</v>
      </c>
      <c r="I158" s="6">
        <f>LN('Data of Top 7 Stocks'!F157/'Data of Top 7 Stocks'!F156)</f>
        <v>-3.5394285851094734E-2</v>
      </c>
      <c r="J158" s="6">
        <f>LN('Data of Top 7 Stocks'!G157/'Data of Top 7 Stocks'!G156)</f>
        <v>-1.1229615332297601E-2</v>
      </c>
      <c r="K158" s="6">
        <f>LN('Data of Top 7 Stocks'!H157/'Data of Top 7 Stocks'!H156)</f>
        <v>-5.8244728517860424E-2</v>
      </c>
      <c r="N158" s="6">
        <f t="shared" si="15"/>
        <v>2.3520722128018427E-2</v>
      </c>
      <c r="O158" s="6">
        <f t="shared" si="16"/>
        <v>-6.4831264691003233E-3</v>
      </c>
      <c r="P158" s="6">
        <f t="shared" si="17"/>
        <v>-2.6704349138783601E-2</v>
      </c>
      <c r="Q158" s="6">
        <f t="shared" si="18"/>
        <v>5.6321212202012257E-3</v>
      </c>
      <c r="R158" s="6">
        <f t="shared" si="19"/>
        <v>-3.6251063663705521E-2</v>
      </c>
      <c r="S158" s="6">
        <f t="shared" si="20"/>
        <v>-1.2709255053527234E-2</v>
      </c>
      <c r="T158" s="6">
        <f t="shared" si="21"/>
        <v>-6.2110315828056352E-2</v>
      </c>
    </row>
    <row r="159" spans="5:20" x14ac:dyDescent="0.3">
      <c r="E159" s="6">
        <f>LN('Data of Top 7 Stocks'!B158/'Data of Top 7 Stocks'!B157)</f>
        <v>4.3130556196045514E-3</v>
      </c>
      <c r="F159" s="6">
        <f>LN('Data of Top 7 Stocks'!C158/'Data of Top 7 Stocks'!C157)</f>
        <v>1.7003832448698949E-2</v>
      </c>
      <c r="G159" s="6">
        <f>LN('Data of Top 7 Stocks'!D158/'Data of Top 7 Stocks'!D157)</f>
        <v>-1.4000436264893463E-2</v>
      </c>
      <c r="H159" s="6">
        <f>LN('Data of Top 7 Stocks'!E158/'Data of Top 7 Stocks'!E157)</f>
        <v>7.0281675141135366E-3</v>
      </c>
      <c r="I159" s="6">
        <f>LN('Data of Top 7 Stocks'!F158/'Data of Top 7 Stocks'!F157)</f>
        <v>2.4862899988415111E-2</v>
      </c>
      <c r="J159" s="6">
        <f>LN('Data of Top 7 Stocks'!G158/'Data of Top 7 Stocks'!G157)</f>
        <v>-5.2154262690361558E-3</v>
      </c>
      <c r="K159" s="6">
        <f>LN('Data of Top 7 Stocks'!H158/'Data of Top 7 Stocks'!H157)</f>
        <v>2.4573832028983205E-2</v>
      </c>
      <c r="N159" s="6">
        <f t="shared" si="15"/>
        <v>2.5250376317946174E-3</v>
      </c>
      <c r="O159" s="6">
        <f t="shared" si="16"/>
        <v>7.1743559522544527E-3</v>
      </c>
      <c r="P159" s="6">
        <f t="shared" si="17"/>
        <v>-1.6559790411103191E-2</v>
      </c>
      <c r="Q159" s="6">
        <f t="shared" si="18"/>
        <v>4.3188191786424305E-3</v>
      </c>
      <c r="R159" s="6">
        <f t="shared" si="19"/>
        <v>2.400612217580432E-2</v>
      </c>
      <c r="S159" s="6">
        <f t="shared" si="20"/>
        <v>-6.6950659902657878E-3</v>
      </c>
      <c r="T159" s="6">
        <f t="shared" si="21"/>
        <v>2.0708244718787277E-2</v>
      </c>
    </row>
    <row r="160" spans="5:20" x14ac:dyDescent="0.3">
      <c r="E160" s="6">
        <f>LN('Data of Top 7 Stocks'!B159/'Data of Top 7 Stocks'!B158)</f>
        <v>-4.9032769596374787E-2</v>
      </c>
      <c r="F160" s="6">
        <f>LN('Data of Top 7 Stocks'!C159/'Data of Top 7 Stocks'!C158)</f>
        <v>5.3017957676272764E-2</v>
      </c>
      <c r="G160" s="6">
        <f>LN('Data of Top 7 Stocks'!D159/'Data of Top 7 Stocks'!D158)</f>
        <v>-1.6817747762663812E-2</v>
      </c>
      <c r="H160" s="6">
        <f>LN('Data of Top 7 Stocks'!E159/'Data of Top 7 Stocks'!E158)</f>
        <v>-5.0448683253868322E-3</v>
      </c>
      <c r="I160" s="6">
        <f>LN('Data of Top 7 Stocks'!F159/'Data of Top 7 Stocks'!F158)</f>
        <v>-5.0408486336816029E-2</v>
      </c>
      <c r="J160" s="6">
        <f>LN('Data of Top 7 Stocks'!G159/'Data of Top 7 Stocks'!G158)</f>
        <v>1.9645494553435752E-3</v>
      </c>
      <c r="K160" s="6">
        <f>LN('Data of Top 7 Stocks'!H159/'Data of Top 7 Stocks'!H158)</f>
        <v>8.0037622975390327E-3</v>
      </c>
      <c r="N160" s="6">
        <f t="shared" si="15"/>
        <v>-5.0820787584184721E-2</v>
      </c>
      <c r="O160" s="6">
        <f t="shared" si="16"/>
        <v>4.3188481179828264E-2</v>
      </c>
      <c r="P160" s="6">
        <f t="shared" si="17"/>
        <v>-1.937710190887354E-2</v>
      </c>
      <c r="Q160" s="6">
        <f t="shared" si="18"/>
        <v>-7.7542166608579391E-3</v>
      </c>
      <c r="R160" s="6">
        <f t="shared" si="19"/>
        <v>-5.1265264149426816E-2</v>
      </c>
      <c r="S160" s="6">
        <f t="shared" si="20"/>
        <v>4.8490973411394319E-4</v>
      </c>
      <c r="T160" s="6">
        <f t="shared" si="21"/>
        <v>4.1381749873431028E-3</v>
      </c>
    </row>
    <row r="161" spans="5:20" x14ac:dyDescent="0.3">
      <c r="E161" s="6">
        <f>LN('Data of Top 7 Stocks'!B160/'Data of Top 7 Stocks'!B159)</f>
        <v>-2.7114799141222005E-2</v>
      </c>
      <c r="F161" s="6">
        <f>LN('Data of Top 7 Stocks'!C160/'Data of Top 7 Stocks'!C159)</f>
        <v>-6.1078971574034066E-2</v>
      </c>
      <c r="G161" s="6">
        <f>LN('Data of Top 7 Stocks'!D160/'Data of Top 7 Stocks'!D159)</f>
        <v>-1.0447679028990815E-2</v>
      </c>
      <c r="H161" s="6">
        <f>LN('Data of Top 7 Stocks'!E160/'Data of Top 7 Stocks'!E159)</f>
        <v>1.302660215994348E-3</v>
      </c>
      <c r="I161" s="6">
        <f>LN('Data of Top 7 Stocks'!F160/'Data of Top 7 Stocks'!F159)</f>
        <v>-3.9002434668046884E-2</v>
      </c>
      <c r="J161" s="6">
        <f>LN('Data of Top 7 Stocks'!G160/'Data of Top 7 Stocks'!G159)</f>
        <v>-2.3696186933897148E-2</v>
      </c>
      <c r="K161" s="6">
        <f>LN('Data of Top 7 Stocks'!H160/'Data of Top 7 Stocks'!H159)</f>
        <v>1.840296427834465E-2</v>
      </c>
      <c r="N161" s="6">
        <f t="shared" si="15"/>
        <v>-2.8902817129031939E-2</v>
      </c>
      <c r="O161" s="6">
        <f t="shared" si="16"/>
        <v>-7.0908448070478566E-2</v>
      </c>
      <c r="P161" s="6">
        <f t="shared" si="17"/>
        <v>-1.3007033175200541E-2</v>
      </c>
      <c r="Q161" s="6">
        <f t="shared" si="18"/>
        <v>-1.4066881194767585E-3</v>
      </c>
      <c r="R161" s="6">
        <f t="shared" si="19"/>
        <v>-3.9859212480657671E-2</v>
      </c>
      <c r="S161" s="6">
        <f t="shared" si="20"/>
        <v>-2.5175826655126781E-2</v>
      </c>
      <c r="T161" s="6">
        <f t="shared" si="21"/>
        <v>1.453737696814872E-2</v>
      </c>
    </row>
    <row r="162" spans="5:20" x14ac:dyDescent="0.3">
      <c r="E162" s="6">
        <f>LN('Data of Top 7 Stocks'!B161/'Data of Top 7 Stocks'!B160)</f>
        <v>-2.9434680749242069E-2</v>
      </c>
      <c r="F162" s="6">
        <f>LN('Data of Top 7 Stocks'!C161/'Data of Top 7 Stocks'!C160)</f>
        <v>1.3157122771778593E-2</v>
      </c>
      <c r="G162" s="6">
        <f>LN('Data of Top 7 Stocks'!D161/'Data of Top 7 Stocks'!D160)</f>
        <v>2.3775265493658267E-2</v>
      </c>
      <c r="H162" s="6">
        <f>LN('Data of Top 7 Stocks'!E161/'Data of Top 7 Stocks'!E160)</f>
        <v>2.0410975567777729E-2</v>
      </c>
      <c r="I162" s="6">
        <f>LN('Data of Top 7 Stocks'!F161/'Data of Top 7 Stocks'!F160)</f>
        <v>7.7385046605772362E-2</v>
      </c>
      <c r="J162" s="6">
        <f>LN('Data of Top 7 Stocks'!G161/'Data of Top 7 Stocks'!G160)</f>
        <v>3.1471757622371407E-2</v>
      </c>
      <c r="K162" s="6">
        <f>LN('Data of Top 7 Stocks'!H161/'Data of Top 7 Stocks'!H160)</f>
        <v>-5.0300033614477345E-3</v>
      </c>
      <c r="N162" s="6">
        <f t="shared" si="15"/>
        <v>-3.1222698737052003E-2</v>
      </c>
      <c r="O162" s="6">
        <f t="shared" si="16"/>
        <v>3.3276462753340959E-3</v>
      </c>
      <c r="P162" s="6">
        <f t="shared" si="17"/>
        <v>2.1215911347448539E-2</v>
      </c>
      <c r="Q162" s="6">
        <f t="shared" si="18"/>
        <v>1.7701627232306623E-2</v>
      </c>
      <c r="R162" s="6">
        <f t="shared" si="19"/>
        <v>7.6528268793161575E-2</v>
      </c>
      <c r="S162" s="6">
        <f t="shared" si="20"/>
        <v>2.9992117901141774E-2</v>
      </c>
      <c r="T162" s="6">
        <f t="shared" si="21"/>
        <v>-8.8955906716436644E-3</v>
      </c>
    </row>
    <row r="163" spans="5:20" x14ac:dyDescent="0.3">
      <c r="E163" s="6">
        <f>LN('Data of Top 7 Stocks'!B162/'Data of Top 7 Stocks'!B161)</f>
        <v>-3.1807611203474903E-2</v>
      </c>
      <c r="F163" s="6">
        <f>LN('Data of Top 7 Stocks'!C162/'Data of Top 7 Stocks'!C161)</f>
        <v>3.5033725861122911E-2</v>
      </c>
      <c r="G163" s="6">
        <f>LN('Data of Top 7 Stocks'!D162/'Data of Top 7 Stocks'!D161)</f>
        <v>3.4432841884476414E-2</v>
      </c>
      <c r="H163" s="6">
        <f>LN('Data of Top 7 Stocks'!E162/'Data of Top 7 Stocks'!E161)</f>
        <v>2.1252156453090889E-2</v>
      </c>
      <c r="I163" s="6">
        <f>LN('Data of Top 7 Stocks'!F162/'Data of Top 7 Stocks'!F161)</f>
        <v>-4.7831655338815733E-2</v>
      </c>
      <c r="J163" s="6">
        <f>LN('Data of Top 7 Stocks'!G162/'Data of Top 7 Stocks'!G161)</f>
        <v>3.8677535174221463E-2</v>
      </c>
      <c r="K163" s="6">
        <f>LN('Data of Top 7 Stocks'!H162/'Data of Top 7 Stocks'!H161)</f>
        <v>5.5113687824549361E-2</v>
      </c>
      <c r="N163" s="6">
        <f t="shared" si="15"/>
        <v>-3.3595629191284837E-2</v>
      </c>
      <c r="O163" s="6">
        <f t="shared" si="16"/>
        <v>2.5204249364678414E-2</v>
      </c>
      <c r="P163" s="6">
        <f t="shared" si="17"/>
        <v>3.187348773826669E-2</v>
      </c>
      <c r="Q163" s="6">
        <f t="shared" si="18"/>
        <v>1.8542808117619783E-2</v>
      </c>
      <c r="R163" s="6">
        <f t="shared" si="19"/>
        <v>-4.868843315142652E-2</v>
      </c>
      <c r="S163" s="6">
        <f t="shared" si="20"/>
        <v>3.7197895452991833E-2</v>
      </c>
      <c r="T163" s="6">
        <f t="shared" si="21"/>
        <v>5.1248100514353433E-2</v>
      </c>
    </row>
    <row r="164" spans="5:20" x14ac:dyDescent="0.3">
      <c r="E164" s="6">
        <f>LN('Data of Top 7 Stocks'!B163/'Data of Top 7 Stocks'!B162)</f>
        <v>5.7647067608566346E-2</v>
      </c>
      <c r="F164" s="6">
        <f>LN('Data of Top 7 Stocks'!C163/'Data of Top 7 Stocks'!C162)</f>
        <v>-0.17210884455753109</v>
      </c>
      <c r="G164" s="6">
        <f>LN('Data of Top 7 Stocks'!D163/'Data of Top 7 Stocks'!D162)</f>
        <v>-6.7536600343915731E-2</v>
      </c>
      <c r="H164" s="6">
        <f>LN('Data of Top 7 Stocks'!E163/'Data of Top 7 Stocks'!E162)</f>
        <v>1.8851212570764792E-2</v>
      </c>
      <c r="I164" s="6">
        <f>LN('Data of Top 7 Stocks'!F163/'Data of Top 7 Stocks'!F162)</f>
        <v>-4.8817868592728776E-3</v>
      </c>
      <c r="J164" s="6">
        <f>LN('Data of Top 7 Stocks'!G163/'Data of Top 7 Stocks'!G162)</f>
        <v>1.1978218681348254E-2</v>
      </c>
      <c r="K164" s="6">
        <f>LN('Data of Top 7 Stocks'!H163/'Data of Top 7 Stocks'!H162)</f>
        <v>6.2399135641081203E-2</v>
      </c>
      <c r="N164" s="6">
        <f t="shared" si="15"/>
        <v>5.5859049620756412E-2</v>
      </c>
      <c r="O164" s="6">
        <f t="shared" si="16"/>
        <v>-0.18193832105397559</v>
      </c>
      <c r="P164" s="6">
        <f t="shared" si="17"/>
        <v>-7.0095954490125456E-2</v>
      </c>
      <c r="Q164" s="6">
        <f t="shared" si="18"/>
        <v>1.6141864235293686E-2</v>
      </c>
      <c r="R164" s="6">
        <f t="shared" si="19"/>
        <v>-5.7385646718836674E-3</v>
      </c>
      <c r="S164" s="6">
        <f t="shared" si="20"/>
        <v>1.0498578960118621E-2</v>
      </c>
      <c r="T164" s="6">
        <f t="shared" si="21"/>
        <v>5.8533548330885275E-2</v>
      </c>
    </row>
    <row r="165" spans="5:20" x14ac:dyDescent="0.3">
      <c r="E165" s="6">
        <f>LN('Data of Top 7 Stocks'!B164/'Data of Top 7 Stocks'!B163)</f>
        <v>-3.6110301266312858E-2</v>
      </c>
      <c r="F165" s="6">
        <f>LN('Data of Top 7 Stocks'!C164/'Data of Top 7 Stocks'!C163)</f>
        <v>7.8228017163709224E-2</v>
      </c>
      <c r="G165" s="6">
        <f>LN('Data of Top 7 Stocks'!D164/'Data of Top 7 Stocks'!D163)</f>
        <v>-1.2875870469575232E-2</v>
      </c>
      <c r="H165" s="6">
        <f>LN('Data of Top 7 Stocks'!E164/'Data of Top 7 Stocks'!E163)</f>
        <v>-9.6026052095827485E-2</v>
      </c>
      <c r="I165" s="6">
        <f>LN('Data of Top 7 Stocks'!F164/'Data of Top 7 Stocks'!F163)</f>
        <v>-0.11230498801063743</v>
      </c>
      <c r="J165" s="6">
        <f>LN('Data of Top 7 Stocks'!G164/'Data of Top 7 Stocks'!G163)</f>
        <v>-3.6548420199219084E-2</v>
      </c>
      <c r="K165" s="6">
        <f>LN('Data of Top 7 Stocks'!H164/'Data of Top 7 Stocks'!H163)</f>
        <v>3.6108503500613634E-2</v>
      </c>
      <c r="N165" s="6">
        <f t="shared" si="15"/>
        <v>-3.7898319254122792E-2</v>
      </c>
      <c r="O165" s="6">
        <f t="shared" si="16"/>
        <v>6.8398540667264723E-2</v>
      </c>
      <c r="P165" s="6">
        <f t="shared" si="17"/>
        <v>-1.5435224615784959E-2</v>
      </c>
      <c r="Q165" s="6">
        <f t="shared" si="18"/>
        <v>-9.8735400431298595E-2</v>
      </c>
      <c r="R165" s="6">
        <f t="shared" si="19"/>
        <v>-0.11316176582324822</v>
      </c>
      <c r="S165" s="6">
        <f t="shared" si="20"/>
        <v>-3.8028059920448713E-2</v>
      </c>
      <c r="T165" s="6">
        <f t="shared" si="21"/>
        <v>3.2242916190417706E-2</v>
      </c>
    </row>
    <row r="166" spans="5:20" x14ac:dyDescent="0.3">
      <c r="E166" s="6">
        <f>LN('Data of Top 7 Stocks'!B165/'Data of Top 7 Stocks'!B164)</f>
        <v>7.1902719493774789E-2</v>
      </c>
      <c r="F166" s="6">
        <f>LN('Data of Top 7 Stocks'!C165/'Data of Top 7 Stocks'!C164)</f>
        <v>6.7091290546472768E-2</v>
      </c>
      <c r="G166" s="6">
        <f>LN('Data of Top 7 Stocks'!D165/'Data of Top 7 Stocks'!D164)</f>
        <v>-3.2266766365797958E-3</v>
      </c>
      <c r="H166" s="6">
        <f>LN('Data of Top 7 Stocks'!E165/'Data of Top 7 Stocks'!E164)</f>
        <v>-5.936800239137093E-4</v>
      </c>
      <c r="I166" s="6">
        <f>LN('Data of Top 7 Stocks'!F165/'Data of Top 7 Stocks'!F164)</f>
        <v>-1.6112745100844924E-2</v>
      </c>
      <c r="J166" s="6">
        <f>LN('Data of Top 7 Stocks'!G165/'Data of Top 7 Stocks'!G164)</f>
        <v>-2.0531645593625599E-3</v>
      </c>
      <c r="K166" s="6">
        <f>LN('Data of Top 7 Stocks'!H165/'Data of Top 7 Stocks'!H164)</f>
        <v>3.0529042139645631E-2</v>
      </c>
      <c r="N166" s="6">
        <f t="shared" si="15"/>
        <v>7.0114701505964855E-2</v>
      </c>
      <c r="O166" s="6">
        <f t="shared" si="16"/>
        <v>5.7261814050028267E-2</v>
      </c>
      <c r="P166" s="6">
        <f t="shared" si="17"/>
        <v>-5.7860307827895226E-3</v>
      </c>
      <c r="Q166" s="6">
        <f t="shared" si="18"/>
        <v>-3.3030283593848157E-3</v>
      </c>
      <c r="R166" s="6">
        <f t="shared" si="19"/>
        <v>-1.6969522913455715E-2</v>
      </c>
      <c r="S166" s="6">
        <f t="shared" si="20"/>
        <v>-3.5328042805921919E-3</v>
      </c>
      <c r="T166" s="6">
        <f t="shared" si="21"/>
        <v>2.6663454829449703E-2</v>
      </c>
    </row>
    <row r="167" spans="5:20" x14ac:dyDescent="0.3">
      <c r="E167" s="6">
        <f>LN('Data of Top 7 Stocks'!B166/'Data of Top 7 Stocks'!B165)</f>
        <v>3.876369232181725E-3</v>
      </c>
      <c r="F167" s="6">
        <f>LN('Data of Top 7 Stocks'!C166/'Data of Top 7 Stocks'!C165)</f>
        <v>-3.2350596286647056E-2</v>
      </c>
      <c r="G167" s="6">
        <f>LN('Data of Top 7 Stocks'!D166/'Data of Top 7 Stocks'!D165)</f>
        <v>-5.3879311648257812E-4</v>
      </c>
      <c r="H167" s="6">
        <f>LN('Data of Top 7 Stocks'!E166/'Data of Top 7 Stocks'!E165)</f>
        <v>-3.0532120333571007E-2</v>
      </c>
      <c r="I167" s="6">
        <f>LN('Data of Top 7 Stocks'!F166/'Data of Top 7 Stocks'!F165)</f>
        <v>-5.2027187248463051E-2</v>
      </c>
      <c r="J167" s="6">
        <f>LN('Data of Top 7 Stocks'!G166/'Data of Top 7 Stocks'!G165)</f>
        <v>-5.4363652195537196E-2</v>
      </c>
      <c r="K167" s="6">
        <f>LN('Data of Top 7 Stocks'!H166/'Data of Top 7 Stocks'!H165)</f>
        <v>-7.4840224342328135E-2</v>
      </c>
      <c r="N167" s="6">
        <f t="shared" si="15"/>
        <v>2.0883512443717915E-3</v>
      </c>
      <c r="O167" s="6">
        <f t="shared" si="16"/>
        <v>-4.2180072783091549E-2</v>
      </c>
      <c r="P167" s="6">
        <f t="shared" si="17"/>
        <v>-3.0981472626923049E-3</v>
      </c>
      <c r="Q167" s="6">
        <f t="shared" si="18"/>
        <v>-3.3241468669042117E-2</v>
      </c>
      <c r="R167" s="6">
        <f t="shared" si="19"/>
        <v>-5.2883965061073838E-2</v>
      </c>
      <c r="S167" s="6">
        <f t="shared" si="20"/>
        <v>-5.5843291916766825E-2</v>
      </c>
      <c r="T167" s="6">
        <f t="shared" si="21"/>
        <v>-7.8705811652524063E-2</v>
      </c>
    </row>
    <row r="168" spans="5:20" x14ac:dyDescent="0.3">
      <c r="E168" s="6">
        <f>LN('Data of Top 7 Stocks'!B167/'Data of Top 7 Stocks'!B166)</f>
        <v>-1.5224242014051039E-2</v>
      </c>
      <c r="F168" s="6">
        <f>LN('Data of Top 7 Stocks'!C167/'Data of Top 7 Stocks'!C166)</f>
        <v>-7.337008505128359E-2</v>
      </c>
      <c r="G168" s="6">
        <f>LN('Data of Top 7 Stocks'!D167/'Data of Top 7 Stocks'!D166)</f>
        <v>-2.7870656417808899E-2</v>
      </c>
      <c r="H168" s="6">
        <f>LN('Data of Top 7 Stocks'!E167/'Data of Top 7 Stocks'!E166)</f>
        <v>-5.3622034841108925E-2</v>
      </c>
      <c r="I168" s="6">
        <f>LN('Data of Top 7 Stocks'!F167/'Data of Top 7 Stocks'!F166)</f>
        <v>-0.14234965707207572</v>
      </c>
      <c r="J168" s="6">
        <f>LN('Data of Top 7 Stocks'!G167/'Data of Top 7 Stocks'!G166)</f>
        <v>-2.0053836240539257E-2</v>
      </c>
      <c r="K168" s="6">
        <f>LN('Data of Top 7 Stocks'!H167/'Data of Top 7 Stocks'!H166)</f>
        <v>-2.2712276455344998E-2</v>
      </c>
      <c r="N168" s="6">
        <f t="shared" si="15"/>
        <v>-1.7012260001860971E-2</v>
      </c>
      <c r="O168" s="6">
        <f t="shared" si="16"/>
        <v>-8.319956154772809E-2</v>
      </c>
      <c r="P168" s="6">
        <f t="shared" si="17"/>
        <v>-3.0430010564018627E-2</v>
      </c>
      <c r="Q168" s="6">
        <f t="shared" si="18"/>
        <v>-5.6331383176580034E-2</v>
      </c>
      <c r="R168" s="6">
        <f t="shared" si="19"/>
        <v>-0.14320643488468651</v>
      </c>
      <c r="S168" s="6">
        <f t="shared" si="20"/>
        <v>-2.153347596176889E-2</v>
      </c>
      <c r="T168" s="6">
        <f t="shared" si="21"/>
        <v>-2.6577863765540926E-2</v>
      </c>
    </row>
    <row r="169" spans="5:20" x14ac:dyDescent="0.3">
      <c r="E169" s="6">
        <f>LN('Data of Top 7 Stocks'!B168/'Data of Top 7 Stocks'!B167)</f>
        <v>-1.1519954393436168E-2</v>
      </c>
      <c r="F169" s="6">
        <f>LN('Data of Top 7 Stocks'!C168/'Data of Top 7 Stocks'!C167)</f>
        <v>-0.10303284645061994</v>
      </c>
      <c r="G169" s="6">
        <f>LN('Data of Top 7 Stocks'!D168/'Data of Top 7 Stocks'!D167)</f>
        <v>-9.3129864549867832E-3</v>
      </c>
      <c r="H169" s="6">
        <f>LN('Data of Top 7 Stocks'!E168/'Data of Top 7 Stocks'!E167)</f>
        <v>2.0806236690966678E-2</v>
      </c>
      <c r="I169" s="6">
        <f>LN('Data of Top 7 Stocks'!F168/'Data of Top 7 Stocks'!F167)</f>
        <v>-0.10920585583704641</v>
      </c>
      <c r="J169" s="6">
        <f>LN('Data of Top 7 Stocks'!G168/'Data of Top 7 Stocks'!G167)</f>
        <v>-6.3345840289369834E-2</v>
      </c>
      <c r="K169" s="6">
        <f>LN('Data of Top 7 Stocks'!H168/'Data of Top 7 Stocks'!H167)</f>
        <v>-6.5780437362037522E-2</v>
      </c>
      <c r="N169" s="6">
        <f t="shared" si="15"/>
        <v>-1.3307972381246102E-2</v>
      </c>
      <c r="O169" s="6">
        <f t="shared" si="16"/>
        <v>-0.11286232294706444</v>
      </c>
      <c r="P169" s="6">
        <f t="shared" si="17"/>
        <v>-1.187234060119651E-2</v>
      </c>
      <c r="Q169" s="6">
        <f t="shared" si="18"/>
        <v>1.8096888355495572E-2</v>
      </c>
      <c r="R169" s="6">
        <f t="shared" si="19"/>
        <v>-0.1100626336496572</v>
      </c>
      <c r="S169" s="6">
        <f t="shared" si="20"/>
        <v>-6.4825480010599471E-2</v>
      </c>
      <c r="T169" s="6">
        <f t="shared" si="21"/>
        <v>-6.964602467223345E-2</v>
      </c>
    </row>
    <row r="170" spans="5:20" x14ac:dyDescent="0.3">
      <c r="E170" s="6">
        <f>LN('Data of Top 7 Stocks'!B169/'Data of Top 7 Stocks'!B168)</f>
        <v>-0.1131664029135338</v>
      </c>
      <c r="F170" s="6">
        <f>LN('Data of Top 7 Stocks'!C169/'Data of Top 7 Stocks'!C168)</f>
        <v>7.6671775835099779E-2</v>
      </c>
      <c r="G170" s="6">
        <f>LN('Data of Top 7 Stocks'!D169/'Data of Top 7 Stocks'!D168)</f>
        <v>-1.2150506960591625E-2</v>
      </c>
      <c r="H170" s="6">
        <f>LN('Data of Top 7 Stocks'!E169/'Data of Top 7 Stocks'!E168)</f>
        <v>-4.9339607620066464E-2</v>
      </c>
      <c r="I170" s="6">
        <f>LN('Data of Top 7 Stocks'!F169/'Data of Top 7 Stocks'!F168)</f>
        <v>-4.9517576802501802E-2</v>
      </c>
      <c r="J170" s="6">
        <f>LN('Data of Top 7 Stocks'!G169/'Data of Top 7 Stocks'!G168)</f>
        <v>-6.5458441181848268E-3</v>
      </c>
      <c r="K170" s="6">
        <f>LN('Data of Top 7 Stocks'!H169/'Data of Top 7 Stocks'!H168)</f>
        <v>-2.929032183900087E-2</v>
      </c>
      <c r="N170" s="6">
        <f t="shared" si="15"/>
        <v>-0.11495442090134374</v>
      </c>
      <c r="O170" s="6">
        <f t="shared" si="16"/>
        <v>6.6842299338655278E-2</v>
      </c>
      <c r="P170" s="6">
        <f t="shared" si="17"/>
        <v>-1.4709861106801352E-2</v>
      </c>
      <c r="Q170" s="6">
        <f t="shared" si="18"/>
        <v>-5.2048955955537574E-2</v>
      </c>
      <c r="R170" s="6">
        <f t="shared" si="19"/>
        <v>-5.0374354615112589E-2</v>
      </c>
      <c r="S170" s="6">
        <f t="shared" si="20"/>
        <v>-8.025483839414458E-3</v>
      </c>
      <c r="T170" s="6">
        <f t="shared" si="21"/>
        <v>-3.3155909149196798E-2</v>
      </c>
    </row>
    <row r="171" spans="5:20" x14ac:dyDescent="0.3">
      <c r="E171" s="6">
        <f>LN('Data of Top 7 Stocks'!B170/'Data of Top 7 Stocks'!B169)</f>
        <v>2.2142835386753528E-2</v>
      </c>
      <c r="F171" s="6">
        <f>LN('Data of Top 7 Stocks'!C170/'Data of Top 7 Stocks'!C169)</f>
        <v>-3.3173447533126628E-2</v>
      </c>
      <c r="G171" s="6">
        <f>LN('Data of Top 7 Stocks'!D170/'Data of Top 7 Stocks'!D169)</f>
        <v>6.9247025956766066E-3</v>
      </c>
      <c r="H171" s="6">
        <f>LN('Data of Top 7 Stocks'!E170/'Data of Top 7 Stocks'!E169)</f>
        <v>-9.1053196754976515E-3</v>
      </c>
      <c r="I171" s="6">
        <f>LN('Data of Top 7 Stocks'!F170/'Data of Top 7 Stocks'!F169)</f>
        <v>-5.0933555738266389E-3</v>
      </c>
      <c r="J171" s="6">
        <f>LN('Data of Top 7 Stocks'!G170/'Data of Top 7 Stocks'!G169)</f>
        <v>-8.8289593201292937E-3</v>
      </c>
      <c r="K171" s="6">
        <f>LN('Data of Top 7 Stocks'!H170/'Data of Top 7 Stocks'!H169)</f>
        <v>-1.885672851906689E-2</v>
      </c>
      <c r="N171" s="6">
        <f t="shared" si="15"/>
        <v>2.0354817398943594E-2</v>
      </c>
      <c r="O171" s="6">
        <f t="shared" si="16"/>
        <v>-4.3002924029571121E-2</v>
      </c>
      <c r="P171" s="6">
        <f t="shared" si="17"/>
        <v>4.3653484494668802E-3</v>
      </c>
      <c r="Q171" s="6">
        <f t="shared" si="18"/>
        <v>-1.1814668010968758E-2</v>
      </c>
      <c r="R171" s="6">
        <f t="shared" si="19"/>
        <v>-5.9501333864374287E-3</v>
      </c>
      <c r="S171" s="6">
        <f t="shared" si="20"/>
        <v>-1.0308599041358925E-2</v>
      </c>
      <c r="T171" s="6">
        <f t="shared" si="21"/>
        <v>-2.2722315829262818E-2</v>
      </c>
    </row>
    <row r="172" spans="5:20" x14ac:dyDescent="0.3">
      <c r="E172" s="6">
        <f>LN('Data of Top 7 Stocks'!B171/'Data of Top 7 Stocks'!B170)</f>
        <v>-1.696586600412E-3</v>
      </c>
      <c r="F172" s="6">
        <f>LN('Data of Top 7 Stocks'!C171/'Data of Top 7 Stocks'!C170)</f>
        <v>-7.0663157494113574E-2</v>
      </c>
      <c r="G172" s="6">
        <f>LN('Data of Top 7 Stocks'!D171/'Data of Top 7 Stocks'!D170)</f>
        <v>-3.236393932124268E-2</v>
      </c>
      <c r="H172" s="6">
        <f>LN('Data of Top 7 Stocks'!E171/'Data of Top 7 Stocks'!E170)</f>
        <v>-6.0712283442614083E-2</v>
      </c>
      <c r="I172" s="6">
        <f>LN('Data of Top 7 Stocks'!F171/'Data of Top 7 Stocks'!F170)</f>
        <v>5.7955544212966927E-2</v>
      </c>
      <c r="J172" s="6">
        <f>LN('Data of Top 7 Stocks'!G171/'Data of Top 7 Stocks'!G170)</f>
        <v>-1.7947155925394323E-2</v>
      </c>
      <c r="K172" s="6">
        <f>LN('Data of Top 7 Stocks'!H171/'Data of Top 7 Stocks'!H170)</f>
        <v>-3.3268483833895822E-2</v>
      </c>
      <c r="N172" s="6">
        <f t="shared" si="15"/>
        <v>-3.4846045882219335E-3</v>
      </c>
      <c r="O172" s="6">
        <f t="shared" si="16"/>
        <v>-8.0492633990558074E-2</v>
      </c>
      <c r="P172" s="6">
        <f t="shared" si="17"/>
        <v>-3.4923293467452404E-2</v>
      </c>
      <c r="Q172" s="6">
        <f t="shared" si="18"/>
        <v>-6.3421631778085186E-2</v>
      </c>
      <c r="R172" s="6">
        <f t="shared" si="19"/>
        <v>5.7098766400356139E-2</v>
      </c>
      <c r="S172" s="6">
        <f t="shared" si="20"/>
        <v>-1.9426795646623956E-2</v>
      </c>
      <c r="T172" s="6">
        <f t="shared" si="21"/>
        <v>-3.713407114409175E-2</v>
      </c>
    </row>
    <row r="173" spans="5:20" x14ac:dyDescent="0.3">
      <c r="E173" s="6">
        <f>LN('Data of Top 7 Stocks'!B172/'Data of Top 7 Stocks'!B171)</f>
        <v>-0.1455750425559032</v>
      </c>
      <c r="F173" s="6">
        <f>LN('Data of Top 7 Stocks'!C172/'Data of Top 7 Stocks'!C171)</f>
        <v>-0.15088862821632401</v>
      </c>
      <c r="G173" s="6">
        <f>LN('Data of Top 7 Stocks'!D172/'Data of Top 7 Stocks'!D171)</f>
        <v>-5.1348873100917736E-2</v>
      </c>
      <c r="H173" s="6">
        <f>LN('Data of Top 7 Stocks'!E172/'Data of Top 7 Stocks'!E171)</f>
        <v>-5.8230031150154599E-2</v>
      </c>
      <c r="I173" s="6">
        <f>LN('Data of Top 7 Stocks'!F172/'Data of Top 7 Stocks'!F171)</f>
        <v>-9.5982004745188726E-2</v>
      </c>
      <c r="J173" s="6">
        <f>LN('Data of Top 7 Stocks'!G172/'Data of Top 7 Stocks'!G171)</f>
        <v>-0.11957480180395609</v>
      </c>
      <c r="K173" s="6">
        <f>LN('Data of Top 7 Stocks'!H172/'Data of Top 7 Stocks'!H171)</f>
        <v>-0.13336792553677057</v>
      </c>
      <c r="N173" s="6">
        <f t="shared" si="15"/>
        <v>-0.14736306054371312</v>
      </c>
      <c r="O173" s="6">
        <f t="shared" si="16"/>
        <v>-0.16071810471276851</v>
      </c>
      <c r="P173" s="6">
        <f t="shared" si="17"/>
        <v>-5.390822724712746E-2</v>
      </c>
      <c r="Q173" s="6">
        <f t="shared" si="18"/>
        <v>-6.0939379485625708E-2</v>
      </c>
      <c r="R173" s="6">
        <f t="shared" si="19"/>
        <v>-9.6838782557799513E-2</v>
      </c>
      <c r="S173" s="6">
        <f t="shared" si="20"/>
        <v>-0.12105444152518573</v>
      </c>
      <c r="T173" s="6">
        <f t="shared" si="21"/>
        <v>-0.1372335128469665</v>
      </c>
    </row>
    <row r="174" spans="5:20" x14ac:dyDescent="0.3">
      <c r="E174" s="6">
        <f>LN('Data of Top 7 Stocks'!B173/'Data of Top 7 Stocks'!B172)</f>
        <v>5.0563120241773035E-2</v>
      </c>
      <c r="F174" s="6">
        <f>LN('Data of Top 7 Stocks'!C173/'Data of Top 7 Stocks'!C172)</f>
        <v>0.1623121431947748</v>
      </c>
      <c r="G174" s="6">
        <f>LN('Data of Top 7 Stocks'!D173/'Data of Top 7 Stocks'!D172)</f>
        <v>7.6504973185424194E-2</v>
      </c>
      <c r="H174" s="6">
        <f>LN('Data of Top 7 Stocks'!E173/'Data of Top 7 Stocks'!E172)</f>
        <v>7.6273991985089884E-2</v>
      </c>
      <c r="I174" s="6">
        <f>LN('Data of Top 7 Stocks'!F173/'Data of Top 7 Stocks'!F172)</f>
        <v>5.2397391660261278E-2</v>
      </c>
      <c r="J174" s="6">
        <f>LN('Data of Top 7 Stocks'!G173/'Data of Top 7 Stocks'!G172)</f>
        <v>7.7989318861694329E-2</v>
      </c>
      <c r="K174" s="6">
        <f>LN('Data of Top 7 Stocks'!H173/'Data of Top 7 Stocks'!H172)</f>
        <v>7.4134860284241461E-2</v>
      </c>
      <c r="N174" s="6">
        <f t="shared" si="15"/>
        <v>4.8775102253963101E-2</v>
      </c>
      <c r="O174" s="6">
        <f t="shared" si="16"/>
        <v>0.1524826666983303</v>
      </c>
      <c r="P174" s="6">
        <f t="shared" si="17"/>
        <v>7.3945619039214469E-2</v>
      </c>
      <c r="Q174" s="6">
        <f t="shared" si="18"/>
        <v>7.3564643649618774E-2</v>
      </c>
      <c r="R174" s="6">
        <f t="shared" si="19"/>
        <v>5.154061384765049E-2</v>
      </c>
      <c r="S174" s="6">
        <f t="shared" si="20"/>
        <v>7.6509679140464693E-2</v>
      </c>
      <c r="T174" s="6">
        <f t="shared" si="21"/>
        <v>7.0269272974045532E-2</v>
      </c>
    </row>
    <row r="175" spans="5:20" x14ac:dyDescent="0.3">
      <c r="E175" s="6">
        <f>LN('Data of Top 7 Stocks'!B174/'Data of Top 7 Stocks'!B173)</f>
        <v>-5.9221188948877729E-3</v>
      </c>
      <c r="F175" s="6">
        <f>LN('Data of Top 7 Stocks'!C174/'Data of Top 7 Stocks'!C173)</f>
        <v>-8.8939100289841561E-2</v>
      </c>
      <c r="G175" s="6">
        <f>LN('Data of Top 7 Stocks'!D174/'Data of Top 7 Stocks'!D173)</f>
        <v>-5.467952808372268E-2</v>
      </c>
      <c r="H175" s="6">
        <f>LN('Data of Top 7 Stocks'!E174/'Data of Top 7 Stocks'!E173)</f>
        <v>-3.8798249266387301E-2</v>
      </c>
      <c r="I175" s="6">
        <f>LN('Data of Top 7 Stocks'!F174/'Data of Top 7 Stocks'!F173)</f>
        <v>-4.4327464337780301E-2</v>
      </c>
      <c r="J175" s="6">
        <f>LN('Data of Top 7 Stocks'!G174/'Data of Top 7 Stocks'!G173)</f>
        <v>-6.8618160965756195E-2</v>
      </c>
      <c r="K175" s="6">
        <f>LN('Data of Top 7 Stocks'!H174/'Data of Top 7 Stocks'!H173)</f>
        <v>-8.0594766868301596E-2</v>
      </c>
      <c r="N175" s="6">
        <f t="shared" si="15"/>
        <v>-7.7101368826977068E-3</v>
      </c>
      <c r="O175" s="6">
        <f t="shared" si="16"/>
        <v>-9.8768576786286061E-2</v>
      </c>
      <c r="P175" s="6">
        <f t="shared" si="17"/>
        <v>-5.7238882229932404E-2</v>
      </c>
      <c r="Q175" s="6">
        <f t="shared" si="18"/>
        <v>-4.1507597601858411E-2</v>
      </c>
      <c r="R175" s="6">
        <f t="shared" si="19"/>
        <v>-4.5184242150391088E-2</v>
      </c>
      <c r="S175" s="6">
        <f t="shared" si="20"/>
        <v>-7.0097800686985831E-2</v>
      </c>
      <c r="T175" s="6">
        <f t="shared" si="21"/>
        <v>-8.4460354178497524E-2</v>
      </c>
    </row>
    <row r="176" spans="5:20" x14ac:dyDescent="0.3">
      <c r="E176" s="6">
        <f>LN('Data of Top 7 Stocks'!B175/'Data of Top 7 Stocks'!B174)</f>
        <v>6.0570867527277729E-2</v>
      </c>
      <c r="F176" s="6">
        <f>LN('Data of Top 7 Stocks'!C175/'Data of Top 7 Stocks'!C174)</f>
        <v>8.9660015883829006E-2</v>
      </c>
      <c r="G176" s="6">
        <f>LN('Data of Top 7 Stocks'!D175/'Data of Top 7 Stocks'!D174)</f>
        <v>6.3394180186166674E-2</v>
      </c>
      <c r="H176" s="6">
        <f>LN('Data of Top 7 Stocks'!E175/'Data of Top 7 Stocks'!E174)</f>
        <v>6.9010512682672318E-2</v>
      </c>
      <c r="I176" s="6">
        <f>LN('Data of Top 7 Stocks'!F175/'Data of Top 7 Stocks'!F174)</f>
        <v>0.16598270040250021</v>
      </c>
      <c r="J176" s="6">
        <f>LN('Data of Top 7 Stocks'!G175/'Data of Top 7 Stocks'!G174)</f>
        <v>9.0659389208348137E-2</v>
      </c>
      <c r="K176" s="6">
        <f>LN('Data of Top 7 Stocks'!H175/'Data of Top 7 Stocks'!H174)</f>
        <v>8.7378555855550238E-2</v>
      </c>
      <c r="N176" s="6">
        <f t="shared" si="15"/>
        <v>5.8782849539467795E-2</v>
      </c>
      <c r="O176" s="6">
        <f t="shared" si="16"/>
        <v>7.9830539387384505E-2</v>
      </c>
      <c r="P176" s="6">
        <f t="shared" si="17"/>
        <v>6.0834826039956949E-2</v>
      </c>
      <c r="Q176" s="6">
        <f t="shared" si="18"/>
        <v>6.6301164347201208E-2</v>
      </c>
      <c r="R176" s="6">
        <f t="shared" si="19"/>
        <v>0.16512592258988942</v>
      </c>
      <c r="S176" s="6">
        <f t="shared" si="20"/>
        <v>8.9179749487118501E-2</v>
      </c>
      <c r="T176" s="6">
        <f t="shared" si="21"/>
        <v>8.351296854535431E-2</v>
      </c>
    </row>
    <row r="177" spans="5:20" x14ac:dyDescent="0.3">
      <c r="E177" s="6">
        <f>LN('Data of Top 7 Stocks'!B176/'Data of Top 7 Stocks'!B175)</f>
        <v>-1.8957227866266368E-2</v>
      </c>
      <c r="F177" s="6">
        <f>LN('Data of Top 7 Stocks'!C176/'Data of Top 7 Stocks'!C175)</f>
        <v>3.0954535649738522E-2</v>
      </c>
      <c r="G177" s="6">
        <f>LN('Data of Top 7 Stocks'!D176/'Data of Top 7 Stocks'!D175)</f>
        <v>0.10511038867879624</v>
      </c>
      <c r="H177" s="6">
        <f>LN('Data of Top 7 Stocks'!E176/'Data of Top 7 Stocks'!E175)</f>
        <v>1.2699946760433995E-2</v>
      </c>
      <c r="I177" s="6">
        <f>LN('Data of Top 7 Stocks'!F176/'Data of Top 7 Stocks'!F175)</f>
        <v>7.8999292283994955E-3</v>
      </c>
      <c r="J177" s="6">
        <f>LN('Data of Top 7 Stocks'!G176/'Data of Top 7 Stocks'!G175)</f>
        <v>5.2246998550901117E-3</v>
      </c>
      <c r="K177" s="6">
        <f>LN('Data of Top 7 Stocks'!H176/'Data of Top 7 Stocks'!H175)</f>
        <v>8.7008331565607763E-2</v>
      </c>
      <c r="N177" s="6">
        <f t="shared" si="15"/>
        <v>-2.0745245854076302E-2</v>
      </c>
      <c r="O177" s="6">
        <f t="shared" si="16"/>
        <v>2.1125059153294025E-2</v>
      </c>
      <c r="P177" s="6">
        <f t="shared" si="17"/>
        <v>0.10255103453258652</v>
      </c>
      <c r="Q177" s="6">
        <f t="shared" si="18"/>
        <v>9.9905984249628894E-3</v>
      </c>
      <c r="R177" s="6">
        <f t="shared" si="19"/>
        <v>7.0431514157887056E-3</v>
      </c>
      <c r="S177" s="6">
        <f t="shared" si="20"/>
        <v>3.7450601338604797E-3</v>
      </c>
      <c r="T177" s="6">
        <f t="shared" si="21"/>
        <v>8.3142744255411835E-2</v>
      </c>
    </row>
    <row r="178" spans="5:20" x14ac:dyDescent="0.3">
      <c r="E178" s="6">
        <f>LN('Data of Top 7 Stocks'!B177/'Data of Top 7 Stocks'!B176)</f>
        <v>-3.3775618193580069E-2</v>
      </c>
      <c r="F178" s="6">
        <f>LN('Data of Top 7 Stocks'!C177/'Data of Top 7 Stocks'!C176)</f>
        <v>1.8603175473144776E-2</v>
      </c>
      <c r="G178" s="6">
        <f>LN('Data of Top 7 Stocks'!D177/'Data of Top 7 Stocks'!D176)</f>
        <v>7.8946875178374388E-3</v>
      </c>
      <c r="H178" s="6">
        <f>LN('Data of Top 7 Stocks'!E177/'Data of Top 7 Stocks'!E176)</f>
        <v>-7.1246739872689646E-2</v>
      </c>
      <c r="I178" s="6">
        <f>LN('Data of Top 7 Stocks'!F177/'Data of Top 7 Stocks'!F176)</f>
        <v>3.7751933825228276E-2</v>
      </c>
      <c r="J178" s="6">
        <f>LN('Data of Top 7 Stocks'!G177/'Data of Top 7 Stocks'!G176)</f>
        <v>1.6082217958432791E-2</v>
      </c>
      <c r="K178" s="6">
        <f>LN('Data of Top 7 Stocks'!H177/'Data of Top 7 Stocks'!H176)</f>
        <v>-7.6166184392559072E-3</v>
      </c>
      <c r="N178" s="6">
        <f t="shared" si="15"/>
        <v>-3.5563636181390003E-2</v>
      </c>
      <c r="O178" s="6">
        <f t="shared" si="16"/>
        <v>8.7736989767002796E-3</v>
      </c>
      <c r="P178" s="6">
        <f t="shared" si="17"/>
        <v>5.3353333716277124E-3</v>
      </c>
      <c r="Q178" s="6">
        <f t="shared" si="18"/>
        <v>-7.3956088208160756E-2</v>
      </c>
      <c r="R178" s="6">
        <f t="shared" si="19"/>
        <v>3.6895156012617489E-2</v>
      </c>
      <c r="S178" s="6">
        <f t="shared" si="20"/>
        <v>1.4602578237203158E-2</v>
      </c>
      <c r="T178" s="6">
        <f t="shared" si="21"/>
        <v>-1.1482205749451836E-2</v>
      </c>
    </row>
    <row r="179" spans="5:20" x14ac:dyDescent="0.3">
      <c r="E179" s="6">
        <f>LN('Data of Top 7 Stocks'!B178/'Data of Top 7 Stocks'!B177)</f>
        <v>6.2149380186028572E-2</v>
      </c>
      <c r="F179" s="6">
        <f>LN('Data of Top 7 Stocks'!C178/'Data of Top 7 Stocks'!C177)</f>
        <v>0.1490553620107356</v>
      </c>
      <c r="G179" s="6">
        <f>LN('Data of Top 7 Stocks'!D178/'Data of Top 7 Stocks'!D177)</f>
        <v>3.4807545230144135E-2</v>
      </c>
      <c r="H179" s="6">
        <f>LN('Data of Top 7 Stocks'!E178/'Data of Top 7 Stocks'!E177)</f>
        <v>8.4329114087727169E-2</v>
      </c>
      <c r="I179" s="6">
        <f>LN('Data of Top 7 Stocks'!F178/'Data of Top 7 Stocks'!F177)</f>
        <v>0.1599104206589651</v>
      </c>
      <c r="J179" s="6">
        <f>LN('Data of Top 7 Stocks'!G178/'Data of Top 7 Stocks'!G177)</f>
        <v>6.2882872845372889E-2</v>
      </c>
      <c r="K179" s="6">
        <f>LN('Data of Top 7 Stocks'!H178/'Data of Top 7 Stocks'!H177)</f>
        <v>7.7665290060667483E-2</v>
      </c>
      <c r="N179" s="6">
        <f t="shared" si="15"/>
        <v>6.0361362198218638E-2</v>
      </c>
      <c r="O179" s="6">
        <f t="shared" si="16"/>
        <v>0.1392258855142911</v>
      </c>
      <c r="P179" s="6">
        <f t="shared" si="17"/>
        <v>3.224819108393441E-2</v>
      </c>
      <c r="Q179" s="6">
        <f t="shared" si="18"/>
        <v>8.161976575225606E-2</v>
      </c>
      <c r="R179" s="6">
        <f t="shared" si="19"/>
        <v>0.15905364284635432</v>
      </c>
      <c r="S179" s="6">
        <f t="shared" si="20"/>
        <v>6.140323312414326E-2</v>
      </c>
      <c r="T179" s="6">
        <f t="shared" si="21"/>
        <v>7.3799702750471555E-2</v>
      </c>
    </row>
    <row r="180" spans="5:20" x14ac:dyDescent="0.3">
      <c r="E180" s="6">
        <f>LN('Data of Top 7 Stocks'!B179/'Data of Top 7 Stocks'!B178)</f>
        <v>-7.8706386142610413E-2</v>
      </c>
      <c r="F180" s="6">
        <f>LN('Data of Top 7 Stocks'!C179/'Data of Top 7 Stocks'!C178)</f>
        <v>-3.0824743532155724E-2</v>
      </c>
      <c r="G180" s="6">
        <f>LN('Data of Top 7 Stocks'!D179/'Data of Top 7 Stocks'!D178)</f>
        <v>-9.0442321399590245E-3</v>
      </c>
      <c r="H180" s="6">
        <f>LN('Data of Top 7 Stocks'!E179/'Data of Top 7 Stocks'!E178)</f>
        <v>1.3625980258680842E-2</v>
      </c>
      <c r="I180" s="6">
        <f>LN('Data of Top 7 Stocks'!F179/'Data of Top 7 Stocks'!F178)</f>
        <v>-3.0873455378807927E-2</v>
      </c>
      <c r="J180" s="6">
        <f>LN('Data of Top 7 Stocks'!G179/'Data of Top 7 Stocks'!G178)</f>
        <v>-2.2628738688181521E-2</v>
      </c>
      <c r="K180" s="6">
        <f>LN('Data of Top 7 Stocks'!H179/'Data of Top 7 Stocks'!H178)</f>
        <v>-2.0957055455926767E-2</v>
      </c>
      <c r="N180" s="6">
        <f t="shared" si="15"/>
        <v>-8.0494404130420347E-2</v>
      </c>
      <c r="O180" s="6">
        <f t="shared" si="16"/>
        <v>-4.0654220028600224E-2</v>
      </c>
      <c r="P180" s="6">
        <f t="shared" si="17"/>
        <v>-1.1603586286168751E-2</v>
      </c>
      <c r="Q180" s="6">
        <f t="shared" si="18"/>
        <v>1.0916631923209736E-2</v>
      </c>
      <c r="R180" s="6">
        <f t="shared" si="19"/>
        <v>-3.1730233191418718E-2</v>
      </c>
      <c r="S180" s="6">
        <f t="shared" si="20"/>
        <v>-2.4108378409411154E-2</v>
      </c>
      <c r="T180" s="6">
        <f t="shared" si="21"/>
        <v>-2.4822642766122695E-2</v>
      </c>
    </row>
    <row r="181" spans="5:20" x14ac:dyDescent="0.3">
      <c r="E181" s="6">
        <f>LN('Data of Top 7 Stocks'!B180/'Data of Top 7 Stocks'!B179)</f>
        <v>2.8175144552885455E-2</v>
      </c>
      <c r="F181" s="6">
        <f>LN('Data of Top 7 Stocks'!C180/'Data of Top 7 Stocks'!C179)</f>
        <v>2.8828661103975677E-2</v>
      </c>
      <c r="G181" s="6">
        <f>LN('Data of Top 7 Stocks'!D180/'Data of Top 7 Stocks'!D179)</f>
        <v>2.2361289314598017E-2</v>
      </c>
      <c r="H181" s="6">
        <f>LN('Data of Top 7 Stocks'!E180/'Data of Top 7 Stocks'!E179)</f>
        <v>1.9224012846226129E-2</v>
      </c>
      <c r="I181" s="6">
        <f>LN('Data of Top 7 Stocks'!F180/'Data of Top 7 Stocks'!F179)</f>
        <v>2.0764817236001498E-2</v>
      </c>
      <c r="J181" s="6">
        <f>LN('Data of Top 7 Stocks'!G180/'Data of Top 7 Stocks'!G179)</f>
        <v>1.9803602858823263E-2</v>
      </c>
      <c r="K181" s="6">
        <f>LN('Data of Top 7 Stocks'!H180/'Data of Top 7 Stocks'!H179)</f>
        <v>3.2061119604521605E-2</v>
      </c>
      <c r="N181" s="6">
        <f t="shared" si="15"/>
        <v>2.6387126565075521E-2</v>
      </c>
      <c r="O181" s="6">
        <f t="shared" si="16"/>
        <v>1.899918460753118E-2</v>
      </c>
      <c r="P181" s="6">
        <f t="shared" si="17"/>
        <v>1.9801935168388289E-2</v>
      </c>
      <c r="Q181" s="6">
        <f t="shared" si="18"/>
        <v>1.6514664510755023E-2</v>
      </c>
      <c r="R181" s="6">
        <f t="shared" si="19"/>
        <v>1.9908039423390707E-2</v>
      </c>
      <c r="S181" s="6">
        <f t="shared" si="20"/>
        <v>1.832396313759363E-2</v>
      </c>
      <c r="T181" s="6">
        <f t="shared" si="21"/>
        <v>2.8195532294325677E-2</v>
      </c>
    </row>
    <row r="182" spans="5:20" x14ac:dyDescent="0.3">
      <c r="E182" s="6">
        <f>LN('Data of Top 7 Stocks'!B181/'Data of Top 7 Stocks'!B180)</f>
        <v>1.516939926256883E-2</v>
      </c>
      <c r="F182" s="6">
        <f>LN('Data of Top 7 Stocks'!C181/'Data of Top 7 Stocks'!C180)</f>
        <v>4.7616001947276582E-2</v>
      </c>
      <c r="G182" s="6">
        <f>LN('Data of Top 7 Stocks'!D181/'Data of Top 7 Stocks'!D180)</f>
        <v>2.1532086573450491E-2</v>
      </c>
      <c r="H182" s="6">
        <f>LN('Data of Top 7 Stocks'!E181/'Data of Top 7 Stocks'!E180)</f>
        <v>1.1232820325697741E-2</v>
      </c>
      <c r="I182" s="6">
        <f>LN('Data of Top 7 Stocks'!F181/'Data of Top 7 Stocks'!F180)</f>
        <v>-0.16031755181549134</v>
      </c>
      <c r="J182" s="6">
        <f>LN('Data of Top 7 Stocks'!G181/'Data of Top 7 Stocks'!G180)</f>
        <v>4.090588934740786E-2</v>
      </c>
      <c r="K182" s="6">
        <f>LN('Data of Top 7 Stocks'!H181/'Data of Top 7 Stocks'!H180)</f>
        <v>7.4700194211285445E-2</v>
      </c>
      <c r="N182" s="6">
        <f t="shared" si="15"/>
        <v>1.3381381274758896E-2</v>
      </c>
      <c r="O182" s="6">
        <f t="shared" si="16"/>
        <v>3.7786525450832081E-2</v>
      </c>
      <c r="P182" s="6">
        <f t="shared" si="17"/>
        <v>1.8972732427240763E-2</v>
      </c>
      <c r="Q182" s="6">
        <f t="shared" si="18"/>
        <v>8.5234719902266345E-3</v>
      </c>
      <c r="R182" s="6">
        <f t="shared" si="19"/>
        <v>-0.16117432962810213</v>
      </c>
      <c r="S182" s="6">
        <f t="shared" si="20"/>
        <v>3.9426249626178231E-2</v>
      </c>
      <c r="T182" s="6">
        <f t="shared" si="21"/>
        <v>7.0834606901089517E-2</v>
      </c>
    </row>
    <row r="183" spans="5:20" x14ac:dyDescent="0.3">
      <c r="E183" s="6">
        <f>LN('Data of Top 7 Stocks'!B182/'Data of Top 7 Stocks'!B181)</f>
        <v>-3.7319814063391285E-2</v>
      </c>
      <c r="F183" s="6">
        <f>LN('Data of Top 7 Stocks'!C182/'Data of Top 7 Stocks'!C181)</f>
        <v>1.7624876782112813E-3</v>
      </c>
      <c r="G183" s="6">
        <f>LN('Data of Top 7 Stocks'!D182/'Data of Top 7 Stocks'!D181)</f>
        <v>9.6897112886791519E-3</v>
      </c>
      <c r="H183" s="6">
        <f>LN('Data of Top 7 Stocks'!E182/'Data of Top 7 Stocks'!E181)</f>
        <v>5.6839538702649767E-3</v>
      </c>
      <c r="I183" s="6">
        <f>LN('Data of Top 7 Stocks'!F182/'Data of Top 7 Stocks'!F181)</f>
        <v>9.7328753826107783E-2</v>
      </c>
      <c r="J183" s="6">
        <f>LN('Data of Top 7 Stocks'!G182/'Data of Top 7 Stocks'!G181)</f>
        <v>-6.9067862132547652E-3</v>
      </c>
      <c r="K183" s="6">
        <f>LN('Data of Top 7 Stocks'!H182/'Data of Top 7 Stocks'!H181)</f>
        <v>-2.1499038945456135E-2</v>
      </c>
      <c r="N183" s="6">
        <f t="shared" si="15"/>
        <v>-3.9107832051201219E-2</v>
      </c>
      <c r="O183" s="6">
        <f t="shared" si="16"/>
        <v>-8.0669888182332162E-3</v>
      </c>
      <c r="P183" s="6">
        <f t="shared" si="17"/>
        <v>7.1303571424694255E-3</v>
      </c>
      <c r="Q183" s="6">
        <f t="shared" si="18"/>
        <v>2.9746055347938702E-3</v>
      </c>
      <c r="R183" s="6">
        <f t="shared" si="19"/>
        <v>9.6471976013496996E-2</v>
      </c>
      <c r="S183" s="6">
        <f t="shared" si="20"/>
        <v>-8.3864259344843973E-3</v>
      </c>
      <c r="T183" s="6">
        <f t="shared" si="21"/>
        <v>-2.5364626255652063E-2</v>
      </c>
    </row>
    <row r="184" spans="5:20" x14ac:dyDescent="0.3">
      <c r="E184" s="6">
        <f>LN('Data of Top 7 Stocks'!B183/'Data of Top 7 Stocks'!B182)</f>
        <v>2.2896962054607065E-2</v>
      </c>
      <c r="F184" s="6">
        <f>LN('Data of Top 7 Stocks'!C183/'Data of Top 7 Stocks'!C182)</f>
        <v>1.3155322322074356E-2</v>
      </c>
      <c r="G184" s="6">
        <f>LN('Data of Top 7 Stocks'!D183/'Data of Top 7 Stocks'!D182)</f>
        <v>5.1241239423098278E-3</v>
      </c>
      <c r="H184" s="6">
        <f>LN('Data of Top 7 Stocks'!E183/'Data of Top 7 Stocks'!E182)</f>
        <v>-4.7062682487584974E-2</v>
      </c>
      <c r="I184" s="6">
        <f>LN('Data of Top 7 Stocks'!F183/'Data of Top 7 Stocks'!F182)</f>
        <v>-9.7302573182123341E-3</v>
      </c>
      <c r="J184" s="6">
        <f>LN('Data of Top 7 Stocks'!G183/'Data of Top 7 Stocks'!G182)</f>
        <v>-1.1427611971982485E-2</v>
      </c>
      <c r="K184" s="6">
        <f>LN('Data of Top 7 Stocks'!H183/'Data of Top 7 Stocks'!H182)</f>
        <v>-7.6178202069536677E-4</v>
      </c>
      <c r="N184" s="6">
        <f t="shared" si="15"/>
        <v>2.1108944066797131E-2</v>
      </c>
      <c r="O184" s="6">
        <f t="shared" si="16"/>
        <v>3.3258458256298588E-3</v>
      </c>
      <c r="P184" s="6">
        <f t="shared" si="17"/>
        <v>2.5647697961001009E-3</v>
      </c>
      <c r="Q184" s="6">
        <f t="shared" si="18"/>
        <v>-4.9772030823056083E-2</v>
      </c>
      <c r="R184" s="6">
        <f t="shared" si="19"/>
        <v>-1.0587035130823123E-2</v>
      </c>
      <c r="S184" s="6">
        <f t="shared" si="20"/>
        <v>-1.2907251693212118E-2</v>
      </c>
      <c r="T184" s="6">
        <f t="shared" si="21"/>
        <v>-4.6273693308912962E-3</v>
      </c>
    </row>
    <row r="185" spans="5:20" x14ac:dyDescent="0.3">
      <c r="E185" s="6">
        <f>LN('Data of Top 7 Stocks'!B184/'Data of Top 7 Stocks'!B183)</f>
        <v>3.9793076529873232E-4</v>
      </c>
      <c r="F185" s="6">
        <f>LN('Data of Top 7 Stocks'!C184/'Data of Top 7 Stocks'!C183)</f>
        <v>9.2240411423765711E-2</v>
      </c>
      <c r="G185" s="6">
        <f>LN('Data of Top 7 Stocks'!D184/'Data of Top 7 Stocks'!D183)</f>
        <v>3.810023776107499E-2</v>
      </c>
      <c r="H185" s="6">
        <f>LN('Data of Top 7 Stocks'!E184/'Data of Top 7 Stocks'!E183)</f>
        <v>6.8920857372153824E-2</v>
      </c>
      <c r="I185" s="6">
        <f>LN('Data of Top 7 Stocks'!F184/'Data of Top 7 Stocks'!F183)</f>
        <v>4.5525713898407682E-3</v>
      </c>
      <c r="J185" s="6">
        <f>LN('Data of Top 7 Stocks'!G184/'Data of Top 7 Stocks'!G183)</f>
        <v>6.2885909247458072E-2</v>
      </c>
      <c r="K185" s="6">
        <f>LN('Data of Top 7 Stocks'!H184/'Data of Top 7 Stocks'!H183)</f>
        <v>7.2462091642270049E-2</v>
      </c>
      <c r="N185" s="6">
        <f t="shared" si="15"/>
        <v>-1.3900872225112014E-3</v>
      </c>
      <c r="O185" s="6">
        <f t="shared" si="16"/>
        <v>8.2410934927321211E-2</v>
      </c>
      <c r="P185" s="6">
        <f t="shared" si="17"/>
        <v>3.5540883614865265E-2</v>
      </c>
      <c r="Q185" s="6">
        <f t="shared" si="18"/>
        <v>6.6211509036682714E-2</v>
      </c>
      <c r="R185" s="6">
        <f t="shared" si="19"/>
        <v>3.6957935772299788E-3</v>
      </c>
      <c r="S185" s="6">
        <f t="shared" si="20"/>
        <v>6.1406269526228442E-2</v>
      </c>
      <c r="T185" s="6">
        <f t="shared" si="21"/>
        <v>6.8596504332074121E-2</v>
      </c>
    </row>
    <row r="186" spans="5:20" x14ac:dyDescent="0.3">
      <c r="E186" s="6">
        <f>LN('Data of Top 7 Stocks'!B185/'Data of Top 7 Stocks'!B184)</f>
        <v>6.0168158463101098E-2</v>
      </c>
      <c r="F186" s="6">
        <f>LN('Data of Top 7 Stocks'!C185/'Data of Top 7 Stocks'!C184)</f>
        <v>1.0028782530897366E-2</v>
      </c>
      <c r="G186" s="6">
        <f>LN('Data of Top 7 Stocks'!D185/'Data of Top 7 Stocks'!D184)</f>
        <v>5.8304513867416963E-3</v>
      </c>
      <c r="H186" s="6">
        <f>LN('Data of Top 7 Stocks'!E185/'Data of Top 7 Stocks'!E184)</f>
        <v>5.5856705578670009E-3</v>
      </c>
      <c r="I186" s="6">
        <f>LN('Data of Top 7 Stocks'!F185/'Data of Top 7 Stocks'!F184)</f>
        <v>-2.5917754823379213E-2</v>
      </c>
      <c r="J186" s="6">
        <f>LN('Data of Top 7 Stocks'!G185/'Data of Top 7 Stocks'!G184)</f>
        <v>4.9248954455159005E-4</v>
      </c>
      <c r="K186" s="6">
        <f>LN('Data of Top 7 Stocks'!H185/'Data of Top 7 Stocks'!H184)</f>
        <v>-2.0129548496222855E-2</v>
      </c>
      <c r="N186" s="6">
        <f t="shared" si="15"/>
        <v>5.8380140475291165E-2</v>
      </c>
      <c r="O186" s="6">
        <f t="shared" si="16"/>
        <v>1.9930603445286917E-4</v>
      </c>
      <c r="P186" s="6">
        <f t="shared" si="17"/>
        <v>3.2710972405319695E-3</v>
      </c>
      <c r="Q186" s="6">
        <f t="shared" si="18"/>
        <v>2.8763222223958944E-3</v>
      </c>
      <c r="R186" s="6">
        <f t="shared" si="19"/>
        <v>-2.6774532635990004E-2</v>
      </c>
      <c r="S186" s="6">
        <f t="shared" si="20"/>
        <v>-9.8715017667804199E-4</v>
      </c>
      <c r="T186" s="6">
        <f t="shared" si="21"/>
        <v>-2.3995135806418783E-2</v>
      </c>
    </row>
    <row r="187" spans="5:20" x14ac:dyDescent="0.3">
      <c r="E187" s="6">
        <f>LN('Data of Top 7 Stocks'!B186/'Data of Top 7 Stocks'!B185)</f>
        <v>-1.1254857332060055E-2</v>
      </c>
      <c r="F187" s="6">
        <f>LN('Data of Top 7 Stocks'!C186/'Data of Top 7 Stocks'!C185)</f>
        <v>3.4420223886479154E-2</v>
      </c>
      <c r="G187" s="6">
        <f>LN('Data of Top 7 Stocks'!D186/'Data of Top 7 Stocks'!D185)</f>
        <v>8.9407476712208746E-3</v>
      </c>
      <c r="H187" s="6">
        <f>LN('Data of Top 7 Stocks'!E186/'Data of Top 7 Stocks'!E185)</f>
        <v>3.669524855985365E-3</v>
      </c>
      <c r="I187" s="6">
        <f>LN('Data of Top 7 Stocks'!F186/'Data of Top 7 Stocks'!F185)</f>
        <v>-5.8518756187781696E-3</v>
      </c>
      <c r="J187" s="6">
        <f>LN('Data of Top 7 Stocks'!G186/'Data of Top 7 Stocks'!G185)</f>
        <v>7.1806387522621046E-3</v>
      </c>
      <c r="K187" s="6">
        <f>LN('Data of Top 7 Stocks'!H186/'Data of Top 7 Stocks'!H185)</f>
        <v>-2.0883810112867873E-3</v>
      </c>
      <c r="N187" s="6">
        <f t="shared" si="15"/>
        <v>-1.3042875319869989E-2</v>
      </c>
      <c r="O187" s="6">
        <f t="shared" si="16"/>
        <v>2.4590747390034657E-2</v>
      </c>
      <c r="P187" s="6">
        <f t="shared" si="17"/>
        <v>6.3813935250111482E-3</v>
      </c>
      <c r="Q187" s="6">
        <f t="shared" si="18"/>
        <v>9.6017652051425852E-4</v>
      </c>
      <c r="R187" s="6">
        <f t="shared" si="19"/>
        <v>-6.7086534313889595E-3</v>
      </c>
      <c r="S187" s="6">
        <f t="shared" si="20"/>
        <v>5.7009990310324726E-3</v>
      </c>
      <c r="T187" s="6">
        <f t="shared" si="21"/>
        <v>-5.9539683214827168E-3</v>
      </c>
    </row>
    <row r="188" spans="5:20" x14ac:dyDescent="0.3">
      <c r="E188" s="6">
        <f>LN('Data of Top 7 Stocks'!B187/'Data of Top 7 Stocks'!B186)</f>
        <v>9.4710422952809772E-5</v>
      </c>
      <c r="F188" s="6">
        <f>LN('Data of Top 7 Stocks'!C187/'Data of Top 7 Stocks'!C186)</f>
        <v>4.4414853349060708E-2</v>
      </c>
      <c r="G188" s="6">
        <f>LN('Data of Top 7 Stocks'!D187/'Data of Top 7 Stocks'!D186)</f>
        <v>1.3282609404760705E-2</v>
      </c>
      <c r="H188" s="6">
        <f>LN('Data of Top 7 Stocks'!E187/'Data of Top 7 Stocks'!E186)</f>
        <v>2.6668247082161273E-2</v>
      </c>
      <c r="I188" s="6">
        <f>LN('Data of Top 7 Stocks'!F187/'Data of Top 7 Stocks'!F186)</f>
        <v>5.0200228068426445E-2</v>
      </c>
      <c r="J188" s="6">
        <f>LN('Data of Top 7 Stocks'!G187/'Data of Top 7 Stocks'!G186)</f>
        <v>4.9207679919768526E-3</v>
      </c>
      <c r="K188" s="6">
        <f>LN('Data of Top 7 Stocks'!H187/'Data of Top 7 Stocks'!H186)</f>
        <v>-1.8610880460639745E-2</v>
      </c>
      <c r="N188" s="6">
        <f t="shared" si="15"/>
        <v>-1.693307564857124E-3</v>
      </c>
      <c r="O188" s="6">
        <f t="shared" si="16"/>
        <v>3.4585376852616215E-2</v>
      </c>
      <c r="P188" s="6">
        <f t="shared" si="17"/>
        <v>1.0723255258550978E-2</v>
      </c>
      <c r="Q188" s="6">
        <f t="shared" si="18"/>
        <v>2.3958898746690167E-2</v>
      </c>
      <c r="R188" s="6">
        <f t="shared" si="19"/>
        <v>4.9343450255815657E-2</v>
      </c>
      <c r="S188" s="6">
        <f t="shared" si="20"/>
        <v>3.4411282707472205E-3</v>
      </c>
      <c r="T188" s="6">
        <f t="shared" si="21"/>
        <v>-2.2476467770835673E-2</v>
      </c>
    </row>
    <row r="189" spans="5:20" x14ac:dyDescent="0.3">
      <c r="E189" s="6">
        <f>LN('Data of Top 7 Stocks'!B188/'Data of Top 7 Stocks'!B187)</f>
        <v>1.2704259702162508E-2</v>
      </c>
      <c r="F189" s="6">
        <f>LN('Data of Top 7 Stocks'!C188/'Data of Top 7 Stocks'!C187)</f>
        <v>6.3022381991541471E-3</v>
      </c>
      <c r="G189" s="6">
        <f>LN('Data of Top 7 Stocks'!D188/'Data of Top 7 Stocks'!D187)</f>
        <v>7.1501437699780001E-3</v>
      </c>
      <c r="H189" s="6">
        <f>LN('Data of Top 7 Stocks'!E188/'Data of Top 7 Stocks'!E187)</f>
        <v>4.2942299930265639E-2</v>
      </c>
      <c r="I189" s="6">
        <f>LN('Data of Top 7 Stocks'!F188/'Data of Top 7 Stocks'!F187)</f>
        <v>-4.2099416578350937E-2</v>
      </c>
      <c r="J189" s="6">
        <f>LN('Data of Top 7 Stocks'!G188/'Data of Top 7 Stocks'!G187)</f>
        <v>2.3210605532976956E-2</v>
      </c>
      <c r="K189" s="6">
        <f>LN('Data of Top 7 Stocks'!H188/'Data of Top 7 Stocks'!H187)</f>
        <v>1.1856507457525582E-2</v>
      </c>
      <c r="N189" s="6">
        <f t="shared" si="15"/>
        <v>1.0916241714352574E-2</v>
      </c>
      <c r="O189" s="6">
        <f t="shared" si="16"/>
        <v>-3.5272382972903497E-3</v>
      </c>
      <c r="P189" s="6">
        <f t="shared" si="17"/>
        <v>4.5907896237682728E-3</v>
      </c>
      <c r="Q189" s="6">
        <f t="shared" si="18"/>
        <v>4.0232951594794529E-2</v>
      </c>
      <c r="R189" s="6">
        <f t="shared" si="19"/>
        <v>-4.2956194390961724E-2</v>
      </c>
      <c r="S189" s="6">
        <f t="shared" si="20"/>
        <v>2.1730965811747324E-2</v>
      </c>
      <c r="T189" s="6">
        <f t="shared" si="21"/>
        <v>7.9909201473296523E-3</v>
      </c>
    </row>
    <row r="190" spans="5:20" x14ac:dyDescent="0.3">
      <c r="E190" s="6">
        <f>LN('Data of Top 7 Stocks'!B189/'Data of Top 7 Stocks'!B188)</f>
        <v>-5.5267991778916913E-2</v>
      </c>
      <c r="F190" s="6">
        <f>LN('Data of Top 7 Stocks'!C189/'Data of Top 7 Stocks'!C188)</f>
        <v>1.2672082797072644E-3</v>
      </c>
      <c r="G190" s="6">
        <f>LN('Data of Top 7 Stocks'!D189/'Data of Top 7 Stocks'!D188)</f>
        <v>2.0042682055769194E-2</v>
      </c>
      <c r="H190" s="6">
        <f>LN('Data of Top 7 Stocks'!E189/'Data of Top 7 Stocks'!E188)</f>
        <v>-2.1187787450786845E-2</v>
      </c>
      <c r="I190" s="6">
        <f>LN('Data of Top 7 Stocks'!F189/'Data of Top 7 Stocks'!F188)</f>
        <v>-4.3421131760917012E-2</v>
      </c>
      <c r="J190" s="6">
        <f>LN('Data of Top 7 Stocks'!G189/'Data of Top 7 Stocks'!G188)</f>
        <v>-7.4846099803514865E-2</v>
      </c>
      <c r="K190" s="6">
        <f>LN('Data of Top 7 Stocks'!H189/'Data of Top 7 Stocks'!H188)</f>
        <v>5.1054027959032348E-2</v>
      </c>
      <c r="N190" s="6">
        <f t="shared" si="15"/>
        <v>-5.7056009766726846E-2</v>
      </c>
      <c r="O190" s="6">
        <f t="shared" si="16"/>
        <v>-8.5622682167372319E-3</v>
      </c>
      <c r="P190" s="6">
        <f t="shared" si="17"/>
        <v>1.7483327909559466E-2</v>
      </c>
      <c r="Q190" s="6">
        <f t="shared" si="18"/>
        <v>-2.3897135786257951E-2</v>
      </c>
      <c r="R190" s="6">
        <f t="shared" si="19"/>
        <v>-4.4277909573527799E-2</v>
      </c>
      <c r="S190" s="6">
        <f t="shared" si="20"/>
        <v>-7.6325739524744501E-2</v>
      </c>
      <c r="T190" s="6">
        <f t="shared" si="21"/>
        <v>4.718844064883642E-2</v>
      </c>
    </row>
    <row r="191" spans="5:20" x14ac:dyDescent="0.3">
      <c r="E191" s="6">
        <f>LN('Data of Top 7 Stocks'!B190/'Data of Top 7 Stocks'!B189)</f>
        <v>0.12510210274156713</v>
      </c>
      <c r="F191" s="6">
        <f>LN('Data of Top 7 Stocks'!C190/'Data of Top 7 Stocks'!C189)</f>
        <v>5.0400655717339808E-2</v>
      </c>
      <c r="G191" s="6">
        <f>LN('Data of Top 7 Stocks'!D190/'Data of Top 7 Stocks'!D189)</f>
        <v>-3.9573726549483063E-3</v>
      </c>
      <c r="H191" s="6">
        <f>LN('Data of Top 7 Stocks'!E190/'Data of Top 7 Stocks'!E189)</f>
        <v>6.2957670919635514E-2</v>
      </c>
      <c r="I191" s="6">
        <f>LN('Data of Top 7 Stocks'!F190/'Data of Top 7 Stocks'!F189)</f>
        <v>8.5520548339267866E-2</v>
      </c>
      <c r="J191" s="6">
        <f>LN('Data of Top 7 Stocks'!G190/'Data of Top 7 Stocks'!G189)</f>
        <v>3.6306108933200416E-2</v>
      </c>
      <c r="K191" s="6">
        <f>LN('Data of Top 7 Stocks'!H190/'Data of Top 7 Stocks'!H189)</f>
        <v>2.5394470690087597E-2</v>
      </c>
      <c r="N191" s="6">
        <f t="shared" si="15"/>
        <v>0.1233140847537572</v>
      </c>
      <c r="O191" s="6">
        <f t="shared" si="16"/>
        <v>4.0571179220895315E-2</v>
      </c>
      <c r="P191" s="6">
        <f t="shared" si="17"/>
        <v>-6.5167268011580327E-3</v>
      </c>
      <c r="Q191" s="6">
        <f t="shared" si="18"/>
        <v>6.0248322584164404E-2</v>
      </c>
      <c r="R191" s="6">
        <f t="shared" si="19"/>
        <v>8.4663770526657078E-2</v>
      </c>
      <c r="S191" s="6">
        <f t="shared" si="20"/>
        <v>3.4826469211970787E-2</v>
      </c>
      <c r="T191" s="6">
        <f t="shared" si="21"/>
        <v>2.1528883379891669E-2</v>
      </c>
    </row>
    <row r="192" spans="5:20" x14ac:dyDescent="0.3">
      <c r="E192" s="6">
        <f>LN('Data of Top 7 Stocks'!B191/'Data of Top 7 Stocks'!B190)</f>
        <v>9.7193458305482976E-3</v>
      </c>
      <c r="F192" s="6">
        <f>LN('Data of Top 7 Stocks'!C191/'Data of Top 7 Stocks'!C190)</f>
        <v>-1.2391732295163497E-2</v>
      </c>
      <c r="G192" s="6">
        <f>LN('Data of Top 7 Stocks'!D191/'Data of Top 7 Stocks'!D190)</f>
        <v>-3.58853207463576E-3</v>
      </c>
      <c r="H192" s="6">
        <f>LN('Data of Top 7 Stocks'!E191/'Data of Top 7 Stocks'!E190)</f>
        <v>1.2237397360410983E-2</v>
      </c>
      <c r="I192" s="6">
        <f>LN('Data of Top 7 Stocks'!F191/'Data of Top 7 Stocks'!F190)</f>
        <v>2.7567003719651032E-3</v>
      </c>
      <c r="J192" s="6">
        <f>LN('Data of Top 7 Stocks'!G191/'Data of Top 7 Stocks'!G190)</f>
        <v>3.6766902421703163E-2</v>
      </c>
      <c r="K192" s="6">
        <f>LN('Data of Top 7 Stocks'!H191/'Data of Top 7 Stocks'!H190)</f>
        <v>2.0495658033841117E-2</v>
      </c>
      <c r="N192" s="6">
        <f t="shared" si="15"/>
        <v>7.9313278427383636E-3</v>
      </c>
      <c r="O192" s="6">
        <f t="shared" si="16"/>
        <v>-2.2221208791607994E-2</v>
      </c>
      <c r="P192" s="6">
        <f t="shared" si="17"/>
        <v>-6.1478862208454868E-3</v>
      </c>
      <c r="Q192" s="6">
        <f t="shared" si="18"/>
        <v>9.5280490249398768E-3</v>
      </c>
      <c r="R192" s="6">
        <f t="shared" si="19"/>
        <v>1.8999225593543138E-3</v>
      </c>
      <c r="S192" s="6">
        <f t="shared" si="20"/>
        <v>3.5287262700473533E-2</v>
      </c>
      <c r="T192" s="6">
        <f t="shared" si="21"/>
        <v>1.6630070723645189E-2</v>
      </c>
    </row>
    <row r="193" spans="4:29" x14ac:dyDescent="0.3">
      <c r="E193" s="6">
        <f>LN('Data of Top 7 Stocks'!B192/'Data of Top 7 Stocks'!B191)</f>
        <v>-1.6676123903947196E-2</v>
      </c>
      <c r="F193" s="6">
        <f>LN('Data of Top 7 Stocks'!C192/'Data of Top 7 Stocks'!C191)</f>
        <v>-1.3726362150135884E-2</v>
      </c>
      <c r="G193" s="6">
        <f>LN('Data of Top 7 Stocks'!D192/'Data of Top 7 Stocks'!D191)</f>
        <v>-2.5191131585880294E-2</v>
      </c>
      <c r="H193" s="6">
        <f>LN('Data of Top 7 Stocks'!E192/'Data of Top 7 Stocks'!E191)</f>
        <v>1.0683289003007603E-2</v>
      </c>
      <c r="I193" s="6">
        <f>LN('Data of Top 7 Stocks'!F192/'Data of Top 7 Stocks'!F191)</f>
        <v>2.8186843011121804E-2</v>
      </c>
      <c r="J193" s="6">
        <f>LN('Data of Top 7 Stocks'!G192/'Data of Top 7 Stocks'!G191)</f>
        <v>-9.5245028189404439E-3</v>
      </c>
      <c r="K193" s="6">
        <f>LN('Data of Top 7 Stocks'!H192/'Data of Top 7 Stocks'!H191)</f>
        <v>-3.9537103634758035E-2</v>
      </c>
      <c r="N193" s="6">
        <f t="shared" si="15"/>
        <v>-1.846414189175713E-2</v>
      </c>
      <c r="O193" s="6">
        <f t="shared" si="16"/>
        <v>-2.3555838646580382E-2</v>
      </c>
      <c r="P193" s="6">
        <f t="shared" si="17"/>
        <v>-2.7750485732090022E-2</v>
      </c>
      <c r="Q193" s="6">
        <f t="shared" si="18"/>
        <v>7.9739406675364971E-3</v>
      </c>
      <c r="R193" s="6">
        <f t="shared" si="19"/>
        <v>2.7330065198511014E-2</v>
      </c>
      <c r="S193" s="6">
        <f t="shared" si="20"/>
        <v>-1.1004142540170077E-2</v>
      </c>
      <c r="T193" s="6">
        <f t="shared" si="21"/>
        <v>-4.3402690944953963E-2</v>
      </c>
    </row>
    <row r="194" spans="4:29" x14ac:dyDescent="0.3">
      <c r="E194" s="6">
        <f>LN('Data of Top 7 Stocks'!B193/'Data of Top 7 Stocks'!B192)</f>
        <v>1.9048194970694411E-2</v>
      </c>
      <c r="F194" s="6">
        <f>LN('Data of Top 7 Stocks'!C193/'Data of Top 7 Stocks'!C192)</f>
        <v>-2.1638121674068093E-2</v>
      </c>
      <c r="G194" s="6">
        <f>LN('Data of Top 7 Stocks'!D193/'Data of Top 7 Stocks'!D192)</f>
        <v>-1.0651728954093041E-3</v>
      </c>
      <c r="H194" s="6">
        <f>LN('Data of Top 7 Stocks'!E193/'Data of Top 7 Stocks'!E192)</f>
        <v>3.2556574621584185E-2</v>
      </c>
      <c r="I194" s="6">
        <f>LN('Data of Top 7 Stocks'!F193/'Data of Top 7 Stocks'!F192)</f>
        <v>-1.822333328895202E-2</v>
      </c>
      <c r="J194" s="6">
        <f>LN('Data of Top 7 Stocks'!G193/'Data of Top 7 Stocks'!G192)</f>
        <v>6.9893415391157881E-4</v>
      </c>
      <c r="K194" s="6">
        <f>LN('Data of Top 7 Stocks'!H193/'Data of Top 7 Stocks'!H192)</f>
        <v>-2.1547680329279891E-2</v>
      </c>
      <c r="N194" s="6">
        <f t="shared" si="15"/>
        <v>1.7260176982884477E-2</v>
      </c>
      <c r="O194" s="6">
        <f t="shared" si="16"/>
        <v>-3.146759817051259E-2</v>
      </c>
      <c r="P194" s="6">
        <f t="shared" si="17"/>
        <v>-3.6245270416190309E-3</v>
      </c>
      <c r="Q194" s="6">
        <f t="shared" si="18"/>
        <v>2.9847226286113079E-2</v>
      </c>
      <c r="R194" s="6">
        <f t="shared" si="19"/>
        <v>-1.9080111101562811E-2</v>
      </c>
      <c r="S194" s="6">
        <f t="shared" si="20"/>
        <v>-7.8070556731805324E-4</v>
      </c>
      <c r="T194" s="6">
        <f t="shared" si="21"/>
        <v>-2.5413267639475819E-2</v>
      </c>
    </row>
    <row r="195" spans="4:29" x14ac:dyDescent="0.3">
      <c r="E195" s="6">
        <f>LN('Data of Top 7 Stocks'!B194/'Data of Top 7 Stocks'!B193)</f>
        <v>3.2005783814422532E-2</v>
      </c>
      <c r="F195" s="6">
        <f>LN('Data of Top 7 Stocks'!C194/'Data of Top 7 Stocks'!C193)</f>
        <v>-4.1975681539510132E-2</v>
      </c>
      <c r="G195" s="6">
        <f>LN('Data of Top 7 Stocks'!D194/'Data of Top 7 Stocks'!D193)</f>
        <v>-2.3341614174711103E-2</v>
      </c>
      <c r="H195" s="6">
        <f>LN('Data of Top 7 Stocks'!E194/'Data of Top 7 Stocks'!E193)</f>
        <v>9.8715972939157806E-2</v>
      </c>
      <c r="I195" s="6">
        <f>LN('Data of Top 7 Stocks'!F194/'Data of Top 7 Stocks'!F193)</f>
        <v>4.9578583429737401E-2</v>
      </c>
      <c r="J195" s="6">
        <f>LN('Data of Top 7 Stocks'!G194/'Data of Top 7 Stocks'!G193)</f>
        <v>1.4436771232957042E-2</v>
      </c>
      <c r="K195" s="6">
        <f>LN('Data of Top 7 Stocks'!H194/'Data of Top 7 Stocks'!H193)</f>
        <v>1.8442664698035603E-2</v>
      </c>
      <c r="N195" s="6">
        <f t="shared" si="15"/>
        <v>3.0217765826612598E-2</v>
      </c>
      <c r="O195" s="6">
        <f t="shared" si="16"/>
        <v>-5.1805158035954632E-2</v>
      </c>
      <c r="P195" s="6">
        <f t="shared" si="17"/>
        <v>-2.5900968320920831E-2</v>
      </c>
      <c r="Q195" s="6">
        <f t="shared" si="18"/>
        <v>9.6006624603686697E-2</v>
      </c>
      <c r="R195" s="6">
        <f t="shared" si="19"/>
        <v>4.8721805617126614E-2</v>
      </c>
      <c r="S195" s="6">
        <f t="shared" si="20"/>
        <v>1.2957131511727411E-2</v>
      </c>
      <c r="T195" s="6">
        <f t="shared" si="21"/>
        <v>1.4577077387839673E-2</v>
      </c>
    </row>
    <row r="196" spans="4:29" x14ac:dyDescent="0.3">
      <c r="E196" s="6">
        <f>LN('Data of Top 7 Stocks'!B195/'Data of Top 7 Stocks'!B194)</f>
        <v>-2.3726205833086097E-2</v>
      </c>
      <c r="F196" s="6">
        <f>LN('Data of Top 7 Stocks'!C195/'Data of Top 7 Stocks'!C194)</f>
        <v>6.2658236967909467E-2</v>
      </c>
      <c r="G196" s="6">
        <f>LN('Data of Top 7 Stocks'!D195/'Data of Top 7 Stocks'!D194)</f>
        <v>2.9656865492419617E-2</v>
      </c>
      <c r="H196" s="6">
        <f>LN('Data of Top 7 Stocks'!E195/'Data of Top 7 Stocks'!E194)</f>
        <v>2.4381199290507111E-2</v>
      </c>
      <c r="I196" s="6">
        <f>LN('Data of Top 7 Stocks'!F195/'Data of Top 7 Stocks'!F194)</f>
        <v>0.12093240554020449</v>
      </c>
      <c r="J196" s="6">
        <f>LN('Data of Top 7 Stocks'!G195/'Data of Top 7 Stocks'!G194)</f>
        <v>-1.8155467413785025E-2</v>
      </c>
      <c r="K196" s="6">
        <f>LN('Data of Top 7 Stocks'!H195/'Data of Top 7 Stocks'!H194)</f>
        <v>4.1643517914331241E-3</v>
      </c>
      <c r="N196" s="6">
        <f t="shared" si="15"/>
        <v>-2.5514223820896031E-2</v>
      </c>
      <c r="O196" s="6">
        <f t="shared" si="16"/>
        <v>5.2828760471464967E-2</v>
      </c>
      <c r="P196" s="6">
        <f t="shared" si="17"/>
        <v>2.7097511346209888E-2</v>
      </c>
      <c r="Q196" s="6">
        <f t="shared" si="18"/>
        <v>2.1671850955036005E-2</v>
      </c>
      <c r="R196" s="6">
        <f t="shared" si="19"/>
        <v>0.1200756277275937</v>
      </c>
      <c r="S196" s="6">
        <f t="shared" si="20"/>
        <v>-1.9635107135014658E-2</v>
      </c>
      <c r="T196" s="6">
        <f t="shared" si="21"/>
        <v>2.987644812371946E-4</v>
      </c>
    </row>
    <row r="197" spans="4:29" x14ac:dyDescent="0.3">
      <c r="E197" s="6">
        <f>LN('Data of Top 7 Stocks'!B196/'Data of Top 7 Stocks'!B195)</f>
        <v>4.7676731312762365E-2</v>
      </c>
      <c r="F197" s="6">
        <f>LN('Data of Top 7 Stocks'!C196/'Data of Top 7 Stocks'!C195)</f>
        <v>-6.4882170684038313E-3</v>
      </c>
      <c r="G197" s="6">
        <f>LN('Data of Top 7 Stocks'!D196/'Data of Top 7 Stocks'!D195)</f>
        <v>1.5625469931662771E-2</v>
      </c>
      <c r="H197" s="6">
        <f>LN('Data of Top 7 Stocks'!E196/'Data of Top 7 Stocks'!E195)</f>
        <v>5.6198189221352224E-2</v>
      </c>
      <c r="I197" s="6">
        <f>LN('Data of Top 7 Stocks'!F196/'Data of Top 7 Stocks'!F195)</f>
        <v>7.3340967395882514E-2</v>
      </c>
      <c r="J197" s="6">
        <f>LN('Data of Top 7 Stocks'!G196/'Data of Top 7 Stocks'!G195)</f>
        <v>1.4490169332226367E-2</v>
      </c>
      <c r="K197" s="6">
        <f>LN('Data of Top 7 Stocks'!H196/'Data of Top 7 Stocks'!H195)</f>
        <v>2.9715935786815265E-2</v>
      </c>
      <c r="N197" s="6">
        <f t="shared" si="15"/>
        <v>4.5888713324952431E-2</v>
      </c>
      <c r="O197" s="6">
        <f t="shared" si="16"/>
        <v>-1.6317693564848329E-2</v>
      </c>
      <c r="P197" s="6">
        <f t="shared" si="17"/>
        <v>1.3066115785453044E-2</v>
      </c>
      <c r="Q197" s="6">
        <f t="shared" si="18"/>
        <v>5.3488840885881114E-2</v>
      </c>
      <c r="R197" s="6">
        <f t="shared" si="19"/>
        <v>7.2484189583271727E-2</v>
      </c>
      <c r="S197" s="6">
        <f t="shared" si="20"/>
        <v>1.3010529610996736E-2</v>
      </c>
      <c r="T197" s="6">
        <f t="shared" si="21"/>
        <v>2.5850348476619336E-2</v>
      </c>
    </row>
    <row r="198" spans="4:29" x14ac:dyDescent="0.3">
      <c r="E198" s="6">
        <f>LN('Data of Top 7 Stocks'!B197/'Data of Top 7 Stocks'!B196)</f>
        <v>3.9768894380055562E-2</v>
      </c>
      <c r="F198" s="6">
        <f>LN('Data of Top 7 Stocks'!C197/'Data of Top 7 Stocks'!C196)</f>
        <v>8.5668111147343875E-3</v>
      </c>
      <c r="G198" s="6">
        <f>LN('Data of Top 7 Stocks'!D197/'Data of Top 7 Stocks'!D196)</f>
        <v>-1.2570717027502081E-2</v>
      </c>
      <c r="H198" s="6">
        <f>LN('Data of Top 7 Stocks'!E197/'Data of Top 7 Stocks'!E196)</f>
        <v>-3.2640650532644852E-2</v>
      </c>
      <c r="I198" s="6">
        <f>LN('Data of Top 7 Stocks'!F197/'Data of Top 7 Stocks'!F196)</f>
        <v>3.3079752829257195E-2</v>
      </c>
      <c r="J198" s="6">
        <f>LN('Data of Top 7 Stocks'!G197/'Data of Top 7 Stocks'!G196)</f>
        <v>-5.1866430686859935E-2</v>
      </c>
      <c r="K198" s="6">
        <f>LN('Data of Top 7 Stocks'!H197/'Data of Top 7 Stocks'!H196)</f>
        <v>-4.5509879951136541E-2</v>
      </c>
      <c r="N198" s="6">
        <f>E198-E$203</f>
        <v>3.7980876392245629E-2</v>
      </c>
      <c r="O198" s="6">
        <f t="shared" si="16"/>
        <v>-1.2626653817101093E-3</v>
      </c>
      <c r="P198" s="6">
        <f t="shared" si="17"/>
        <v>-1.5130071173711807E-2</v>
      </c>
      <c r="Q198" s="6">
        <f t="shared" si="18"/>
        <v>-3.5349998868115962E-2</v>
      </c>
      <c r="R198" s="6">
        <f t="shared" si="19"/>
        <v>3.2222975016646407E-2</v>
      </c>
      <c r="S198" s="6">
        <f t="shared" si="20"/>
        <v>-5.3346070408089565E-2</v>
      </c>
      <c r="T198" s="6">
        <f t="shared" si="21"/>
        <v>-4.9375467261332469E-2</v>
      </c>
    </row>
    <row r="199" spans="4:29" x14ac:dyDescent="0.3">
      <c r="E199" s="6">
        <f>LN('Data of Top 7 Stocks'!B198/'Data of Top 7 Stocks'!B197)</f>
        <v>9.9712596823596112E-3</v>
      </c>
      <c r="F199" s="6">
        <f>LN('Data of Top 7 Stocks'!C198/'Data of Top 7 Stocks'!C197)</f>
        <v>5.1568243958481599E-2</v>
      </c>
      <c r="G199" s="6">
        <f>LN('Data of Top 7 Stocks'!D198/'Data of Top 7 Stocks'!D197)</f>
        <v>1.1450247085688954E-2</v>
      </c>
      <c r="H199" s="6">
        <f>LN('Data of Top 7 Stocks'!E198/'Data of Top 7 Stocks'!E197)</f>
        <v>-4.838489587460932E-3</v>
      </c>
      <c r="I199" s="6">
        <f>LN('Data of Top 7 Stocks'!F198/'Data of Top 7 Stocks'!F197)</f>
        <v>-2.4293623169081461E-2</v>
      </c>
      <c r="J199" s="6">
        <f>LN('Data of Top 7 Stocks'!G198/'Data of Top 7 Stocks'!G197)</f>
        <v>-1.2292564547297443E-3</v>
      </c>
      <c r="K199" s="6">
        <f>LN('Data of Top 7 Stocks'!H198/'Data of Top 7 Stocks'!H197)</f>
        <v>-4.5651565316047402E-2</v>
      </c>
      <c r="N199" s="6">
        <f t="shared" ref="N199:N200" si="22">E199-E$203</f>
        <v>8.1832416945496773E-3</v>
      </c>
      <c r="O199" s="6">
        <f t="shared" ref="O199:O200" si="23">F199-F$203</f>
        <v>4.1738767462037099E-2</v>
      </c>
      <c r="P199" s="6">
        <f t="shared" ref="P199:P200" si="24">G199-G$203</f>
        <v>8.890892939479228E-3</v>
      </c>
      <c r="Q199" s="6">
        <f t="shared" ref="Q199:Q200" si="25">H199-H$203</f>
        <v>-7.547837922932038E-3</v>
      </c>
      <c r="R199" s="6">
        <f t="shared" ref="R199:R200" si="26">I199-I$203</f>
        <v>-2.5150400981692252E-2</v>
      </c>
      <c r="S199" s="6">
        <f t="shared" ref="S199:S200" si="27">J199-J$203</f>
        <v>-2.7088961759593761E-3</v>
      </c>
      <c r="T199" s="6">
        <f t="shared" ref="T199:T200" si="28">K199-K$203</f>
        <v>-4.951715262624333E-2</v>
      </c>
    </row>
    <row r="200" spans="4:29" x14ac:dyDescent="0.3">
      <c r="E200" s="6">
        <f>LN('Data of Top 7 Stocks'!B199/'Data of Top 7 Stocks'!B198)</f>
        <v>-5.0677456737145084E-2</v>
      </c>
      <c r="F200" s="6">
        <f>LN('Data of Top 7 Stocks'!C199/'Data of Top 7 Stocks'!C198)</f>
        <v>-2.4058552908910263E-2</v>
      </c>
      <c r="G200" s="6">
        <f>LN('Data of Top 7 Stocks'!D199/'Data of Top 7 Stocks'!D198)</f>
        <v>-1.2428318797625971E-2</v>
      </c>
      <c r="H200" s="6">
        <f>LN('Data of Top 7 Stocks'!E199/'Data of Top 7 Stocks'!E198)</f>
        <v>-3.6441615311596433E-2</v>
      </c>
      <c r="I200" s="6">
        <f>LN('Data of Top 7 Stocks'!F199/'Data of Top 7 Stocks'!F198)</f>
        <v>-3.8756451304986173E-2</v>
      </c>
      <c r="J200" s="6">
        <f>LN('Data of Top 7 Stocks'!G199/'Data of Top 7 Stocks'!G198)</f>
        <v>-1.4407884364709968E-2</v>
      </c>
      <c r="K200" s="6">
        <f>LN('Data of Top 7 Stocks'!H199/'Data of Top 7 Stocks'!H198)</f>
        <v>-7.4301473296585745E-3</v>
      </c>
      <c r="N200" s="6">
        <f t="shared" si="22"/>
        <v>-5.2465474724955018E-2</v>
      </c>
      <c r="O200" s="6">
        <f t="shared" si="23"/>
        <v>-3.3888029405354764E-2</v>
      </c>
      <c r="P200" s="6">
        <f t="shared" si="24"/>
        <v>-1.4987672943835698E-2</v>
      </c>
      <c r="Q200" s="6">
        <f t="shared" si="25"/>
        <v>-3.9150963647067542E-2</v>
      </c>
      <c r="R200" s="6">
        <f t="shared" si="26"/>
        <v>-3.961322911759696E-2</v>
      </c>
      <c r="S200" s="6">
        <f t="shared" si="27"/>
        <v>-1.5887524085939599E-2</v>
      </c>
      <c r="T200" s="6">
        <f t="shared" si="28"/>
        <v>-1.1295734639854504E-2</v>
      </c>
    </row>
    <row r="203" spans="4:29" x14ac:dyDescent="0.3">
      <c r="D203" s="2" t="s">
        <v>75</v>
      </c>
      <c r="E203">
        <f>AVERAGE(E6:E200)</f>
        <v>1.7880179878099337E-3</v>
      </c>
      <c r="F203">
        <f t="shared" ref="F203:K203" si="29">AVERAGE(F6:F200)</f>
        <v>9.8294764964444968E-3</v>
      </c>
      <c r="G203">
        <f t="shared" si="29"/>
        <v>2.5593541462097268E-3</v>
      </c>
      <c r="H203">
        <f t="shared" si="29"/>
        <v>2.7093483354711065E-3</v>
      </c>
      <c r="I203">
        <f t="shared" si="29"/>
        <v>8.567778126107895E-4</v>
      </c>
      <c r="J203">
        <f t="shared" si="29"/>
        <v>1.479639721229632E-3</v>
      </c>
      <c r="K203">
        <f t="shared" si="29"/>
        <v>3.8655873101959295E-3</v>
      </c>
    </row>
    <row r="204" spans="4:29" x14ac:dyDescent="0.3">
      <c r="E204" s="23" t="s">
        <v>57</v>
      </c>
      <c r="F204" s="23"/>
      <c r="G204" s="23"/>
      <c r="H204" s="23"/>
      <c r="I204" s="23"/>
      <c r="J204" s="23"/>
      <c r="K204" s="23"/>
      <c r="N204" s="23" t="s">
        <v>56</v>
      </c>
      <c r="O204" s="23"/>
      <c r="P204" s="23"/>
      <c r="Q204" s="23"/>
      <c r="R204" s="23"/>
      <c r="S204" s="23"/>
      <c r="T204" s="23"/>
      <c r="W204" s="23" t="s">
        <v>59</v>
      </c>
      <c r="X204" s="23"/>
      <c r="Y204" s="23"/>
      <c r="Z204" s="23"/>
      <c r="AA204" s="23"/>
      <c r="AB204" s="23"/>
      <c r="AC204" s="23"/>
    </row>
    <row r="205" spans="4:29" x14ac:dyDescent="0.3">
      <c r="E205" s="26" t="s">
        <v>3</v>
      </c>
      <c r="F205" s="26" t="s">
        <v>4</v>
      </c>
      <c r="G205" s="26" t="s">
        <v>5</v>
      </c>
      <c r="H205" s="26" t="s">
        <v>6</v>
      </c>
      <c r="I205" s="26" t="s">
        <v>7</v>
      </c>
      <c r="J205" s="26" t="s">
        <v>8</v>
      </c>
      <c r="K205" s="26" t="s">
        <v>9</v>
      </c>
      <c r="N205" s="26" t="s">
        <v>3</v>
      </c>
      <c r="O205" s="26" t="s">
        <v>4</v>
      </c>
      <c r="P205" s="26" t="s">
        <v>5</v>
      </c>
      <c r="Q205" s="26" t="s">
        <v>6</v>
      </c>
      <c r="R205" s="26" t="s">
        <v>7</v>
      </c>
      <c r="S205" s="26" t="s">
        <v>8</v>
      </c>
      <c r="T205" s="26" t="s">
        <v>9</v>
      </c>
      <c r="W205" s="26" t="s">
        <v>3</v>
      </c>
      <c r="X205" s="26" t="s">
        <v>4</v>
      </c>
      <c r="Y205" s="26" t="s">
        <v>5</v>
      </c>
      <c r="Z205" s="26" t="s">
        <v>6</v>
      </c>
      <c r="AA205" s="26" t="s">
        <v>7</v>
      </c>
      <c r="AB205" s="26" t="s">
        <v>8</v>
      </c>
      <c r="AC205" s="26" t="s">
        <v>9</v>
      </c>
    </row>
    <row r="206" spans="4:29" x14ac:dyDescent="0.3">
      <c r="E206" s="27"/>
      <c r="F206" s="27"/>
      <c r="G206" s="27"/>
      <c r="H206" s="27"/>
      <c r="I206" s="27"/>
      <c r="J206" s="27"/>
      <c r="K206" s="27"/>
      <c r="N206" s="27"/>
      <c r="O206" s="27"/>
      <c r="P206" s="27"/>
      <c r="Q206" s="27"/>
      <c r="R206" s="27"/>
      <c r="S206" s="27"/>
      <c r="T206" s="27"/>
      <c r="W206" s="26"/>
      <c r="X206" s="26"/>
      <c r="Y206" s="26"/>
      <c r="Z206" s="26"/>
      <c r="AA206" s="26"/>
      <c r="AB206" s="26"/>
      <c r="AC206" s="26"/>
    </row>
    <row r="207" spans="4:29" x14ac:dyDescent="0.3">
      <c r="D207" s="2" t="s">
        <v>11</v>
      </c>
      <c r="E207" s="4">
        <f>AVERAGE(E6:E200)</f>
        <v>1.7880179878099337E-3</v>
      </c>
      <c r="F207" s="4">
        <f t="shared" ref="F207:K207" si="30">AVERAGE(F6:F200)</f>
        <v>9.8294764964444968E-3</v>
      </c>
      <c r="G207" s="4">
        <f t="shared" si="30"/>
        <v>2.5593541462097268E-3</v>
      </c>
      <c r="H207" s="4">
        <f t="shared" si="30"/>
        <v>2.7093483354711065E-3</v>
      </c>
      <c r="I207" s="4">
        <f t="shared" si="30"/>
        <v>8.567778126107895E-4</v>
      </c>
      <c r="J207" s="4">
        <f t="shared" si="30"/>
        <v>1.479639721229632E-3</v>
      </c>
      <c r="K207" s="4">
        <f t="shared" si="30"/>
        <v>3.8655873101959295E-3</v>
      </c>
      <c r="M207" s="2" t="s">
        <v>11</v>
      </c>
      <c r="N207" s="4">
        <f>E207*4</f>
        <v>7.1520719512397348E-3</v>
      </c>
      <c r="O207" s="4">
        <f t="shared" ref="O207:T209" si="31">F207*4</f>
        <v>3.9317905985777987E-2</v>
      </c>
      <c r="P207" s="4">
        <f t="shared" si="31"/>
        <v>1.0237416584838907E-2</v>
      </c>
      <c r="Q207" s="4">
        <f t="shared" si="31"/>
        <v>1.0837393341884426E-2</v>
      </c>
      <c r="R207" s="4">
        <f t="shared" si="31"/>
        <v>3.427111250443158E-3</v>
      </c>
      <c r="S207" s="4">
        <f t="shared" si="31"/>
        <v>5.9185588849185282E-3</v>
      </c>
      <c r="T207" s="4">
        <f t="shared" si="31"/>
        <v>1.5462349240783718E-2</v>
      </c>
      <c r="V207" s="2" t="s">
        <v>11</v>
      </c>
      <c r="W207" s="4">
        <f>E207*52</f>
        <v>9.297693536611655E-2</v>
      </c>
      <c r="X207" s="4">
        <f t="shared" ref="X207:AC209" si="32">F207*52</f>
        <v>0.51113277781511379</v>
      </c>
      <c r="Y207" s="4">
        <f t="shared" si="32"/>
        <v>0.13308641560290579</v>
      </c>
      <c r="Z207" s="4">
        <f t="shared" si="32"/>
        <v>0.14088611344449753</v>
      </c>
      <c r="AA207" s="4">
        <f t="shared" si="32"/>
        <v>4.4552446255761054E-2</v>
      </c>
      <c r="AB207" s="4">
        <f t="shared" si="32"/>
        <v>7.694126550394087E-2</v>
      </c>
      <c r="AC207" s="4">
        <f t="shared" si="32"/>
        <v>0.20101054013018832</v>
      </c>
    </row>
    <row r="208" spans="4:29" x14ac:dyDescent="0.3">
      <c r="D208" s="2" t="s">
        <v>15</v>
      </c>
      <c r="E208" s="4">
        <f>_xlfn.VAR.S(E6:E200)</f>
        <v>1.5550219565839208E-3</v>
      </c>
      <c r="F208" s="4">
        <f t="shared" ref="F208:K208" si="33">_xlfn.VAR.S(F6:F200)</f>
        <v>4.9013337905554084E-3</v>
      </c>
      <c r="G208" s="4">
        <f t="shared" si="33"/>
        <v>1.1744356562309011E-3</v>
      </c>
      <c r="H208" s="4">
        <f t="shared" si="33"/>
        <v>2.0062446886327016E-3</v>
      </c>
      <c r="I208" s="4">
        <f t="shared" si="33"/>
        <v>6.8715594997377357E-3</v>
      </c>
      <c r="J208" s="4">
        <f t="shared" si="33"/>
        <v>2.2646222446490909E-3</v>
      </c>
      <c r="K208" s="4">
        <f t="shared" si="33"/>
        <v>3.7446710887202089E-3</v>
      </c>
      <c r="M208" s="2" t="s">
        <v>15</v>
      </c>
      <c r="N208" s="4">
        <f>E208*4</f>
        <v>6.2200878263356831E-3</v>
      </c>
      <c r="O208" s="4">
        <f t="shared" si="31"/>
        <v>1.9605335162221633E-2</v>
      </c>
      <c r="P208" s="4">
        <f t="shared" si="31"/>
        <v>4.6977426249236046E-3</v>
      </c>
      <c r="Q208" s="4">
        <f t="shared" si="31"/>
        <v>8.0249787545308062E-3</v>
      </c>
      <c r="R208" s="4">
        <f t="shared" si="31"/>
        <v>2.7486237998950943E-2</v>
      </c>
      <c r="S208" s="4">
        <f t="shared" si="31"/>
        <v>9.0584889785963636E-3</v>
      </c>
      <c r="T208" s="4">
        <f t="shared" si="31"/>
        <v>1.4978684354880836E-2</v>
      </c>
      <c r="V208" s="2" t="s">
        <v>15</v>
      </c>
      <c r="W208" s="4">
        <f>E208*52</f>
        <v>8.0861141742363876E-2</v>
      </c>
      <c r="X208" s="4">
        <f t="shared" si="32"/>
        <v>0.25486935710888126</v>
      </c>
      <c r="Y208" s="4">
        <f t="shared" si="32"/>
        <v>6.1070654124006862E-2</v>
      </c>
      <c r="Z208" s="4">
        <f t="shared" si="32"/>
        <v>0.10432472380890048</v>
      </c>
      <c r="AA208" s="4">
        <f t="shared" si="32"/>
        <v>0.35732109398636225</v>
      </c>
      <c r="AB208" s="4">
        <f t="shared" si="32"/>
        <v>0.11776035672175272</v>
      </c>
      <c r="AC208" s="4">
        <f t="shared" si="32"/>
        <v>0.19472289661345085</v>
      </c>
    </row>
    <row r="209" spans="4:29" x14ac:dyDescent="0.3">
      <c r="D209" s="2" t="s">
        <v>16</v>
      </c>
      <c r="E209" s="4">
        <f>SQRT(E208)</f>
        <v>3.9433766705501527E-2</v>
      </c>
      <c r="F209" s="4">
        <f t="shared" ref="F209:K209" si="34">SQRT(F208)</f>
        <v>7.0009526427161378E-2</v>
      </c>
      <c r="G209" s="4">
        <f t="shared" si="34"/>
        <v>3.4270040213441551E-2</v>
      </c>
      <c r="H209" s="4">
        <f t="shared" si="34"/>
        <v>4.4791122877560256E-2</v>
      </c>
      <c r="I209" s="4">
        <f t="shared" si="34"/>
        <v>8.2894870165395249E-2</v>
      </c>
      <c r="J209" s="4">
        <f t="shared" si="34"/>
        <v>4.7588047287623503E-2</v>
      </c>
      <c r="K209" s="4">
        <f t="shared" si="34"/>
        <v>6.1193717722656867E-2</v>
      </c>
      <c r="M209" s="2" t="s">
        <v>16</v>
      </c>
      <c r="N209" s="4">
        <f>E209*4</f>
        <v>0.15773506682200611</v>
      </c>
      <c r="O209" s="4">
        <f t="shared" si="31"/>
        <v>0.28003810570864551</v>
      </c>
      <c r="P209" s="4">
        <f t="shared" si="31"/>
        <v>0.1370801608537662</v>
      </c>
      <c r="Q209" s="4">
        <f t="shared" si="31"/>
        <v>0.17916449151024103</v>
      </c>
      <c r="R209" s="4">
        <f t="shared" si="31"/>
        <v>0.33157948066158099</v>
      </c>
      <c r="S209" s="4">
        <f t="shared" si="31"/>
        <v>0.19035218915049401</v>
      </c>
      <c r="T209" s="4">
        <f t="shared" si="31"/>
        <v>0.24477487089062747</v>
      </c>
      <c r="V209" s="2" t="s">
        <v>16</v>
      </c>
      <c r="W209" s="4">
        <f>E209*52</f>
        <v>2.0505558686860796</v>
      </c>
      <c r="X209" s="4">
        <f t="shared" si="32"/>
        <v>3.6404953742123918</v>
      </c>
      <c r="Y209" s="4">
        <f t="shared" si="32"/>
        <v>1.7820420910989607</v>
      </c>
      <c r="Z209" s="4">
        <f t="shared" si="32"/>
        <v>2.3291383896331332</v>
      </c>
      <c r="AA209" s="4">
        <f t="shared" si="32"/>
        <v>4.310533248600553</v>
      </c>
      <c r="AB209" s="4">
        <f t="shared" si="32"/>
        <v>2.4745784589564224</v>
      </c>
      <c r="AC209" s="4">
        <f t="shared" si="32"/>
        <v>3.1820733215781569</v>
      </c>
    </row>
  </sheetData>
  <mergeCells count="40">
    <mergeCell ref="W204:AC204"/>
    <mergeCell ref="W205:W206"/>
    <mergeCell ref="X205:X206"/>
    <mergeCell ref="Y205:Y206"/>
    <mergeCell ref="Z205:Z206"/>
    <mergeCell ref="AA205:AA206"/>
    <mergeCell ref="AB205:AB206"/>
    <mergeCell ref="AC205:AC206"/>
    <mergeCell ref="N204:T204"/>
    <mergeCell ref="N205:N206"/>
    <mergeCell ref="O205:O206"/>
    <mergeCell ref="P205:P206"/>
    <mergeCell ref="Q205:Q206"/>
    <mergeCell ref="R205:R206"/>
    <mergeCell ref="S205:S206"/>
    <mergeCell ref="T205:T206"/>
    <mergeCell ref="E204:K204"/>
    <mergeCell ref="E205:E206"/>
    <mergeCell ref="F205:F206"/>
    <mergeCell ref="G205:G206"/>
    <mergeCell ref="H205:H206"/>
    <mergeCell ref="I205:I206"/>
    <mergeCell ref="J205:J206"/>
    <mergeCell ref="K205:K206"/>
    <mergeCell ref="N3:T3"/>
    <mergeCell ref="N4:N5"/>
    <mergeCell ref="O4:O5"/>
    <mergeCell ref="P4:P5"/>
    <mergeCell ref="Q4:Q5"/>
    <mergeCell ref="R4:R5"/>
    <mergeCell ref="S4:S5"/>
    <mergeCell ref="T4:T5"/>
    <mergeCell ref="E3:K3"/>
    <mergeCell ref="E4:E5"/>
    <mergeCell ref="F4:F5"/>
    <mergeCell ref="G4:G5"/>
    <mergeCell ref="H4:H5"/>
    <mergeCell ref="I4:I5"/>
    <mergeCell ref="J4:J5"/>
    <mergeCell ref="K4:K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B7666-FF69-48DA-82ED-5AE503DCE925}">
  <sheetPr codeName="Sheet3"/>
  <dimension ref="C3:X49"/>
  <sheetViews>
    <sheetView topLeftCell="A30" workbookViewId="0">
      <selection activeCell="F17" sqref="F17"/>
    </sheetView>
  </sheetViews>
  <sheetFormatPr defaultRowHeight="14.4" x14ac:dyDescent="0.3"/>
  <cols>
    <col min="4" max="4" width="9.88671875" customWidth="1"/>
    <col min="5" max="5" width="10.5546875" customWidth="1"/>
    <col min="6" max="6" width="11.5546875" customWidth="1"/>
  </cols>
  <sheetData>
    <row r="3" spans="3:24" x14ac:dyDescent="0.3">
      <c r="C3" s="23" t="s">
        <v>55</v>
      </c>
      <c r="D3" s="23"/>
      <c r="E3" s="23"/>
      <c r="F3" s="23"/>
      <c r="G3" s="23"/>
      <c r="H3" s="23"/>
      <c r="I3" s="23"/>
      <c r="J3" s="23"/>
      <c r="K3" s="23"/>
      <c r="L3" s="2"/>
      <c r="O3" s="23" t="s">
        <v>13</v>
      </c>
      <c r="P3" s="23"/>
      <c r="Q3" s="23"/>
      <c r="R3" s="23"/>
      <c r="S3" s="23"/>
      <c r="T3" s="23"/>
      <c r="U3" s="23"/>
      <c r="V3" s="23"/>
      <c r="W3" s="23"/>
      <c r="X3" s="2"/>
    </row>
    <row r="4" spans="3:24" x14ac:dyDescent="0.3">
      <c r="D4" s="16" t="s">
        <v>3</v>
      </c>
      <c r="E4" s="17" t="s">
        <v>4</v>
      </c>
      <c r="F4" s="17" t="s">
        <v>5</v>
      </c>
      <c r="G4" s="17" t="s">
        <v>6</v>
      </c>
      <c r="H4" s="16" t="s">
        <v>7</v>
      </c>
      <c r="I4" s="17" t="s">
        <v>8</v>
      </c>
      <c r="J4" s="17" t="s">
        <v>9</v>
      </c>
      <c r="P4" s="16" t="s">
        <v>3</v>
      </c>
      <c r="Q4" s="17" t="s">
        <v>4</v>
      </c>
      <c r="R4" s="17" t="s">
        <v>5</v>
      </c>
      <c r="S4" s="17" t="s">
        <v>6</v>
      </c>
      <c r="T4" s="16" t="s">
        <v>7</v>
      </c>
      <c r="U4" s="17" t="s">
        <v>8</v>
      </c>
      <c r="V4" s="17" t="s">
        <v>9</v>
      </c>
      <c r="W4" s="2"/>
    </row>
    <row r="5" spans="3:24" x14ac:dyDescent="0.3">
      <c r="C5" s="16" t="s">
        <v>3</v>
      </c>
      <c r="D5" cm="1">
        <f t="array" ref="D5:J11">MMULT(TRANSPOSE('Return of Top 7 Stocks'!N6:T200),'Return of Top 7 Stocks'!N6:T200)/(195-1)</f>
        <v>1.5550219565839212E-3</v>
      </c>
      <c r="E5">
        <v>1.327122847057105E-3</v>
      </c>
      <c r="F5">
        <v>7.3193836081525735E-4</v>
      </c>
      <c r="G5">
        <v>9.9369454789545691E-4</v>
      </c>
      <c r="H5">
        <v>1.5952190525660957E-3</v>
      </c>
      <c r="I5">
        <v>9.6416762261103764E-4</v>
      </c>
      <c r="J5">
        <v>8.9366059646770911E-4</v>
      </c>
      <c r="O5" s="16" t="s">
        <v>3</v>
      </c>
      <c r="P5" cm="1">
        <f t="array" ref="P5:V11">MINVERSE(_xlfn.ANCHORARRAY(D5))</f>
        <v>1153.9788623543707</v>
      </c>
      <c r="Q5">
        <v>-62.579473348741551</v>
      </c>
      <c r="R5">
        <v>-193.29946645617733</v>
      </c>
      <c r="S5">
        <v>-291.16076039319631</v>
      </c>
      <c r="T5">
        <v>-129.22964961659423</v>
      </c>
      <c r="U5">
        <v>-56.793518960582787</v>
      </c>
      <c r="V5">
        <v>-22.039232193663842</v>
      </c>
    </row>
    <row r="6" spans="3:24" x14ac:dyDescent="0.3">
      <c r="C6" s="17" t="s">
        <v>4</v>
      </c>
      <c r="D6">
        <v>1.327122847057105E-3</v>
      </c>
      <c r="E6">
        <v>4.9013337905554092E-3</v>
      </c>
      <c r="F6">
        <v>1.6247621180596077E-3</v>
      </c>
      <c r="G6">
        <v>1.4361164604928872E-3</v>
      </c>
      <c r="H6">
        <v>2.6392849552401556E-3</v>
      </c>
      <c r="I6">
        <v>1.9675214626557382E-3</v>
      </c>
      <c r="J6">
        <v>1.8025163896304962E-3</v>
      </c>
      <c r="O6" s="17" t="s">
        <v>4</v>
      </c>
      <c r="P6">
        <v>-62.579473348741665</v>
      </c>
      <c r="Q6">
        <v>423.9040711012471</v>
      </c>
      <c r="R6">
        <v>-401.89366420355452</v>
      </c>
      <c r="S6">
        <v>40.732947071173818</v>
      </c>
      <c r="T6">
        <v>-51.180175835887312</v>
      </c>
      <c r="U6">
        <v>-132.02439818441391</v>
      </c>
      <c r="V6">
        <v>-2.9516782261655803</v>
      </c>
    </row>
    <row r="7" spans="3:24" x14ac:dyDescent="0.3">
      <c r="C7" s="17" t="s">
        <v>5</v>
      </c>
      <c r="D7">
        <v>7.3193836081525735E-4</v>
      </c>
      <c r="E7">
        <v>1.6247621180596077E-3</v>
      </c>
      <c r="F7">
        <v>1.1744356562309016E-3</v>
      </c>
      <c r="G7">
        <v>9.2737939477269672E-4</v>
      </c>
      <c r="H7">
        <v>1.2199969479343056E-3</v>
      </c>
      <c r="I7">
        <v>1.080662496444424E-3</v>
      </c>
      <c r="J7">
        <v>1.2203673629553147E-3</v>
      </c>
      <c r="O7" s="17" t="s">
        <v>5</v>
      </c>
      <c r="P7">
        <v>-193.2994664561771</v>
      </c>
      <c r="Q7">
        <v>-401.89366420355447</v>
      </c>
      <c r="R7">
        <v>2400.5347589526004</v>
      </c>
      <c r="S7">
        <v>-307.68446724432431</v>
      </c>
      <c r="T7">
        <v>-34.470739351010884</v>
      </c>
      <c r="U7">
        <v>-298.91167856567967</v>
      </c>
      <c r="V7">
        <v>-306.78602034061379</v>
      </c>
    </row>
    <row r="8" spans="3:24" x14ac:dyDescent="0.3">
      <c r="C8" s="17" t="s">
        <v>6</v>
      </c>
      <c r="D8">
        <v>9.9369454789545691E-4</v>
      </c>
      <c r="E8">
        <v>1.4361164604928872E-3</v>
      </c>
      <c r="F8">
        <v>9.2737939477269672E-4</v>
      </c>
      <c r="G8">
        <v>2.006244688632699E-3</v>
      </c>
      <c r="H8">
        <v>1.4658289069215708E-3</v>
      </c>
      <c r="I8">
        <v>1.3394594078366708E-3</v>
      </c>
      <c r="J8">
        <v>1.2672061936300036E-3</v>
      </c>
      <c r="O8" s="17" t="s">
        <v>6</v>
      </c>
      <c r="P8">
        <v>-291.16076039319631</v>
      </c>
      <c r="Q8">
        <v>40.732947071173754</v>
      </c>
      <c r="R8">
        <v>-307.68446724432386</v>
      </c>
      <c r="S8">
        <v>1015.2792081635425</v>
      </c>
      <c r="T8">
        <v>-20.905612258015505</v>
      </c>
      <c r="U8">
        <v>-306.82044397382651</v>
      </c>
      <c r="V8">
        <v>-62.431117278647719</v>
      </c>
    </row>
    <row r="9" spans="3:24" x14ac:dyDescent="0.3">
      <c r="C9" s="16" t="s">
        <v>7</v>
      </c>
      <c r="D9">
        <v>1.5952190525660957E-3</v>
      </c>
      <c r="E9">
        <v>2.6392849552401556E-3</v>
      </c>
      <c r="F9">
        <v>1.2199969479343056E-3</v>
      </c>
      <c r="G9">
        <v>1.4658289069215708E-3</v>
      </c>
      <c r="H9">
        <v>6.8715594997377331E-3</v>
      </c>
      <c r="I9">
        <v>1.7677302295025427E-3</v>
      </c>
      <c r="J9">
        <v>1.1190289986841E-3</v>
      </c>
      <c r="O9" s="16" t="s">
        <v>7</v>
      </c>
      <c r="P9">
        <v>-129.22964961659406</v>
      </c>
      <c r="Q9">
        <v>-51.180175835887312</v>
      </c>
      <c r="R9">
        <v>-34.470739351010764</v>
      </c>
      <c r="S9">
        <v>-20.905612258015541</v>
      </c>
      <c r="T9">
        <v>216.6134885069132</v>
      </c>
      <c r="U9">
        <v>-64.502476235316905</v>
      </c>
      <c r="V9">
        <v>35.278279048489587</v>
      </c>
    </row>
    <row r="10" spans="3:24" x14ac:dyDescent="0.3">
      <c r="C10" s="17" t="s">
        <v>8</v>
      </c>
      <c r="D10">
        <v>9.6416762261103764E-4</v>
      </c>
      <c r="E10">
        <v>1.9675214626557382E-3</v>
      </c>
      <c r="F10">
        <v>1.080662496444424E-3</v>
      </c>
      <c r="G10">
        <v>1.3394594078366708E-3</v>
      </c>
      <c r="H10">
        <v>1.7677302295025427E-3</v>
      </c>
      <c r="I10">
        <v>2.2646222446490913E-3</v>
      </c>
      <c r="J10">
        <v>1.522470056154855E-3</v>
      </c>
      <c r="O10" s="17" t="s">
        <v>8</v>
      </c>
      <c r="P10">
        <v>-56.793518960582972</v>
      </c>
      <c r="Q10">
        <v>-132.02439818441385</v>
      </c>
      <c r="R10">
        <v>-298.91167856567978</v>
      </c>
      <c r="S10">
        <v>-306.82044397382629</v>
      </c>
      <c r="T10">
        <v>-64.502476235316777</v>
      </c>
      <c r="U10">
        <v>1038.7605668905837</v>
      </c>
      <c r="V10">
        <v>-124.70644569178793</v>
      </c>
    </row>
    <row r="11" spans="3:24" x14ac:dyDescent="0.3">
      <c r="C11" s="17" t="s">
        <v>9</v>
      </c>
      <c r="D11">
        <v>8.9366059646770911E-4</v>
      </c>
      <c r="E11">
        <v>1.8025163896304962E-3</v>
      </c>
      <c r="F11">
        <v>1.2203673629553147E-3</v>
      </c>
      <c r="G11">
        <v>1.2672061936300036E-3</v>
      </c>
      <c r="H11">
        <v>1.1190289986841E-3</v>
      </c>
      <c r="I11">
        <v>1.522470056154855E-3</v>
      </c>
      <c r="J11">
        <v>3.7446710887202106E-3</v>
      </c>
      <c r="O11" s="17" t="s">
        <v>9</v>
      </c>
      <c r="P11">
        <v>-22.03923219366386</v>
      </c>
      <c r="Q11">
        <v>-2.9516782261655141</v>
      </c>
      <c r="R11">
        <v>-306.78602034061396</v>
      </c>
      <c r="S11">
        <v>-62.431117278647669</v>
      </c>
      <c r="T11">
        <v>35.278279048489594</v>
      </c>
      <c r="U11">
        <v>-124.70644569178796</v>
      </c>
      <c r="V11">
        <v>434.99286329733462</v>
      </c>
    </row>
    <row r="13" spans="3:24" x14ac:dyDescent="0.3">
      <c r="O13" s="17" t="s">
        <v>52</v>
      </c>
      <c r="P13">
        <v>1</v>
      </c>
      <c r="Q13">
        <v>1</v>
      </c>
      <c r="R13">
        <v>1</v>
      </c>
      <c r="S13">
        <v>1</v>
      </c>
      <c r="T13">
        <v>1</v>
      </c>
      <c r="U13">
        <v>1</v>
      </c>
      <c r="V13">
        <v>1</v>
      </c>
    </row>
    <row r="15" spans="3:24" x14ac:dyDescent="0.3">
      <c r="C15" s="23" t="s">
        <v>60</v>
      </c>
      <c r="D15" s="23"/>
      <c r="E15" s="23"/>
      <c r="F15" s="23"/>
      <c r="G15" s="23"/>
      <c r="H15" s="23"/>
      <c r="I15" s="23"/>
      <c r="J15" s="23"/>
      <c r="K15" s="23"/>
      <c r="L15" s="23"/>
      <c r="M15" s="23"/>
      <c r="N15" s="23"/>
      <c r="O15" s="23"/>
      <c r="P15" s="23"/>
      <c r="Q15" s="23"/>
      <c r="R15" s="23"/>
      <c r="S15" s="23"/>
      <c r="T15" s="23"/>
      <c r="U15" s="23"/>
      <c r="V15" s="23"/>
      <c r="W15" s="23"/>
      <c r="X15" s="23"/>
    </row>
    <row r="17" spans="3:24" x14ac:dyDescent="0.3">
      <c r="E17" s="2" t="s">
        <v>61</v>
      </c>
      <c r="F17" cm="1">
        <f t="array" ref="F17:L17">MMULT(P13:V13,_xlfn.ANCHORARRAY(P5))/SUM(MMULT(P13:V13,_xlfn.ANCHORARRAY(P5)))</f>
        <v>0.3641565351937629</v>
      </c>
      <c r="G17">
        <v>-0.1698026663390273</v>
      </c>
      <c r="H17">
        <v>0.78284862014726841</v>
      </c>
      <c r="I17">
        <v>6.1176890294750846E-2</v>
      </c>
      <c r="J17">
        <v>-4.4184179004440403E-2</v>
      </c>
      <c r="K17">
        <v>5.0213990754737627E-2</v>
      </c>
      <c r="L17">
        <v>-4.4409191047051981E-2</v>
      </c>
    </row>
    <row r="19" spans="3:24" x14ac:dyDescent="0.3">
      <c r="E19" s="2" t="s">
        <v>62</v>
      </c>
      <c r="F19" s="4">
        <f>SUMPRODUCT(_xlfn.ANCHORARRAY(F17),'Return of Top 7 Stocks'!W207:AC207)</f>
        <v>5.2840240486017834E-2</v>
      </c>
    </row>
    <row r="20" spans="3:24" x14ac:dyDescent="0.3">
      <c r="E20" s="2" t="s">
        <v>15</v>
      </c>
      <c r="F20" s="4" cm="1">
        <f t="array" ref="F20">MMULT(_xlfn.ANCHORARRAY(F17),MMULT(_xlfn.ANCHORARRAY(D5),TRANSPOSE(_xlfn.ANCHORARRAY(F17))))</f>
        <v>9.1295500376843632E-4</v>
      </c>
    </row>
    <row r="21" spans="3:24" x14ac:dyDescent="0.3">
      <c r="E21" s="2" t="s">
        <v>63</v>
      </c>
      <c r="F21" s="4">
        <f>SQRT(F20)</f>
        <v>3.0215145271344241E-2</v>
      </c>
    </row>
    <row r="28" spans="3:24" x14ac:dyDescent="0.3">
      <c r="C28" s="23" t="s">
        <v>22</v>
      </c>
      <c r="D28" s="23"/>
      <c r="E28" s="23"/>
      <c r="F28" s="23"/>
      <c r="G28" s="23"/>
      <c r="H28" s="23"/>
      <c r="I28" s="23"/>
      <c r="J28" s="23"/>
      <c r="K28" s="23"/>
      <c r="L28" s="23"/>
      <c r="M28" s="23"/>
      <c r="N28" s="23"/>
      <c r="O28" s="23"/>
      <c r="P28" s="23"/>
      <c r="Q28" s="23"/>
      <c r="R28" s="23"/>
      <c r="S28" s="23"/>
      <c r="T28" s="23"/>
      <c r="U28" s="23"/>
      <c r="V28" s="23"/>
      <c r="W28" s="23"/>
      <c r="X28" s="23"/>
    </row>
    <row r="31" spans="3:24" x14ac:dyDescent="0.3">
      <c r="D31" s="2" t="s">
        <v>23</v>
      </c>
      <c r="F31" s="2" t="s">
        <v>64</v>
      </c>
      <c r="H31" s="2" t="s">
        <v>37</v>
      </c>
    </row>
    <row r="32" spans="3:24" x14ac:dyDescent="0.3">
      <c r="D32" s="4">
        <f>'Return of Top 7 Stocks'!W207</f>
        <v>9.297693536611655E-2</v>
      </c>
      <c r="F32" cm="1">
        <f t="array" ref="F32:F38">MMULT(_xlfn.ANCHORARRAY(P5),D32:D38)</f>
        <v>-5.9964232036573462</v>
      </c>
      <c r="H32" s="19">
        <f>F32/SUM(_xlfn.ANCHORARRAY($F$32))</f>
        <v>-0.10360408124828159</v>
      </c>
    </row>
    <row r="33" spans="4:8" x14ac:dyDescent="0.3">
      <c r="D33" s="4">
        <f>'Return of Top 7 Stocks'!X207</f>
        <v>0.51113277781511379</v>
      </c>
      <c r="F33">
        <v>150.07329237842777</v>
      </c>
      <c r="H33" s="19">
        <f t="shared" ref="H33:H38" si="0">F33/SUM(_xlfn.ANCHORARRAY($F$32))</f>
        <v>2.5929133166065674</v>
      </c>
    </row>
    <row r="34" spans="4:8" x14ac:dyDescent="0.3">
      <c r="D34" s="4">
        <f>'Return of Top 7 Stocks'!Y207</f>
        <v>0.13308641560290579</v>
      </c>
      <c r="F34">
        <v>-33.464941365905325</v>
      </c>
      <c r="H34" s="19">
        <f t="shared" si="0"/>
        <v>-0.57819543192474709</v>
      </c>
    </row>
    <row r="35" spans="4:8" x14ac:dyDescent="0.3">
      <c r="D35" s="4">
        <f>'Return of Top 7 Stocks'!Z207</f>
        <v>0.14088611344449753</v>
      </c>
      <c r="F35">
        <v>58.750965988280882</v>
      </c>
      <c r="H35" s="19">
        <f t="shared" si="0"/>
        <v>1.0150784304137153</v>
      </c>
    </row>
    <row r="36" spans="4:8" x14ac:dyDescent="0.3">
      <c r="D36" s="4">
        <f>'Return of Top 7 Stocks'!AA207</f>
        <v>4.4552446255761054E-2</v>
      </c>
      <c r="F36">
        <v>-33.929075245774101</v>
      </c>
      <c r="H36" s="19">
        <f t="shared" si="0"/>
        <v>-0.58621457309721736</v>
      </c>
    </row>
    <row r="37" spans="4:8" x14ac:dyDescent="0.3">
      <c r="D37" s="4">
        <f>'Return of Top 7 Stocks'!AB207</f>
        <v>7.694126550394087E-2</v>
      </c>
      <c r="F37">
        <v>-103.78780902382962</v>
      </c>
      <c r="H37" s="19">
        <f t="shared" si="0"/>
        <v>-1.7932090904003559</v>
      </c>
    </row>
    <row r="38" spans="4:8" x14ac:dyDescent="0.3">
      <c r="D38" s="4">
        <f>'Return of Top 7 Stocks'!AC207</f>
        <v>0.20101054013018832</v>
      </c>
      <c r="F38">
        <v>26.232243253709115</v>
      </c>
      <c r="H38" s="19">
        <f t="shared" si="0"/>
        <v>0.45323142965031915</v>
      </c>
    </row>
    <row r="40" spans="4:8" x14ac:dyDescent="0.3">
      <c r="G40" s="2" t="s">
        <v>65</v>
      </c>
      <c r="H40">
        <f>SUM(H32:H38)</f>
        <v>0.99999999999999989</v>
      </c>
    </row>
    <row r="44" spans="4:8" x14ac:dyDescent="0.3">
      <c r="E44" s="2" t="s">
        <v>62</v>
      </c>
      <c r="F44" s="4">
        <f>SUMPRODUCT(H32:H38,D32:D38)</f>
        <v>1.3087659180216737</v>
      </c>
    </row>
    <row r="45" spans="4:8" x14ac:dyDescent="0.3">
      <c r="E45" s="2" t="s">
        <v>18</v>
      </c>
      <c r="F45" s="4" cm="1">
        <f t="array" ref="F45">MMULT(TRANSPOSE(H32:H38),MMULT(_xlfn.ANCHORARRAY(D5),H32:H38))</f>
        <v>2.2612395072949158E-2</v>
      </c>
    </row>
    <row r="46" spans="4:8" x14ac:dyDescent="0.3">
      <c r="E46" s="2" t="s">
        <v>35</v>
      </c>
      <c r="F46" s="4">
        <f>SQRT(F45)</f>
        <v>0.15037418353211152</v>
      </c>
    </row>
    <row r="49" spans="5:6" x14ac:dyDescent="0.3">
      <c r="E49" s="2" t="s">
        <v>66</v>
      </c>
      <c r="F49" s="9">
        <f>F44/F46</f>
        <v>8.7033950062458327</v>
      </c>
    </row>
  </sheetData>
  <mergeCells count="4">
    <mergeCell ref="C28:X28"/>
    <mergeCell ref="C3:K3"/>
    <mergeCell ref="O3:W3"/>
    <mergeCell ref="C15:X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E0FE0-DE20-4954-85C7-4DB0F1749806}">
  <sheetPr codeName="Sheet4"/>
  <dimension ref="A1:AF534"/>
  <sheetViews>
    <sheetView zoomScale="89" zoomScaleNormal="66" workbookViewId="0">
      <selection activeCell="I110" sqref="I110"/>
    </sheetView>
  </sheetViews>
  <sheetFormatPr defaultRowHeight="14.4" x14ac:dyDescent="0.3"/>
  <cols>
    <col min="1" max="1" width="15.77734375" customWidth="1"/>
    <col min="2" max="2" width="11.109375" customWidth="1"/>
    <col min="4" max="4" width="13.21875" customWidth="1"/>
    <col min="5" max="5" width="9" bestFit="1" customWidth="1"/>
    <col min="6" max="6" width="12" customWidth="1"/>
    <col min="7" max="17" width="9" bestFit="1" customWidth="1"/>
    <col min="18" max="18" width="14.88671875" customWidth="1"/>
    <col min="19" max="25" width="9" bestFit="1" customWidth="1"/>
    <col min="26" max="26" width="12.44140625" bestFit="1" customWidth="1"/>
    <col min="27" max="32" width="9" bestFit="1" customWidth="1"/>
  </cols>
  <sheetData>
    <row r="1" spans="1:26" x14ac:dyDescent="0.3">
      <c r="A1" s="23" t="s">
        <v>69</v>
      </c>
      <c r="B1" s="23"/>
      <c r="C1" s="23"/>
      <c r="D1" s="23"/>
      <c r="E1" s="23"/>
      <c r="F1" s="23"/>
      <c r="G1" s="23"/>
      <c r="H1" s="23"/>
      <c r="I1" s="23"/>
      <c r="J1" s="23"/>
      <c r="K1" s="23"/>
      <c r="L1" s="23"/>
      <c r="M1" s="23"/>
      <c r="N1" s="23"/>
      <c r="O1" s="23"/>
      <c r="P1" s="23"/>
      <c r="Q1" s="23"/>
      <c r="R1" s="23"/>
      <c r="S1" s="23"/>
      <c r="T1" s="23"/>
      <c r="U1" s="23"/>
      <c r="V1" s="23"/>
      <c r="W1" s="23"/>
      <c r="X1" s="23"/>
      <c r="Y1" s="23"/>
    </row>
    <row r="2" spans="1:26" x14ac:dyDescent="0.3">
      <c r="A2" s="25" t="s">
        <v>68</v>
      </c>
      <c r="B2" s="25"/>
      <c r="C2" s="25"/>
      <c r="D2" s="25"/>
      <c r="E2" s="25"/>
      <c r="F2" s="25"/>
      <c r="G2" s="25"/>
      <c r="H2" s="25"/>
      <c r="K2" s="24"/>
      <c r="L2" s="24"/>
      <c r="M2" s="24"/>
      <c r="N2" s="24"/>
      <c r="O2" s="24"/>
      <c r="P2" s="24"/>
      <c r="Q2" s="24"/>
      <c r="T2" s="24"/>
      <c r="U2" s="24"/>
      <c r="V2" s="24"/>
      <c r="W2" s="24"/>
      <c r="X2" s="24"/>
      <c r="Y2" s="24"/>
      <c r="Z2" s="24"/>
    </row>
    <row r="3" spans="1:26" x14ac:dyDescent="0.3">
      <c r="A3" s="17" t="s">
        <v>2</v>
      </c>
      <c r="B3" s="17" t="s">
        <v>24</v>
      </c>
      <c r="C3" s="17" t="s">
        <v>25</v>
      </c>
      <c r="D3" s="17" t="s">
        <v>26</v>
      </c>
      <c r="E3" s="17" t="s">
        <v>27</v>
      </c>
      <c r="F3" s="17" t="s">
        <v>28</v>
      </c>
      <c r="G3" s="17" t="s">
        <v>29</v>
      </c>
      <c r="H3" s="17" t="s">
        <v>30</v>
      </c>
      <c r="K3" s="2"/>
      <c r="L3" s="2"/>
      <c r="M3" s="2"/>
      <c r="N3" s="2"/>
      <c r="O3" s="2"/>
      <c r="P3" s="2"/>
      <c r="Q3" s="2"/>
      <c r="T3" s="2"/>
      <c r="U3" s="2"/>
      <c r="V3" s="2"/>
      <c r="W3" s="2"/>
      <c r="X3" s="2"/>
      <c r="Y3" s="2"/>
      <c r="Z3" s="2"/>
    </row>
    <row r="4" spans="1:26" x14ac:dyDescent="0.3">
      <c r="A4" s="1">
        <v>44570</v>
      </c>
      <c r="B4">
        <v>38.04</v>
      </c>
      <c r="C4">
        <v>176.7</v>
      </c>
      <c r="D4">
        <v>230.03</v>
      </c>
      <c r="E4">
        <v>41.51</v>
      </c>
      <c r="F4">
        <v>16.010000000000002</v>
      </c>
      <c r="G4">
        <v>167.48</v>
      </c>
      <c r="H4">
        <v>159.72</v>
      </c>
    </row>
    <row r="5" spans="1:26" x14ac:dyDescent="0.3">
      <c r="A5" s="1">
        <v>44577</v>
      </c>
      <c r="B5">
        <v>32.119999999999997</v>
      </c>
      <c r="C5">
        <v>164.73</v>
      </c>
      <c r="D5">
        <v>191.97</v>
      </c>
      <c r="E5">
        <v>35.94</v>
      </c>
      <c r="F5">
        <v>13.53</v>
      </c>
      <c r="G5">
        <v>152.13</v>
      </c>
      <c r="H5">
        <v>147.66</v>
      </c>
    </row>
    <row r="6" spans="1:26" x14ac:dyDescent="0.3">
      <c r="A6" s="1">
        <v>44584</v>
      </c>
      <c r="B6">
        <v>30.42</v>
      </c>
      <c r="C6">
        <v>168.9</v>
      </c>
      <c r="D6">
        <v>177.58</v>
      </c>
      <c r="E6">
        <v>35.21</v>
      </c>
      <c r="F6">
        <v>12.71</v>
      </c>
      <c r="G6">
        <v>151.22999999999999</v>
      </c>
      <c r="H6">
        <v>143.81</v>
      </c>
    </row>
    <row r="7" spans="1:26" x14ac:dyDescent="0.3">
      <c r="A7" s="1">
        <v>44591</v>
      </c>
      <c r="B7">
        <v>38.909999999999997</v>
      </c>
      <c r="C7">
        <v>177.21</v>
      </c>
      <c r="D7">
        <v>194.44</v>
      </c>
      <c r="E7">
        <v>37.049999999999997</v>
      </c>
      <c r="F7">
        <v>12.94</v>
      </c>
      <c r="G7">
        <v>158.72999999999999</v>
      </c>
      <c r="H7">
        <v>144.1</v>
      </c>
    </row>
    <row r="8" spans="1:26" x14ac:dyDescent="0.3">
      <c r="A8" s="1">
        <v>44598</v>
      </c>
      <c r="B8">
        <v>39.49</v>
      </c>
      <c r="C8">
        <v>181.86</v>
      </c>
      <c r="D8">
        <v>194.53</v>
      </c>
      <c r="E8">
        <v>35.29</v>
      </c>
      <c r="F8">
        <v>13.13</v>
      </c>
      <c r="G8">
        <v>163.94</v>
      </c>
      <c r="H8">
        <v>141.24</v>
      </c>
    </row>
    <row r="9" spans="1:26" x14ac:dyDescent="0.3">
      <c r="A9" s="1">
        <v>44605</v>
      </c>
      <c r="B9">
        <v>38.01</v>
      </c>
      <c r="C9">
        <v>164.93</v>
      </c>
      <c r="D9">
        <v>189.16</v>
      </c>
      <c r="E9">
        <v>34.68</v>
      </c>
      <c r="F9">
        <v>11.02</v>
      </c>
      <c r="G9">
        <v>112.46</v>
      </c>
      <c r="H9">
        <v>126.96</v>
      </c>
    </row>
    <row r="10" spans="1:26" x14ac:dyDescent="0.3">
      <c r="A10" s="1">
        <v>44612</v>
      </c>
      <c r="B10">
        <v>39.15</v>
      </c>
      <c r="C10">
        <v>181.75</v>
      </c>
      <c r="D10">
        <v>176.83</v>
      </c>
      <c r="E10">
        <v>34.979999999999997</v>
      </c>
      <c r="F10">
        <v>11.47</v>
      </c>
      <c r="G10">
        <v>139.61000000000001</v>
      </c>
      <c r="H10">
        <v>125.32</v>
      </c>
    </row>
    <row r="11" spans="1:26" x14ac:dyDescent="0.3">
      <c r="A11" s="1">
        <v>44619</v>
      </c>
      <c r="B11">
        <v>33.090000000000003</v>
      </c>
      <c r="C11">
        <v>179.03</v>
      </c>
      <c r="D11">
        <v>165.75</v>
      </c>
      <c r="E11">
        <v>29.83</v>
      </c>
      <c r="F11">
        <v>10.96</v>
      </c>
      <c r="G11">
        <v>121.5</v>
      </c>
      <c r="H11">
        <v>108.94</v>
      </c>
    </row>
    <row r="12" spans="1:26" x14ac:dyDescent="0.3">
      <c r="A12" s="1">
        <v>44626</v>
      </c>
      <c r="B12">
        <v>30.05</v>
      </c>
      <c r="C12">
        <v>190.54</v>
      </c>
      <c r="D12">
        <v>160.07</v>
      </c>
      <c r="E12">
        <v>30.76</v>
      </c>
      <c r="F12">
        <v>11.39</v>
      </c>
      <c r="G12">
        <v>103.85</v>
      </c>
      <c r="H12">
        <v>98.12</v>
      </c>
    </row>
    <row r="13" spans="1:26" x14ac:dyDescent="0.3">
      <c r="A13" s="1">
        <v>44633</v>
      </c>
      <c r="B13">
        <v>36</v>
      </c>
      <c r="C13">
        <v>208.06</v>
      </c>
      <c r="D13">
        <v>185.94</v>
      </c>
      <c r="E13">
        <v>33.36</v>
      </c>
      <c r="F13">
        <v>12.82</v>
      </c>
      <c r="G13">
        <v>124.85</v>
      </c>
      <c r="H13">
        <v>116.28</v>
      </c>
    </row>
    <row r="14" spans="1:26" x14ac:dyDescent="0.3">
      <c r="A14" s="1">
        <v>44640</v>
      </c>
      <c r="B14">
        <v>35.4</v>
      </c>
      <c r="C14">
        <v>221.95</v>
      </c>
      <c r="D14">
        <v>186.71</v>
      </c>
      <c r="E14">
        <v>34.06</v>
      </c>
      <c r="F14">
        <v>12.97</v>
      </c>
      <c r="G14">
        <v>123.75</v>
      </c>
      <c r="H14">
        <v>113.93</v>
      </c>
    </row>
    <row r="15" spans="1:26" x14ac:dyDescent="0.3">
      <c r="A15" s="1">
        <v>44647</v>
      </c>
      <c r="B15">
        <v>37.39</v>
      </c>
      <c r="C15">
        <v>227.85</v>
      </c>
      <c r="D15">
        <v>186.96</v>
      </c>
      <c r="E15">
        <v>35.979999999999997</v>
      </c>
      <c r="F15">
        <v>13.83</v>
      </c>
      <c r="G15">
        <v>125.56</v>
      </c>
      <c r="H15">
        <v>118.02</v>
      </c>
    </row>
    <row r="16" spans="1:26" x14ac:dyDescent="0.3">
      <c r="A16" s="1">
        <v>44654</v>
      </c>
      <c r="B16">
        <v>35.67</v>
      </c>
      <c r="C16">
        <v>218.21</v>
      </c>
      <c r="D16">
        <v>160.94</v>
      </c>
      <c r="E16">
        <v>32.049999999999997</v>
      </c>
      <c r="F16">
        <v>12.7</v>
      </c>
      <c r="G16">
        <v>114.74</v>
      </c>
      <c r="H16">
        <v>110.9</v>
      </c>
    </row>
    <row r="17" spans="1:8" x14ac:dyDescent="0.3">
      <c r="A17" s="1">
        <v>44661</v>
      </c>
      <c r="B17">
        <v>33.19</v>
      </c>
      <c r="C17">
        <v>235.22</v>
      </c>
      <c r="D17">
        <v>147.29</v>
      </c>
      <c r="E17">
        <v>32.68</v>
      </c>
      <c r="F17">
        <v>12.42</v>
      </c>
      <c r="G17">
        <v>111.36</v>
      </c>
      <c r="H17">
        <v>110.31</v>
      </c>
    </row>
    <row r="18" spans="1:8" x14ac:dyDescent="0.3">
      <c r="A18" s="1">
        <v>44668</v>
      </c>
      <c r="B18">
        <v>29.76</v>
      </c>
      <c r="C18">
        <v>205.62</v>
      </c>
      <c r="D18">
        <v>131.52000000000001</v>
      </c>
      <c r="E18">
        <v>30.83</v>
      </c>
      <c r="F18">
        <v>11.96</v>
      </c>
      <c r="G18">
        <v>97.09</v>
      </c>
      <c r="H18">
        <v>100.17</v>
      </c>
    </row>
    <row r="19" spans="1:8" x14ac:dyDescent="0.3">
      <c r="A19" s="1">
        <v>44675</v>
      </c>
      <c r="B19">
        <v>28.46</v>
      </c>
      <c r="C19">
        <v>198.76</v>
      </c>
      <c r="D19">
        <v>112.71</v>
      </c>
      <c r="E19">
        <v>31.48</v>
      </c>
      <c r="F19">
        <v>10.4</v>
      </c>
      <c r="G19">
        <v>92.9</v>
      </c>
      <c r="H19">
        <v>99.57</v>
      </c>
    </row>
    <row r="20" spans="1:8" x14ac:dyDescent="0.3">
      <c r="A20" s="1">
        <v>44682</v>
      </c>
      <c r="B20">
        <v>24.92</v>
      </c>
      <c r="C20">
        <v>164.81</v>
      </c>
      <c r="D20">
        <v>103.74</v>
      </c>
      <c r="E20">
        <v>26.07</v>
      </c>
      <c r="F20">
        <v>9.48</v>
      </c>
      <c r="G20">
        <v>96.83</v>
      </c>
      <c r="H20">
        <v>96.38</v>
      </c>
    </row>
    <row r="21" spans="1:8" x14ac:dyDescent="0.3">
      <c r="A21" s="1">
        <v>44689</v>
      </c>
      <c r="B21">
        <v>24.75</v>
      </c>
      <c r="C21">
        <v>156.29</v>
      </c>
      <c r="D21">
        <v>67.87</v>
      </c>
      <c r="E21">
        <v>24.39</v>
      </c>
      <c r="F21">
        <v>8.34</v>
      </c>
      <c r="G21">
        <v>97.84</v>
      </c>
      <c r="H21">
        <v>94.84</v>
      </c>
    </row>
    <row r="22" spans="1:8" x14ac:dyDescent="0.3">
      <c r="A22" s="1">
        <v>44696</v>
      </c>
      <c r="B22">
        <v>23.26</v>
      </c>
      <c r="C22">
        <v>148.74</v>
      </c>
      <c r="D22">
        <v>66.150000000000006</v>
      </c>
      <c r="E22">
        <v>23.35</v>
      </c>
      <c r="F22">
        <v>8.08</v>
      </c>
      <c r="G22">
        <v>94.2</v>
      </c>
      <c r="H22">
        <v>89.74</v>
      </c>
    </row>
    <row r="23" spans="1:8" x14ac:dyDescent="0.3">
      <c r="A23" s="1">
        <v>44703</v>
      </c>
      <c r="B23">
        <v>15.58</v>
      </c>
      <c r="C23">
        <v>166.82</v>
      </c>
      <c r="D23">
        <v>75.319999999999993</v>
      </c>
      <c r="E23">
        <v>23.67</v>
      </c>
      <c r="F23">
        <v>8.85</v>
      </c>
      <c r="G23">
        <v>96.47</v>
      </c>
      <c r="H23">
        <v>110.42</v>
      </c>
    </row>
    <row r="24" spans="1:8" x14ac:dyDescent="0.3">
      <c r="A24" s="1">
        <v>44710</v>
      </c>
      <c r="B24">
        <v>14.49</v>
      </c>
      <c r="C24">
        <v>162.1</v>
      </c>
      <c r="D24">
        <v>66.69</v>
      </c>
      <c r="E24">
        <v>24.15</v>
      </c>
      <c r="F24">
        <v>8.94</v>
      </c>
      <c r="G24">
        <v>87.28</v>
      </c>
      <c r="H24">
        <v>109.42</v>
      </c>
    </row>
    <row r="25" spans="1:8" x14ac:dyDescent="0.3">
      <c r="A25" s="1">
        <v>44717</v>
      </c>
      <c r="B25">
        <v>13.28</v>
      </c>
      <c r="C25">
        <v>169.32</v>
      </c>
      <c r="D25">
        <v>58.71</v>
      </c>
      <c r="E25">
        <v>23.72</v>
      </c>
      <c r="F25">
        <v>8.26</v>
      </c>
      <c r="G25">
        <v>82.71</v>
      </c>
      <c r="H25">
        <v>109.07</v>
      </c>
    </row>
    <row r="26" spans="1:8" x14ac:dyDescent="0.3">
      <c r="A26" s="1">
        <v>44724</v>
      </c>
      <c r="B26">
        <v>12.42</v>
      </c>
      <c r="C26">
        <v>163.9</v>
      </c>
      <c r="D26">
        <v>51.22</v>
      </c>
      <c r="E26">
        <v>21.81</v>
      </c>
      <c r="F26">
        <v>8.24</v>
      </c>
      <c r="G26">
        <v>82.42</v>
      </c>
      <c r="H26">
        <v>110</v>
      </c>
    </row>
    <row r="27" spans="1:8" x14ac:dyDescent="0.3">
      <c r="A27" s="1">
        <v>44731</v>
      </c>
      <c r="B27">
        <v>14.7</v>
      </c>
      <c r="C27">
        <v>184.99</v>
      </c>
      <c r="D27">
        <v>62.71</v>
      </c>
      <c r="E27">
        <v>23.03</v>
      </c>
      <c r="F27">
        <v>10.19</v>
      </c>
      <c r="G27">
        <v>98.77</v>
      </c>
      <c r="H27">
        <v>122.64</v>
      </c>
    </row>
    <row r="28" spans="1:8" x14ac:dyDescent="0.3">
      <c r="A28" s="1">
        <v>44738</v>
      </c>
      <c r="B28">
        <v>13.17</v>
      </c>
      <c r="C28">
        <v>179.25</v>
      </c>
      <c r="D28">
        <v>49.04</v>
      </c>
      <c r="E28">
        <v>21.34</v>
      </c>
      <c r="F28">
        <v>9.27</v>
      </c>
      <c r="G28">
        <v>83.91</v>
      </c>
      <c r="H28">
        <v>110.97</v>
      </c>
    </row>
    <row r="29" spans="1:8" x14ac:dyDescent="0.3">
      <c r="A29" s="1">
        <v>44745</v>
      </c>
      <c r="B29">
        <v>14.96</v>
      </c>
      <c r="C29">
        <v>190.38</v>
      </c>
      <c r="D29">
        <v>60.29</v>
      </c>
      <c r="E29">
        <v>22.34</v>
      </c>
      <c r="F29">
        <v>10.17</v>
      </c>
      <c r="G29">
        <v>94.41</v>
      </c>
      <c r="H29">
        <v>119.8</v>
      </c>
    </row>
    <row r="30" spans="1:8" x14ac:dyDescent="0.3">
      <c r="A30" s="1">
        <v>44752</v>
      </c>
      <c r="B30">
        <v>13.65</v>
      </c>
      <c r="C30">
        <v>177.9</v>
      </c>
      <c r="D30">
        <v>53.79</v>
      </c>
      <c r="E30">
        <v>21.67</v>
      </c>
      <c r="F30">
        <v>9.0399999999999991</v>
      </c>
      <c r="G30">
        <v>85.77</v>
      </c>
      <c r="H30">
        <v>99.85</v>
      </c>
    </row>
    <row r="31" spans="1:8" x14ac:dyDescent="0.3">
      <c r="A31" s="1">
        <v>44759</v>
      </c>
      <c r="B31">
        <v>9.9600000000000009</v>
      </c>
      <c r="C31">
        <v>183.53</v>
      </c>
      <c r="D31">
        <v>70.819999999999993</v>
      </c>
      <c r="E31">
        <v>23.3</v>
      </c>
      <c r="F31">
        <v>9.84</v>
      </c>
      <c r="G31">
        <v>88.84</v>
      </c>
      <c r="H31">
        <v>106.55</v>
      </c>
    </row>
    <row r="32" spans="1:8" x14ac:dyDescent="0.3">
      <c r="A32" s="1">
        <v>44766</v>
      </c>
      <c r="B32">
        <v>9.8800000000000008</v>
      </c>
      <c r="C32">
        <v>183.6</v>
      </c>
      <c r="D32">
        <v>62.96</v>
      </c>
      <c r="E32">
        <v>23.45</v>
      </c>
      <c r="F32">
        <v>10.35</v>
      </c>
      <c r="G32">
        <v>65.52</v>
      </c>
      <c r="H32">
        <v>103.86</v>
      </c>
    </row>
    <row r="33" spans="1:8" x14ac:dyDescent="0.3">
      <c r="A33" s="1">
        <v>44773</v>
      </c>
      <c r="B33">
        <v>10.18</v>
      </c>
      <c r="C33">
        <v>191.17</v>
      </c>
      <c r="D33">
        <v>93.05</v>
      </c>
      <c r="E33">
        <v>32.01</v>
      </c>
      <c r="F33">
        <v>11.45</v>
      </c>
      <c r="G33">
        <v>82.26</v>
      </c>
      <c r="H33">
        <v>113.85</v>
      </c>
    </row>
    <row r="34" spans="1:8" x14ac:dyDescent="0.3">
      <c r="A34" s="1">
        <v>44780</v>
      </c>
      <c r="B34">
        <v>11.62</v>
      </c>
      <c r="C34">
        <v>200.87</v>
      </c>
      <c r="D34">
        <v>90.49</v>
      </c>
      <c r="E34">
        <v>32.47</v>
      </c>
      <c r="F34">
        <v>9.91</v>
      </c>
      <c r="G34">
        <v>83.81</v>
      </c>
      <c r="H34">
        <v>109.52</v>
      </c>
    </row>
    <row r="35" spans="1:8" x14ac:dyDescent="0.3">
      <c r="A35" s="1">
        <v>44787</v>
      </c>
      <c r="B35">
        <v>11.56</v>
      </c>
      <c r="C35">
        <v>190.52</v>
      </c>
      <c r="D35">
        <v>74.06</v>
      </c>
      <c r="E35">
        <v>29.01</v>
      </c>
      <c r="F35">
        <v>8.51</v>
      </c>
      <c r="G35">
        <v>74.150000000000006</v>
      </c>
      <c r="H35">
        <v>99.5</v>
      </c>
    </row>
    <row r="36" spans="1:8" x14ac:dyDescent="0.3">
      <c r="A36" s="1">
        <v>44794</v>
      </c>
      <c r="B36">
        <v>10.67</v>
      </c>
      <c r="C36">
        <v>194.56</v>
      </c>
      <c r="D36">
        <v>66.739999999999995</v>
      </c>
      <c r="E36">
        <v>28.58</v>
      </c>
      <c r="F36">
        <v>7.94</v>
      </c>
      <c r="G36">
        <v>68.319999999999993</v>
      </c>
      <c r="H36">
        <v>81.41</v>
      </c>
    </row>
    <row r="37" spans="1:8" x14ac:dyDescent="0.3">
      <c r="A37" s="1">
        <v>44801</v>
      </c>
      <c r="B37">
        <v>11.22</v>
      </c>
      <c r="C37">
        <v>172.45</v>
      </c>
      <c r="D37">
        <v>65.260000000000005</v>
      </c>
      <c r="E37">
        <v>29.05</v>
      </c>
      <c r="F37">
        <v>7.4</v>
      </c>
      <c r="G37">
        <v>65.989999999999995</v>
      </c>
      <c r="H37">
        <v>80.790000000000006</v>
      </c>
    </row>
    <row r="38" spans="1:8" x14ac:dyDescent="0.3">
      <c r="A38" s="1">
        <v>44808</v>
      </c>
      <c r="B38">
        <v>12.65</v>
      </c>
      <c r="C38">
        <v>190.86</v>
      </c>
      <c r="D38">
        <v>80.87</v>
      </c>
      <c r="E38">
        <v>31.78</v>
      </c>
      <c r="F38">
        <v>7.79</v>
      </c>
      <c r="G38">
        <v>71.55</v>
      </c>
      <c r="H38">
        <v>82.62</v>
      </c>
    </row>
    <row r="39" spans="1:8" x14ac:dyDescent="0.3">
      <c r="A39" s="1">
        <v>44815</v>
      </c>
      <c r="B39">
        <v>11.3</v>
      </c>
      <c r="C39">
        <v>171.01</v>
      </c>
      <c r="D39">
        <v>74</v>
      </c>
      <c r="E39">
        <v>31.93</v>
      </c>
      <c r="F39">
        <v>7.78</v>
      </c>
      <c r="G39">
        <v>71.349999999999994</v>
      </c>
      <c r="H39">
        <v>78.680000000000007</v>
      </c>
    </row>
    <row r="40" spans="1:8" x14ac:dyDescent="0.3">
      <c r="A40" s="1">
        <v>44822</v>
      </c>
      <c r="B40">
        <v>10.32</v>
      </c>
      <c r="C40">
        <v>160.38999999999999</v>
      </c>
      <c r="D40">
        <v>61.88</v>
      </c>
      <c r="E40">
        <v>27.82</v>
      </c>
      <c r="F40">
        <v>7.4</v>
      </c>
      <c r="G40">
        <v>59.88</v>
      </c>
      <c r="H40">
        <v>74.45</v>
      </c>
    </row>
    <row r="41" spans="1:8" x14ac:dyDescent="0.3">
      <c r="A41" s="1">
        <v>44829</v>
      </c>
      <c r="B41">
        <v>9.82</v>
      </c>
      <c r="C41">
        <v>164.81</v>
      </c>
      <c r="D41">
        <v>64.489999999999995</v>
      </c>
      <c r="E41">
        <v>26.5</v>
      </c>
      <c r="F41">
        <v>8.1300000000000008</v>
      </c>
      <c r="G41">
        <v>56.4</v>
      </c>
      <c r="H41">
        <v>73.59</v>
      </c>
    </row>
    <row r="42" spans="1:8" x14ac:dyDescent="0.3">
      <c r="A42" s="1">
        <v>44836</v>
      </c>
      <c r="B42">
        <v>10.66</v>
      </c>
      <c r="C42">
        <v>171.88</v>
      </c>
      <c r="D42">
        <v>67</v>
      </c>
      <c r="E42">
        <v>28.07</v>
      </c>
      <c r="F42">
        <v>8.15</v>
      </c>
      <c r="G42">
        <v>55.08</v>
      </c>
      <c r="H42">
        <v>76.59</v>
      </c>
    </row>
    <row r="43" spans="1:8" x14ac:dyDescent="0.3">
      <c r="A43" s="1">
        <v>44843</v>
      </c>
      <c r="B43">
        <v>9.99</v>
      </c>
      <c r="C43">
        <v>145.97999999999999</v>
      </c>
      <c r="D43">
        <v>63.59</v>
      </c>
      <c r="E43">
        <v>24.71</v>
      </c>
      <c r="F43">
        <v>7.53</v>
      </c>
      <c r="G43">
        <v>49.28</v>
      </c>
      <c r="H43">
        <v>72.290000000000006</v>
      </c>
    </row>
    <row r="44" spans="1:8" x14ac:dyDescent="0.3">
      <c r="A44" s="1">
        <v>44850</v>
      </c>
      <c r="B44">
        <v>7.76</v>
      </c>
      <c r="C44">
        <v>156.32</v>
      </c>
      <c r="D44">
        <v>66.38</v>
      </c>
      <c r="E44">
        <v>28.02</v>
      </c>
      <c r="F44">
        <v>8.2899999999999991</v>
      </c>
      <c r="G44">
        <v>50.15</v>
      </c>
      <c r="H44">
        <v>80.98</v>
      </c>
    </row>
    <row r="45" spans="1:8" x14ac:dyDescent="0.3">
      <c r="A45" s="1">
        <v>44857</v>
      </c>
      <c r="B45">
        <v>10.08</v>
      </c>
      <c r="C45">
        <v>163.65</v>
      </c>
      <c r="D45">
        <v>72.069999999999993</v>
      </c>
      <c r="E45">
        <v>27.5</v>
      </c>
      <c r="F45">
        <v>8.64</v>
      </c>
      <c r="G45">
        <v>54.55</v>
      </c>
      <c r="H45">
        <v>84.21</v>
      </c>
    </row>
    <row r="46" spans="1:8" x14ac:dyDescent="0.3">
      <c r="A46" s="1">
        <v>44864</v>
      </c>
      <c r="B46">
        <v>9.14</v>
      </c>
      <c r="C46">
        <v>127.56</v>
      </c>
      <c r="D46">
        <v>58.82</v>
      </c>
      <c r="E46">
        <v>28.39</v>
      </c>
      <c r="F46">
        <v>7.93</v>
      </c>
      <c r="G46">
        <v>49.59</v>
      </c>
      <c r="H46">
        <v>77.459999999999994</v>
      </c>
    </row>
    <row r="47" spans="1:8" x14ac:dyDescent="0.3">
      <c r="A47" s="1">
        <v>44871</v>
      </c>
      <c r="B47">
        <v>11.58</v>
      </c>
      <c r="C47">
        <v>143.12</v>
      </c>
      <c r="D47">
        <v>57.46</v>
      </c>
      <c r="E47">
        <v>29.15</v>
      </c>
      <c r="F47">
        <v>8.41</v>
      </c>
      <c r="G47">
        <v>61.3</v>
      </c>
      <c r="H47">
        <v>88.32</v>
      </c>
    </row>
    <row r="48" spans="1:8" x14ac:dyDescent="0.3">
      <c r="A48" s="1">
        <v>44878</v>
      </c>
      <c r="B48">
        <v>10.52</v>
      </c>
      <c r="C48">
        <v>138.99</v>
      </c>
      <c r="D48">
        <v>45.26</v>
      </c>
      <c r="E48">
        <v>28.96</v>
      </c>
      <c r="F48">
        <v>7.39</v>
      </c>
      <c r="G48">
        <v>55.65</v>
      </c>
      <c r="H48">
        <v>81.64</v>
      </c>
    </row>
    <row r="49" spans="1:8" x14ac:dyDescent="0.3">
      <c r="A49" s="1">
        <v>44885</v>
      </c>
      <c r="B49">
        <v>10.18</v>
      </c>
      <c r="C49">
        <v>140.05000000000001</v>
      </c>
      <c r="D49">
        <v>44.28</v>
      </c>
      <c r="E49">
        <v>28.5</v>
      </c>
      <c r="F49">
        <v>7.28</v>
      </c>
      <c r="G49">
        <v>56.08</v>
      </c>
      <c r="H49">
        <v>75.400000000000006</v>
      </c>
    </row>
    <row r="50" spans="1:8" x14ac:dyDescent="0.3">
      <c r="A50" s="1">
        <v>44892</v>
      </c>
      <c r="B50">
        <v>10.5</v>
      </c>
      <c r="C50">
        <v>124</v>
      </c>
      <c r="D50">
        <v>47.67</v>
      </c>
      <c r="E50">
        <v>28.75</v>
      </c>
      <c r="F50">
        <v>7.66</v>
      </c>
      <c r="G50">
        <v>60.73</v>
      </c>
      <c r="H50">
        <v>74.31</v>
      </c>
    </row>
    <row r="51" spans="1:8" x14ac:dyDescent="0.3">
      <c r="A51" s="1">
        <v>44899</v>
      </c>
      <c r="B51">
        <v>9.4499999999999993</v>
      </c>
      <c r="C51">
        <v>115.08</v>
      </c>
      <c r="D51">
        <v>40.24</v>
      </c>
      <c r="E51">
        <v>26.55</v>
      </c>
      <c r="F51">
        <v>7.11</v>
      </c>
      <c r="G51">
        <v>51.74</v>
      </c>
      <c r="H51">
        <v>72.16</v>
      </c>
    </row>
    <row r="52" spans="1:8" x14ac:dyDescent="0.3">
      <c r="A52" s="1">
        <v>44906</v>
      </c>
      <c r="B52">
        <v>8.4700000000000006</v>
      </c>
      <c r="C52">
        <v>111.5</v>
      </c>
      <c r="D52">
        <v>36.6</v>
      </c>
      <c r="E52">
        <v>25.97</v>
      </c>
      <c r="F52">
        <v>6.9</v>
      </c>
      <c r="G52">
        <v>45.85</v>
      </c>
      <c r="H52">
        <v>69.86</v>
      </c>
    </row>
    <row r="53" spans="1:8" x14ac:dyDescent="0.3">
      <c r="A53" s="1">
        <v>44913</v>
      </c>
      <c r="B53">
        <v>8.58</v>
      </c>
      <c r="C53">
        <v>101.99</v>
      </c>
      <c r="D53">
        <v>35.49</v>
      </c>
      <c r="E53">
        <v>24.64</v>
      </c>
      <c r="F53">
        <v>6.29</v>
      </c>
      <c r="G53">
        <v>41.35</v>
      </c>
      <c r="H53">
        <v>65.89</v>
      </c>
    </row>
    <row r="54" spans="1:8" x14ac:dyDescent="0.3">
      <c r="A54" s="1">
        <v>44920</v>
      </c>
      <c r="B54">
        <v>8.9499999999999993</v>
      </c>
      <c r="C54">
        <v>105.29</v>
      </c>
      <c r="D54">
        <v>35.39</v>
      </c>
      <c r="E54">
        <v>24.73</v>
      </c>
      <c r="F54">
        <v>6.42</v>
      </c>
      <c r="G54">
        <v>40.700000000000003</v>
      </c>
      <c r="H54">
        <v>67.739999999999995</v>
      </c>
    </row>
    <row r="55" spans="1:8" x14ac:dyDescent="0.3">
      <c r="A55" s="1">
        <v>44927</v>
      </c>
      <c r="B55">
        <v>9.2200000000000006</v>
      </c>
      <c r="C55">
        <v>94.72</v>
      </c>
      <c r="D55">
        <v>33.26</v>
      </c>
      <c r="E55">
        <v>26.4</v>
      </c>
      <c r="F55">
        <v>6.4</v>
      </c>
      <c r="G55">
        <v>43.6</v>
      </c>
      <c r="H55">
        <v>69.510000000000005</v>
      </c>
    </row>
    <row r="56" spans="1:8" x14ac:dyDescent="0.3">
      <c r="A56" s="1">
        <v>44934</v>
      </c>
      <c r="B56">
        <v>9.8000000000000007</v>
      </c>
      <c r="C56">
        <v>99.53</v>
      </c>
      <c r="D56">
        <v>49.98</v>
      </c>
      <c r="E56">
        <v>29.44</v>
      </c>
      <c r="F56">
        <v>6.96</v>
      </c>
      <c r="G56">
        <v>50.82</v>
      </c>
      <c r="H56">
        <v>69.489999999999995</v>
      </c>
    </row>
    <row r="57" spans="1:8" x14ac:dyDescent="0.3">
      <c r="A57" s="1">
        <v>44941</v>
      </c>
      <c r="B57">
        <v>9.99</v>
      </c>
      <c r="C57">
        <v>103.41</v>
      </c>
      <c r="D57">
        <v>55.16</v>
      </c>
      <c r="E57">
        <v>30.36</v>
      </c>
      <c r="F57">
        <v>7.02</v>
      </c>
      <c r="G57">
        <v>52.39</v>
      </c>
      <c r="H57">
        <v>69.5</v>
      </c>
    </row>
    <row r="58" spans="1:8" x14ac:dyDescent="0.3">
      <c r="A58" s="1">
        <v>44948</v>
      </c>
      <c r="B58">
        <v>10.91</v>
      </c>
      <c r="C58">
        <v>104.35</v>
      </c>
      <c r="D58">
        <v>61.37</v>
      </c>
      <c r="E58">
        <v>30.36</v>
      </c>
      <c r="F58">
        <v>7.55</v>
      </c>
      <c r="G58">
        <v>56.04</v>
      </c>
      <c r="H58">
        <v>74.150000000000006</v>
      </c>
    </row>
    <row r="59" spans="1:8" x14ac:dyDescent="0.3">
      <c r="A59" s="1">
        <v>44955</v>
      </c>
      <c r="B59">
        <v>11</v>
      </c>
      <c r="C59">
        <v>113.56</v>
      </c>
      <c r="D59">
        <v>74.63</v>
      </c>
      <c r="E59">
        <v>33.090000000000003</v>
      </c>
      <c r="F59">
        <v>8.41</v>
      </c>
      <c r="G59">
        <v>62.84</v>
      </c>
      <c r="H59">
        <v>79.540000000000006</v>
      </c>
    </row>
    <row r="60" spans="1:8" x14ac:dyDescent="0.3">
      <c r="A60" s="1">
        <v>44962</v>
      </c>
      <c r="B60">
        <v>10.65</v>
      </c>
      <c r="C60">
        <v>108.96</v>
      </c>
      <c r="D60">
        <v>57.09</v>
      </c>
      <c r="E60">
        <v>34.299999999999997</v>
      </c>
      <c r="F60">
        <v>7.51</v>
      </c>
      <c r="G60">
        <v>54.9</v>
      </c>
      <c r="H60">
        <v>74.209999999999994</v>
      </c>
    </row>
    <row r="61" spans="1:8" x14ac:dyDescent="0.3">
      <c r="A61" s="1">
        <v>44969</v>
      </c>
      <c r="B61">
        <v>10.36</v>
      </c>
      <c r="C61">
        <v>114.25</v>
      </c>
      <c r="D61">
        <v>65.2</v>
      </c>
      <c r="E61">
        <v>34.770000000000003</v>
      </c>
      <c r="F61">
        <v>9.1999999999999993</v>
      </c>
      <c r="G61">
        <v>71.56</v>
      </c>
      <c r="H61">
        <v>76.11</v>
      </c>
    </row>
    <row r="62" spans="1:8" x14ac:dyDescent="0.3">
      <c r="A62" s="1">
        <v>44976</v>
      </c>
      <c r="B62">
        <v>9.81</v>
      </c>
      <c r="C62">
        <v>117.28</v>
      </c>
      <c r="D62">
        <v>58.44</v>
      </c>
      <c r="E62">
        <v>33.4</v>
      </c>
      <c r="F62">
        <v>8.09</v>
      </c>
      <c r="G62">
        <v>62.65</v>
      </c>
      <c r="H62">
        <v>73.930000000000007</v>
      </c>
    </row>
    <row r="63" spans="1:8" x14ac:dyDescent="0.3">
      <c r="A63" s="1">
        <v>44983</v>
      </c>
      <c r="B63">
        <v>10.65</v>
      </c>
      <c r="C63">
        <v>126.04</v>
      </c>
      <c r="D63">
        <v>64.510000000000005</v>
      </c>
      <c r="E63">
        <v>34.57</v>
      </c>
      <c r="F63">
        <v>8.33</v>
      </c>
      <c r="G63">
        <v>65.62</v>
      </c>
      <c r="H63">
        <v>70.81</v>
      </c>
    </row>
    <row r="64" spans="1:8" x14ac:dyDescent="0.3">
      <c r="A64" s="1">
        <v>44990</v>
      </c>
      <c r="B64">
        <v>10.34</v>
      </c>
      <c r="C64">
        <v>119.72</v>
      </c>
      <c r="D64">
        <v>53.44</v>
      </c>
      <c r="E64">
        <v>31.11</v>
      </c>
      <c r="F64">
        <v>7.35</v>
      </c>
      <c r="G64">
        <v>59.99</v>
      </c>
      <c r="H64">
        <v>67.12</v>
      </c>
    </row>
    <row r="65" spans="1:8" x14ac:dyDescent="0.3">
      <c r="A65" s="1">
        <v>44997</v>
      </c>
      <c r="B65">
        <v>10.7</v>
      </c>
      <c r="C65">
        <v>133.12</v>
      </c>
      <c r="D65">
        <v>74.98</v>
      </c>
      <c r="E65">
        <v>31.78</v>
      </c>
      <c r="F65">
        <v>7.88</v>
      </c>
      <c r="G65">
        <v>64.239999999999995</v>
      </c>
      <c r="H65">
        <v>69.19</v>
      </c>
    </row>
    <row r="66" spans="1:8" x14ac:dyDescent="0.3">
      <c r="A66" s="1">
        <v>45004</v>
      </c>
      <c r="B66">
        <v>11.56</v>
      </c>
      <c r="C66">
        <v>131.54</v>
      </c>
      <c r="D66">
        <v>67.83</v>
      </c>
      <c r="E66">
        <v>30.75</v>
      </c>
      <c r="F66">
        <v>8.1999999999999993</v>
      </c>
      <c r="G66">
        <v>60</v>
      </c>
      <c r="H66">
        <v>69.040000000000006</v>
      </c>
    </row>
    <row r="67" spans="1:8" x14ac:dyDescent="0.3">
      <c r="A67" s="1">
        <v>45011</v>
      </c>
      <c r="B67">
        <v>11.21</v>
      </c>
      <c r="C67">
        <v>137.26</v>
      </c>
      <c r="D67">
        <v>67.569999999999993</v>
      </c>
      <c r="E67">
        <v>31.7</v>
      </c>
      <c r="F67">
        <v>8.4499999999999993</v>
      </c>
      <c r="G67">
        <v>65.819999999999993</v>
      </c>
      <c r="H67">
        <v>73.84</v>
      </c>
    </row>
    <row r="68" spans="1:8" x14ac:dyDescent="0.3">
      <c r="A68" s="1">
        <v>45018</v>
      </c>
      <c r="B68">
        <v>10.56</v>
      </c>
      <c r="C68">
        <v>127.82</v>
      </c>
      <c r="D68">
        <v>61.44</v>
      </c>
      <c r="E68">
        <v>31.18</v>
      </c>
      <c r="F68">
        <v>8.09</v>
      </c>
      <c r="G68">
        <v>64.08</v>
      </c>
      <c r="H68">
        <v>71.849999999999994</v>
      </c>
    </row>
    <row r="69" spans="1:8" x14ac:dyDescent="0.3">
      <c r="A69" s="1">
        <v>45025</v>
      </c>
      <c r="B69">
        <v>10.69</v>
      </c>
      <c r="C69">
        <v>135.77000000000001</v>
      </c>
      <c r="D69">
        <v>69.91</v>
      </c>
      <c r="E69">
        <v>31.48</v>
      </c>
      <c r="F69">
        <v>8.81</v>
      </c>
      <c r="G69">
        <v>61.72</v>
      </c>
      <c r="H69">
        <v>69.5</v>
      </c>
    </row>
    <row r="70" spans="1:8" x14ac:dyDescent="0.3">
      <c r="A70" s="1">
        <v>45032</v>
      </c>
      <c r="B70">
        <v>10.01</v>
      </c>
      <c r="C70">
        <v>132.25</v>
      </c>
      <c r="D70">
        <v>59.04</v>
      </c>
      <c r="E70">
        <v>30.83</v>
      </c>
      <c r="F70">
        <v>8.18</v>
      </c>
      <c r="G70">
        <v>58.05</v>
      </c>
      <c r="H70">
        <v>63.98</v>
      </c>
    </row>
    <row r="71" spans="1:8" x14ac:dyDescent="0.3">
      <c r="A71" s="1">
        <v>45039</v>
      </c>
      <c r="B71">
        <v>8.7100000000000009</v>
      </c>
      <c r="C71">
        <v>120.05</v>
      </c>
      <c r="D71">
        <v>53.79</v>
      </c>
      <c r="E71">
        <v>31.05</v>
      </c>
      <c r="F71">
        <v>7.75</v>
      </c>
      <c r="G71">
        <v>56.21</v>
      </c>
      <c r="H71">
        <v>61.43</v>
      </c>
    </row>
    <row r="72" spans="1:8" x14ac:dyDescent="0.3">
      <c r="A72" s="1">
        <v>45046</v>
      </c>
      <c r="B72">
        <v>8.23</v>
      </c>
      <c r="C72">
        <v>122.45</v>
      </c>
      <c r="D72">
        <v>58.24</v>
      </c>
      <c r="E72">
        <v>37.75</v>
      </c>
      <c r="F72">
        <v>7.41</v>
      </c>
      <c r="G72">
        <v>54.97</v>
      </c>
      <c r="H72">
        <v>63.4</v>
      </c>
    </row>
    <row r="73" spans="1:8" x14ac:dyDescent="0.3">
      <c r="A73" s="1">
        <v>45053</v>
      </c>
      <c r="B73">
        <v>8.5500000000000007</v>
      </c>
      <c r="C73">
        <v>130.22999999999999</v>
      </c>
      <c r="D73">
        <v>57.34</v>
      </c>
      <c r="E73">
        <v>38.450000000000003</v>
      </c>
      <c r="F73">
        <v>9.5</v>
      </c>
      <c r="G73">
        <v>53.73</v>
      </c>
      <c r="H73">
        <v>63.69</v>
      </c>
    </row>
    <row r="74" spans="1:8" x14ac:dyDescent="0.3">
      <c r="A74" s="1">
        <v>45060</v>
      </c>
      <c r="B74">
        <v>9.7200000000000006</v>
      </c>
      <c r="C74">
        <v>144.72</v>
      </c>
      <c r="D74">
        <v>56.78</v>
      </c>
      <c r="E74">
        <v>39.18</v>
      </c>
      <c r="F74">
        <v>11.71</v>
      </c>
      <c r="G74">
        <v>52.61</v>
      </c>
      <c r="H74">
        <v>69.37</v>
      </c>
    </row>
    <row r="75" spans="1:8" x14ac:dyDescent="0.3">
      <c r="A75" s="1">
        <v>45067</v>
      </c>
      <c r="B75">
        <v>10.28</v>
      </c>
      <c r="C75">
        <v>154.12</v>
      </c>
      <c r="D75">
        <v>56.92</v>
      </c>
      <c r="E75">
        <v>38.450000000000003</v>
      </c>
      <c r="F75">
        <v>13.65</v>
      </c>
      <c r="G75">
        <v>56.05</v>
      </c>
      <c r="H75">
        <v>66.27</v>
      </c>
    </row>
    <row r="76" spans="1:8" x14ac:dyDescent="0.3">
      <c r="A76" s="1">
        <v>45074</v>
      </c>
      <c r="B76">
        <v>10.41</v>
      </c>
      <c r="C76">
        <v>151.32</v>
      </c>
      <c r="D76">
        <v>64.55</v>
      </c>
      <c r="E76">
        <v>39.729999999999997</v>
      </c>
      <c r="F76">
        <v>14.52</v>
      </c>
      <c r="G76">
        <v>60.14</v>
      </c>
      <c r="H76">
        <v>67.09</v>
      </c>
    </row>
    <row r="77" spans="1:8" x14ac:dyDescent="0.3">
      <c r="A77" s="1">
        <v>45081</v>
      </c>
      <c r="B77">
        <v>10.09</v>
      </c>
      <c r="C77">
        <v>149.53</v>
      </c>
      <c r="D77">
        <v>53.28</v>
      </c>
      <c r="E77">
        <v>40.99</v>
      </c>
      <c r="F77">
        <v>15.02</v>
      </c>
      <c r="G77">
        <v>69.48</v>
      </c>
      <c r="H77">
        <v>67.14</v>
      </c>
    </row>
    <row r="78" spans="1:8" x14ac:dyDescent="0.3">
      <c r="A78" s="1">
        <v>45088</v>
      </c>
      <c r="B78">
        <v>10.68</v>
      </c>
      <c r="C78">
        <v>155.13999999999999</v>
      </c>
      <c r="D78">
        <v>55.59</v>
      </c>
      <c r="E78">
        <v>43.52</v>
      </c>
      <c r="F78">
        <v>16.3</v>
      </c>
      <c r="G78">
        <v>70.69</v>
      </c>
      <c r="H78">
        <v>70.06</v>
      </c>
    </row>
    <row r="79" spans="1:8" x14ac:dyDescent="0.3">
      <c r="A79" s="1">
        <v>45095</v>
      </c>
      <c r="B79">
        <v>10.82</v>
      </c>
      <c r="C79">
        <v>143.65</v>
      </c>
      <c r="D79">
        <v>61.47</v>
      </c>
      <c r="E79">
        <v>43.34</v>
      </c>
      <c r="F79">
        <v>14.03</v>
      </c>
      <c r="G79">
        <v>62.57</v>
      </c>
      <c r="H79">
        <v>66.62</v>
      </c>
    </row>
    <row r="80" spans="1:8" x14ac:dyDescent="0.3">
      <c r="A80" s="1">
        <v>45102</v>
      </c>
      <c r="B80">
        <v>11.84</v>
      </c>
      <c r="C80">
        <v>146.87</v>
      </c>
      <c r="D80">
        <v>71.55</v>
      </c>
      <c r="E80">
        <v>43.17</v>
      </c>
      <c r="F80">
        <v>15.33</v>
      </c>
      <c r="G80">
        <v>63.96</v>
      </c>
      <c r="H80">
        <v>67.88</v>
      </c>
    </row>
    <row r="81" spans="1:8" x14ac:dyDescent="0.3">
      <c r="A81" s="1">
        <v>45109</v>
      </c>
      <c r="B81">
        <v>11.68</v>
      </c>
      <c r="C81">
        <v>144.05000000000001</v>
      </c>
      <c r="D81">
        <v>78.72</v>
      </c>
      <c r="E81">
        <v>42.91</v>
      </c>
      <c r="F81">
        <v>15.34</v>
      </c>
      <c r="G81">
        <v>62.83</v>
      </c>
      <c r="H81">
        <v>65.67</v>
      </c>
    </row>
    <row r="82" spans="1:8" x14ac:dyDescent="0.3">
      <c r="A82" s="1">
        <v>45116</v>
      </c>
      <c r="B82">
        <v>13.15</v>
      </c>
      <c r="C82">
        <v>149.4</v>
      </c>
      <c r="D82">
        <v>105.31</v>
      </c>
      <c r="E82">
        <v>44.75</v>
      </c>
      <c r="F82">
        <v>16.399999999999999</v>
      </c>
      <c r="G82">
        <v>74.02</v>
      </c>
      <c r="H82">
        <v>70.59</v>
      </c>
    </row>
    <row r="83" spans="1:8" x14ac:dyDescent="0.3">
      <c r="A83" s="1">
        <v>45123</v>
      </c>
      <c r="B83">
        <v>12.74</v>
      </c>
      <c r="C83">
        <v>150.9</v>
      </c>
      <c r="D83">
        <v>100.82</v>
      </c>
      <c r="E83">
        <v>47.23</v>
      </c>
      <c r="F83">
        <v>16.43</v>
      </c>
      <c r="G83">
        <v>73.5</v>
      </c>
      <c r="H83">
        <v>71.03</v>
      </c>
    </row>
    <row r="84" spans="1:8" x14ac:dyDescent="0.3">
      <c r="A84" s="1">
        <v>45130</v>
      </c>
      <c r="B84">
        <v>10.68</v>
      </c>
      <c r="C84">
        <v>155.6</v>
      </c>
      <c r="D84">
        <v>94.76</v>
      </c>
      <c r="E84">
        <v>48.14</v>
      </c>
      <c r="F84">
        <v>17.809999999999999</v>
      </c>
      <c r="G84">
        <v>89.61</v>
      </c>
      <c r="H84">
        <v>73.08</v>
      </c>
    </row>
    <row r="85" spans="1:8" x14ac:dyDescent="0.3">
      <c r="A85" s="1">
        <v>45137</v>
      </c>
      <c r="B85">
        <v>10.75</v>
      </c>
      <c r="C85">
        <v>150.49</v>
      </c>
      <c r="D85">
        <v>87.31</v>
      </c>
      <c r="E85">
        <v>45.2</v>
      </c>
      <c r="F85">
        <v>18.2</v>
      </c>
      <c r="G85">
        <v>86.35</v>
      </c>
      <c r="H85">
        <v>69.06</v>
      </c>
    </row>
    <row r="86" spans="1:8" x14ac:dyDescent="0.3">
      <c r="A86" s="1">
        <v>45144</v>
      </c>
      <c r="B86">
        <v>10.029999999999999</v>
      </c>
      <c r="C86">
        <v>148.22</v>
      </c>
      <c r="D86">
        <v>81.010000000000005</v>
      </c>
      <c r="E86">
        <v>43.71</v>
      </c>
      <c r="F86">
        <v>15.41</v>
      </c>
      <c r="G86">
        <v>79.260000000000005</v>
      </c>
      <c r="H86">
        <v>66.599999999999994</v>
      </c>
    </row>
    <row r="87" spans="1:8" x14ac:dyDescent="0.3">
      <c r="A87" s="1">
        <v>45151</v>
      </c>
      <c r="B87">
        <v>9.18</v>
      </c>
      <c r="C87">
        <v>146.80000000000001</v>
      </c>
      <c r="D87">
        <v>73.19</v>
      </c>
      <c r="E87">
        <v>44.69</v>
      </c>
      <c r="F87">
        <v>14.4</v>
      </c>
      <c r="G87">
        <v>79.3</v>
      </c>
      <c r="H87">
        <v>66.290000000000006</v>
      </c>
    </row>
    <row r="88" spans="1:8" x14ac:dyDescent="0.3">
      <c r="A88" s="1">
        <v>45158</v>
      </c>
      <c r="B88">
        <v>9.25</v>
      </c>
      <c r="C88">
        <v>149.58000000000001</v>
      </c>
      <c r="D88">
        <v>74.260000000000005</v>
      </c>
      <c r="E88">
        <v>43.96</v>
      </c>
      <c r="F88">
        <v>14.53</v>
      </c>
      <c r="G88">
        <v>76.95</v>
      </c>
      <c r="H88">
        <v>67.7</v>
      </c>
    </row>
    <row r="89" spans="1:8" x14ac:dyDescent="0.3">
      <c r="A89" s="1">
        <v>45165</v>
      </c>
      <c r="B89">
        <v>10.44</v>
      </c>
      <c r="C89">
        <v>161.22999999999999</v>
      </c>
      <c r="D89">
        <v>77.989999999999995</v>
      </c>
      <c r="E89">
        <v>47.04</v>
      </c>
      <c r="F89">
        <v>15.18</v>
      </c>
      <c r="G89">
        <v>81.72</v>
      </c>
      <c r="H89">
        <v>71.72</v>
      </c>
    </row>
    <row r="90" spans="1:8" x14ac:dyDescent="0.3">
      <c r="A90" s="1">
        <v>45172</v>
      </c>
      <c r="B90">
        <v>9.39</v>
      </c>
      <c r="C90">
        <v>168.09</v>
      </c>
      <c r="D90">
        <v>82.09</v>
      </c>
      <c r="E90">
        <v>47.24</v>
      </c>
      <c r="F90">
        <v>15.13</v>
      </c>
      <c r="G90">
        <v>83.47</v>
      </c>
      <c r="H90">
        <v>72.06</v>
      </c>
    </row>
    <row r="91" spans="1:8" x14ac:dyDescent="0.3">
      <c r="A91" s="1">
        <v>45179</v>
      </c>
      <c r="B91">
        <v>9.16</v>
      </c>
      <c r="C91">
        <v>165.45</v>
      </c>
      <c r="D91">
        <v>82.15</v>
      </c>
      <c r="E91">
        <v>47.52</v>
      </c>
      <c r="F91">
        <v>15.33</v>
      </c>
      <c r="G91">
        <v>76.260000000000005</v>
      </c>
      <c r="H91">
        <v>71.11</v>
      </c>
    </row>
    <row r="92" spans="1:8" x14ac:dyDescent="0.3">
      <c r="A92" s="1">
        <v>45186</v>
      </c>
      <c r="B92">
        <v>8.69</v>
      </c>
      <c r="C92">
        <v>162.57</v>
      </c>
      <c r="D92">
        <v>70.959999999999994</v>
      </c>
      <c r="E92">
        <v>44.41</v>
      </c>
      <c r="F92">
        <v>14.13</v>
      </c>
      <c r="G92">
        <v>69.27</v>
      </c>
      <c r="H92">
        <v>68.849999999999994</v>
      </c>
    </row>
    <row r="93" spans="1:8" x14ac:dyDescent="0.3">
      <c r="A93" s="1">
        <v>45193</v>
      </c>
      <c r="B93">
        <v>8.91</v>
      </c>
      <c r="C93">
        <v>167.38</v>
      </c>
      <c r="D93">
        <v>75.08</v>
      </c>
      <c r="E93">
        <v>45.99</v>
      </c>
      <c r="F93">
        <v>16</v>
      </c>
      <c r="G93">
        <v>70.59</v>
      </c>
      <c r="H93">
        <v>69.94</v>
      </c>
    </row>
    <row r="94" spans="1:8" x14ac:dyDescent="0.3">
      <c r="A94" s="1">
        <v>45200</v>
      </c>
      <c r="B94">
        <v>8.6300000000000008</v>
      </c>
      <c r="C94">
        <v>176.69</v>
      </c>
      <c r="D94">
        <v>78.459999999999994</v>
      </c>
      <c r="E94">
        <v>45.78</v>
      </c>
      <c r="F94">
        <v>16.61</v>
      </c>
      <c r="G94">
        <v>71.83</v>
      </c>
      <c r="H94">
        <v>65.48</v>
      </c>
    </row>
    <row r="95" spans="1:8" x14ac:dyDescent="0.3">
      <c r="A95" s="1">
        <v>45207</v>
      </c>
      <c r="B95">
        <v>8.68</v>
      </c>
      <c r="C95">
        <v>185.72</v>
      </c>
      <c r="D95">
        <v>73.430000000000007</v>
      </c>
      <c r="E95">
        <v>43.48</v>
      </c>
      <c r="F95">
        <v>17.36</v>
      </c>
      <c r="G95">
        <v>66.069999999999993</v>
      </c>
      <c r="H95">
        <v>62.75</v>
      </c>
    </row>
    <row r="96" spans="1:8" x14ac:dyDescent="0.3">
      <c r="A96" s="1">
        <v>45214</v>
      </c>
      <c r="B96">
        <v>9.44</v>
      </c>
      <c r="C96">
        <v>178.76</v>
      </c>
      <c r="D96">
        <v>74.66</v>
      </c>
      <c r="E96">
        <v>42.96</v>
      </c>
      <c r="F96">
        <v>16.11</v>
      </c>
      <c r="G96">
        <v>59.8</v>
      </c>
      <c r="H96">
        <v>61.71</v>
      </c>
    </row>
    <row r="97" spans="1:8" x14ac:dyDescent="0.3">
      <c r="A97" s="1">
        <v>45221</v>
      </c>
      <c r="B97">
        <v>9.3000000000000007</v>
      </c>
      <c r="C97">
        <v>172.82</v>
      </c>
      <c r="D97">
        <v>70.78</v>
      </c>
      <c r="E97">
        <v>41.23</v>
      </c>
      <c r="F97">
        <v>15.07</v>
      </c>
      <c r="G97">
        <v>56.35</v>
      </c>
      <c r="H97">
        <v>59.29</v>
      </c>
    </row>
    <row r="98" spans="1:8" x14ac:dyDescent="0.3">
      <c r="A98" s="1">
        <v>45228</v>
      </c>
      <c r="B98">
        <v>10.72</v>
      </c>
      <c r="C98">
        <v>188.24</v>
      </c>
      <c r="D98">
        <v>85.8</v>
      </c>
      <c r="E98">
        <v>47.75</v>
      </c>
      <c r="F98">
        <v>18.89</v>
      </c>
      <c r="G98">
        <v>84.75</v>
      </c>
      <c r="H98">
        <v>62.99</v>
      </c>
    </row>
    <row r="99" spans="1:8" x14ac:dyDescent="0.3">
      <c r="A99" s="1">
        <v>45235</v>
      </c>
      <c r="B99">
        <v>11.32</v>
      </c>
      <c r="C99">
        <v>196.31</v>
      </c>
      <c r="D99">
        <v>92.92</v>
      </c>
      <c r="E99">
        <v>51.58</v>
      </c>
      <c r="F99">
        <v>19.670000000000002</v>
      </c>
      <c r="G99">
        <v>81.31</v>
      </c>
      <c r="H99">
        <v>62.06</v>
      </c>
    </row>
    <row r="100" spans="1:8" x14ac:dyDescent="0.3">
      <c r="A100" s="1">
        <v>45242</v>
      </c>
      <c r="B100">
        <v>11.89</v>
      </c>
      <c r="C100">
        <v>207.09</v>
      </c>
      <c r="D100">
        <v>99.05</v>
      </c>
      <c r="E100">
        <v>54.44</v>
      </c>
      <c r="F100">
        <v>20.49</v>
      </c>
      <c r="G100">
        <v>92.97</v>
      </c>
      <c r="H100">
        <v>64.12</v>
      </c>
    </row>
    <row r="101" spans="1:8" x14ac:dyDescent="0.3">
      <c r="A101" s="1">
        <v>45249</v>
      </c>
      <c r="B101">
        <v>12.52</v>
      </c>
      <c r="C101">
        <v>210.66</v>
      </c>
      <c r="D101">
        <v>115.54</v>
      </c>
      <c r="E101">
        <v>55.32</v>
      </c>
      <c r="F101">
        <v>19.2</v>
      </c>
      <c r="G101">
        <v>94.93</v>
      </c>
      <c r="H101">
        <v>64.53</v>
      </c>
    </row>
    <row r="102" spans="1:8" x14ac:dyDescent="0.3">
      <c r="A102" s="1">
        <v>45256</v>
      </c>
      <c r="B102">
        <v>14.14</v>
      </c>
      <c r="C102">
        <v>235.03</v>
      </c>
      <c r="D102">
        <v>133.76</v>
      </c>
      <c r="E102">
        <v>57.35</v>
      </c>
      <c r="F102">
        <v>20.27</v>
      </c>
      <c r="G102">
        <v>103.54</v>
      </c>
      <c r="H102">
        <v>70.290000000000006</v>
      </c>
    </row>
    <row r="103" spans="1:8" x14ac:dyDescent="0.3">
      <c r="A103" s="1">
        <v>45263</v>
      </c>
      <c r="B103">
        <v>15.09</v>
      </c>
      <c r="C103">
        <v>242.55</v>
      </c>
      <c r="D103">
        <v>146.62</v>
      </c>
      <c r="E103">
        <v>61.7</v>
      </c>
      <c r="F103">
        <v>17.77</v>
      </c>
      <c r="G103">
        <v>103.36</v>
      </c>
      <c r="H103">
        <v>73.06</v>
      </c>
    </row>
    <row r="104" spans="1:8" x14ac:dyDescent="0.3">
      <c r="A104" s="1">
        <v>45270</v>
      </c>
      <c r="B104">
        <v>16.920000000000002</v>
      </c>
      <c r="C104">
        <v>260.08</v>
      </c>
      <c r="D104">
        <v>147.9</v>
      </c>
      <c r="E104">
        <v>61.86</v>
      </c>
      <c r="F104">
        <v>18.2</v>
      </c>
      <c r="G104">
        <v>95.93</v>
      </c>
      <c r="H104">
        <v>71.569999999999993</v>
      </c>
    </row>
    <row r="105" spans="1:8" x14ac:dyDescent="0.3">
      <c r="A105" s="1">
        <v>45277</v>
      </c>
      <c r="B105">
        <v>17.05</v>
      </c>
      <c r="C105">
        <v>255.63</v>
      </c>
      <c r="D105">
        <v>175.48</v>
      </c>
      <c r="E105">
        <v>61.71</v>
      </c>
      <c r="F105">
        <v>17.41</v>
      </c>
      <c r="G105">
        <v>91.34</v>
      </c>
      <c r="H105">
        <v>72.5</v>
      </c>
    </row>
    <row r="106" spans="1:8" x14ac:dyDescent="0.3">
      <c r="A106" s="1">
        <v>45284</v>
      </c>
      <c r="B106">
        <v>16.93</v>
      </c>
      <c r="C106">
        <v>255.32</v>
      </c>
      <c r="D106">
        <v>173.92</v>
      </c>
      <c r="E106">
        <v>61.57</v>
      </c>
      <c r="F106">
        <v>17.170000000000002</v>
      </c>
      <c r="G106">
        <v>91.66</v>
      </c>
      <c r="H106">
        <v>71.91</v>
      </c>
    </row>
    <row r="107" spans="1:8" x14ac:dyDescent="0.3">
      <c r="A107" s="1">
        <v>45291</v>
      </c>
      <c r="B107">
        <v>16.55</v>
      </c>
      <c r="C107">
        <v>247.46</v>
      </c>
      <c r="D107">
        <v>153.97999999999999</v>
      </c>
      <c r="E107">
        <v>57.58</v>
      </c>
      <c r="F107">
        <v>15.98</v>
      </c>
      <c r="G107">
        <v>89.29</v>
      </c>
      <c r="H107">
        <v>66.959999999999994</v>
      </c>
    </row>
    <row r="108" spans="1:8" x14ac:dyDescent="0.3">
      <c r="A108" s="1">
        <v>45298</v>
      </c>
      <c r="B108">
        <v>16.43</v>
      </c>
      <c r="C108">
        <v>283.35000000000002</v>
      </c>
      <c r="D108">
        <v>130.78</v>
      </c>
      <c r="E108">
        <v>63.2</v>
      </c>
      <c r="F108">
        <v>16.760000000000002</v>
      </c>
      <c r="G108">
        <v>86.05</v>
      </c>
      <c r="H108">
        <v>70.459999999999994</v>
      </c>
    </row>
    <row r="109" spans="1:8" x14ac:dyDescent="0.3">
      <c r="A109" s="1">
        <v>45305</v>
      </c>
      <c r="B109">
        <v>16.420000000000002</v>
      </c>
      <c r="C109">
        <v>290.54000000000002</v>
      </c>
      <c r="D109">
        <v>124.75</v>
      </c>
      <c r="E109">
        <v>65.11</v>
      </c>
      <c r="F109">
        <v>16.78</v>
      </c>
      <c r="G109">
        <v>87.07</v>
      </c>
      <c r="H109">
        <v>69.040000000000006</v>
      </c>
    </row>
    <row r="110" spans="1:8" x14ac:dyDescent="0.3">
      <c r="A110" s="1">
        <v>45312</v>
      </c>
      <c r="B110">
        <v>16.25</v>
      </c>
      <c r="C110">
        <v>290.31</v>
      </c>
      <c r="D110">
        <v>125.2</v>
      </c>
      <c r="E110">
        <v>65.52</v>
      </c>
      <c r="F110">
        <v>16.350000000000001</v>
      </c>
      <c r="G110">
        <v>89</v>
      </c>
      <c r="H110">
        <v>67.739999999999995</v>
      </c>
    </row>
    <row r="111" spans="1:8" x14ac:dyDescent="0.3">
      <c r="A111" s="1">
        <v>45319</v>
      </c>
      <c r="B111">
        <v>17.05</v>
      </c>
      <c r="C111">
        <v>303.57</v>
      </c>
      <c r="D111">
        <v>129.22</v>
      </c>
      <c r="E111">
        <v>68.069999999999993</v>
      </c>
      <c r="F111">
        <v>17.02</v>
      </c>
      <c r="G111">
        <v>91.03</v>
      </c>
      <c r="H111">
        <v>64.27</v>
      </c>
    </row>
    <row r="112" spans="1:8" x14ac:dyDescent="0.3">
      <c r="A112" s="1">
        <v>45326</v>
      </c>
      <c r="B112">
        <v>11.11</v>
      </c>
      <c r="C112">
        <v>329.34</v>
      </c>
      <c r="D112">
        <v>141.99</v>
      </c>
      <c r="E112">
        <v>70.91</v>
      </c>
      <c r="F112">
        <v>24.38</v>
      </c>
      <c r="G112">
        <v>95.8</v>
      </c>
      <c r="H112">
        <v>65.7</v>
      </c>
    </row>
    <row r="113" spans="1:8" x14ac:dyDescent="0.3">
      <c r="A113" s="1">
        <v>45333</v>
      </c>
      <c r="B113">
        <v>11.17</v>
      </c>
      <c r="C113">
        <v>329.24</v>
      </c>
      <c r="D113">
        <v>180.31</v>
      </c>
      <c r="E113">
        <v>78.41</v>
      </c>
      <c r="F113">
        <v>24.44</v>
      </c>
      <c r="G113">
        <v>72</v>
      </c>
      <c r="H113">
        <v>62.12</v>
      </c>
    </row>
    <row r="114" spans="1:8" x14ac:dyDescent="0.3">
      <c r="A114" s="1">
        <v>45340</v>
      </c>
      <c r="B114">
        <v>10.8</v>
      </c>
      <c r="C114">
        <v>311.49</v>
      </c>
      <c r="D114">
        <v>165.98</v>
      </c>
      <c r="E114">
        <v>78.2</v>
      </c>
      <c r="F114">
        <v>22.97</v>
      </c>
      <c r="G114">
        <v>64.48</v>
      </c>
      <c r="H114">
        <v>63.4</v>
      </c>
    </row>
    <row r="115" spans="1:8" x14ac:dyDescent="0.3">
      <c r="A115" s="1">
        <v>45347</v>
      </c>
      <c r="B115">
        <v>11.25</v>
      </c>
      <c r="C115">
        <v>314.60000000000002</v>
      </c>
      <c r="D115">
        <v>205.77</v>
      </c>
      <c r="E115">
        <v>81.03</v>
      </c>
      <c r="F115">
        <v>24.93</v>
      </c>
      <c r="G115">
        <v>63.35</v>
      </c>
      <c r="H115">
        <v>70.91</v>
      </c>
    </row>
    <row r="116" spans="1:8" x14ac:dyDescent="0.3">
      <c r="A116" s="1">
        <v>45354</v>
      </c>
      <c r="B116">
        <v>12.39</v>
      </c>
      <c r="C116">
        <v>322.85000000000002</v>
      </c>
      <c r="D116">
        <v>256.62</v>
      </c>
      <c r="E116">
        <v>78.7</v>
      </c>
      <c r="F116">
        <v>26.04</v>
      </c>
      <c r="G116">
        <v>64.5</v>
      </c>
      <c r="H116">
        <v>67.16</v>
      </c>
    </row>
    <row r="117" spans="1:8" x14ac:dyDescent="0.3">
      <c r="A117" s="1">
        <v>45361</v>
      </c>
      <c r="B117">
        <v>11.19</v>
      </c>
      <c r="C117">
        <v>315.64999999999998</v>
      </c>
      <c r="D117">
        <v>242.36</v>
      </c>
      <c r="E117">
        <v>76.069999999999993</v>
      </c>
      <c r="F117">
        <v>23.49</v>
      </c>
      <c r="G117">
        <v>63.99</v>
      </c>
      <c r="H117">
        <v>65.959999999999994</v>
      </c>
    </row>
    <row r="118" spans="1:8" x14ac:dyDescent="0.3">
      <c r="A118" s="1">
        <v>45368</v>
      </c>
      <c r="B118">
        <v>11.4</v>
      </c>
      <c r="C118">
        <v>327.58</v>
      </c>
      <c r="D118">
        <v>255.51</v>
      </c>
      <c r="E118">
        <v>80.23</v>
      </c>
      <c r="F118">
        <v>24.18</v>
      </c>
      <c r="G118">
        <v>63.58</v>
      </c>
      <c r="H118">
        <v>65.959999999999994</v>
      </c>
    </row>
    <row r="119" spans="1:8" x14ac:dyDescent="0.3">
      <c r="A119" s="1">
        <v>45375</v>
      </c>
      <c r="B119">
        <v>11.48</v>
      </c>
      <c r="C119">
        <v>320.58999999999997</v>
      </c>
      <c r="D119">
        <v>265.12</v>
      </c>
      <c r="E119">
        <v>76.989999999999995</v>
      </c>
      <c r="F119">
        <v>23.01</v>
      </c>
      <c r="G119">
        <v>65.17</v>
      </c>
      <c r="H119">
        <v>65.37</v>
      </c>
    </row>
    <row r="120" spans="1:8" x14ac:dyDescent="0.3">
      <c r="A120" s="1">
        <v>45382</v>
      </c>
      <c r="B120">
        <v>11</v>
      </c>
      <c r="C120">
        <v>315.5</v>
      </c>
      <c r="D120">
        <v>240.9</v>
      </c>
      <c r="E120">
        <v>77.16</v>
      </c>
      <c r="F120">
        <v>22.96</v>
      </c>
      <c r="G120">
        <v>59.83</v>
      </c>
      <c r="H120">
        <v>62.94</v>
      </c>
    </row>
    <row r="121" spans="1:8" x14ac:dyDescent="0.3">
      <c r="A121" s="1">
        <v>45389</v>
      </c>
      <c r="B121">
        <v>10.85</v>
      </c>
      <c r="C121">
        <v>309.05</v>
      </c>
      <c r="D121">
        <v>245.75</v>
      </c>
      <c r="E121">
        <v>75.28</v>
      </c>
      <c r="F121">
        <v>22.67</v>
      </c>
      <c r="G121">
        <v>59.9</v>
      </c>
      <c r="H121">
        <v>61.63</v>
      </c>
    </row>
    <row r="122" spans="1:8" x14ac:dyDescent="0.3">
      <c r="A122" s="1">
        <v>45396</v>
      </c>
      <c r="B122">
        <v>11.16</v>
      </c>
      <c r="C122">
        <v>282.64</v>
      </c>
      <c r="D122">
        <v>211.01</v>
      </c>
      <c r="E122">
        <v>69.2</v>
      </c>
      <c r="F122">
        <v>20.47</v>
      </c>
      <c r="G122">
        <v>56.9</v>
      </c>
      <c r="H122">
        <v>59.45</v>
      </c>
    </row>
    <row r="123" spans="1:8" x14ac:dyDescent="0.3">
      <c r="A123" s="1">
        <v>45403</v>
      </c>
      <c r="B123">
        <v>14.55</v>
      </c>
      <c r="C123">
        <v>304.07</v>
      </c>
      <c r="D123">
        <v>236.32</v>
      </c>
      <c r="E123">
        <v>69.05</v>
      </c>
      <c r="F123">
        <v>22.52</v>
      </c>
      <c r="G123">
        <v>56.35</v>
      </c>
      <c r="H123">
        <v>62</v>
      </c>
    </row>
    <row r="124" spans="1:8" x14ac:dyDescent="0.3">
      <c r="A124" s="1">
        <v>45410</v>
      </c>
      <c r="B124">
        <v>16.25</v>
      </c>
      <c r="C124">
        <v>310.20999999999998</v>
      </c>
      <c r="D124">
        <v>223.25</v>
      </c>
      <c r="E124">
        <v>69.23</v>
      </c>
      <c r="F124">
        <v>23.33</v>
      </c>
      <c r="G124">
        <v>59.11</v>
      </c>
      <c r="H124">
        <v>61.82</v>
      </c>
    </row>
    <row r="125" spans="1:8" x14ac:dyDescent="0.3">
      <c r="A125" s="1">
        <v>45417</v>
      </c>
      <c r="B125">
        <v>16.010000000000002</v>
      </c>
      <c r="C125">
        <v>320.76</v>
      </c>
      <c r="D125">
        <v>200.92</v>
      </c>
      <c r="E125">
        <v>66.989999999999995</v>
      </c>
      <c r="F125">
        <v>20.6</v>
      </c>
      <c r="G125">
        <v>57.91</v>
      </c>
      <c r="H125">
        <v>61.97</v>
      </c>
    </row>
    <row r="126" spans="1:8" x14ac:dyDescent="0.3">
      <c r="A126" s="1">
        <v>45424</v>
      </c>
      <c r="B126">
        <v>16.05</v>
      </c>
      <c r="C126">
        <v>345.93</v>
      </c>
      <c r="D126">
        <v>207.6</v>
      </c>
      <c r="E126">
        <v>65.67</v>
      </c>
      <c r="F126">
        <v>21.76</v>
      </c>
      <c r="G126">
        <v>61.44</v>
      </c>
      <c r="H126">
        <v>64.16</v>
      </c>
    </row>
    <row r="127" spans="1:8" x14ac:dyDescent="0.3">
      <c r="A127" s="1">
        <v>45431</v>
      </c>
      <c r="B127">
        <v>15.22</v>
      </c>
      <c r="C127">
        <v>351.47</v>
      </c>
      <c r="D127">
        <v>237.65</v>
      </c>
      <c r="E127">
        <v>64.260000000000005</v>
      </c>
      <c r="F127">
        <v>21.01</v>
      </c>
      <c r="G127">
        <v>56.76</v>
      </c>
      <c r="H127">
        <v>63.01</v>
      </c>
    </row>
    <row r="128" spans="1:8" x14ac:dyDescent="0.3">
      <c r="A128" s="1">
        <v>45438</v>
      </c>
      <c r="B128">
        <v>15.02</v>
      </c>
      <c r="C128">
        <v>313.67</v>
      </c>
      <c r="D128">
        <v>225.92</v>
      </c>
      <c r="E128">
        <v>64.56</v>
      </c>
      <c r="F128">
        <v>21.68</v>
      </c>
      <c r="G128">
        <v>57.4</v>
      </c>
      <c r="H128">
        <v>61.34</v>
      </c>
    </row>
    <row r="129" spans="1:8" x14ac:dyDescent="0.3">
      <c r="A129" s="1">
        <v>45445</v>
      </c>
      <c r="B129">
        <v>15.59</v>
      </c>
      <c r="C129">
        <v>349.12</v>
      </c>
      <c r="D129">
        <v>244.16</v>
      </c>
      <c r="E129">
        <v>69.31</v>
      </c>
      <c r="F129">
        <v>23.31</v>
      </c>
      <c r="G129">
        <v>57.35</v>
      </c>
      <c r="H129">
        <v>62.84</v>
      </c>
    </row>
    <row r="130" spans="1:8" x14ac:dyDescent="0.3">
      <c r="A130" s="1">
        <v>45452</v>
      </c>
      <c r="B130">
        <v>15.59</v>
      </c>
      <c r="C130">
        <v>385.43</v>
      </c>
      <c r="D130">
        <v>244.5</v>
      </c>
      <c r="E130">
        <v>70.06</v>
      </c>
      <c r="F130">
        <v>23.57</v>
      </c>
      <c r="G130">
        <v>54.51</v>
      </c>
      <c r="H130">
        <v>57.74</v>
      </c>
    </row>
    <row r="131" spans="1:8" x14ac:dyDescent="0.3">
      <c r="A131" s="1">
        <v>45459</v>
      </c>
      <c r="B131">
        <v>15.51</v>
      </c>
      <c r="C131">
        <v>380.63</v>
      </c>
      <c r="D131">
        <v>225.86</v>
      </c>
      <c r="E131">
        <v>70.209999999999994</v>
      </c>
      <c r="F131">
        <v>23.84</v>
      </c>
      <c r="G131">
        <v>54.4</v>
      </c>
      <c r="H131">
        <v>58.88</v>
      </c>
    </row>
    <row r="132" spans="1:8" x14ac:dyDescent="0.3">
      <c r="A132" s="1">
        <v>45466</v>
      </c>
      <c r="B132">
        <v>16.61</v>
      </c>
      <c r="C132">
        <v>383.19</v>
      </c>
      <c r="D132">
        <v>222.23</v>
      </c>
      <c r="E132">
        <v>72.680000000000007</v>
      </c>
      <c r="F132">
        <v>25.33</v>
      </c>
      <c r="G132">
        <v>59.93</v>
      </c>
      <c r="H132">
        <v>59.19</v>
      </c>
    </row>
    <row r="133" spans="1:8" x14ac:dyDescent="0.3">
      <c r="A133" s="1">
        <v>45473</v>
      </c>
      <c r="B133">
        <v>16.38</v>
      </c>
      <c r="C133">
        <v>389.68</v>
      </c>
      <c r="D133">
        <v>223.68</v>
      </c>
      <c r="E133">
        <v>71.06</v>
      </c>
      <c r="F133">
        <v>27.23</v>
      </c>
      <c r="G133">
        <v>62.08</v>
      </c>
      <c r="H133">
        <v>58.26</v>
      </c>
    </row>
    <row r="134" spans="1:8" x14ac:dyDescent="0.3">
      <c r="A134" s="1">
        <v>45480</v>
      </c>
      <c r="B134">
        <v>16.18</v>
      </c>
      <c r="C134">
        <v>371.32</v>
      </c>
      <c r="D134">
        <v>218.02</v>
      </c>
      <c r="E134">
        <v>72.430000000000007</v>
      </c>
      <c r="F134">
        <v>28.07</v>
      </c>
      <c r="G134">
        <v>61.32</v>
      </c>
      <c r="H134">
        <v>57.58</v>
      </c>
    </row>
    <row r="135" spans="1:8" x14ac:dyDescent="0.3">
      <c r="A135" s="1">
        <v>45487</v>
      </c>
      <c r="B135">
        <v>14.4</v>
      </c>
      <c r="C135">
        <v>304.95999999999998</v>
      </c>
      <c r="D135">
        <v>257.79000000000002</v>
      </c>
      <c r="E135">
        <v>67.31</v>
      </c>
      <c r="F135">
        <v>28.58</v>
      </c>
      <c r="G135">
        <v>62.55</v>
      </c>
      <c r="H135">
        <v>58.87</v>
      </c>
    </row>
    <row r="136" spans="1:8" x14ac:dyDescent="0.3">
      <c r="A136" s="1">
        <v>45494</v>
      </c>
      <c r="B136">
        <v>13.33</v>
      </c>
      <c r="C136">
        <v>256.16000000000003</v>
      </c>
      <c r="D136">
        <v>242.93</v>
      </c>
      <c r="E136">
        <v>64.400000000000006</v>
      </c>
      <c r="F136">
        <v>27.18</v>
      </c>
      <c r="G136">
        <v>59.04</v>
      </c>
      <c r="H136">
        <v>60.09</v>
      </c>
    </row>
    <row r="137" spans="1:8" x14ac:dyDescent="0.3">
      <c r="A137" s="1">
        <v>45501</v>
      </c>
      <c r="B137">
        <v>9.36</v>
      </c>
      <c r="C137">
        <v>217.89</v>
      </c>
      <c r="D137">
        <v>204.44</v>
      </c>
      <c r="E137">
        <v>58.99</v>
      </c>
      <c r="F137">
        <v>24.74</v>
      </c>
      <c r="G137">
        <v>53.14</v>
      </c>
      <c r="H137">
        <v>58.49</v>
      </c>
    </row>
    <row r="138" spans="1:8" x14ac:dyDescent="0.3">
      <c r="A138" s="1">
        <v>45508</v>
      </c>
      <c r="B138">
        <v>9.0500000000000007</v>
      </c>
      <c r="C138">
        <v>240.9</v>
      </c>
      <c r="D138">
        <v>196.29</v>
      </c>
      <c r="E138">
        <v>68.540000000000006</v>
      </c>
      <c r="F138">
        <v>30.01</v>
      </c>
      <c r="G138">
        <v>55.1</v>
      </c>
      <c r="H138">
        <v>56.38</v>
      </c>
    </row>
    <row r="139" spans="1:8" x14ac:dyDescent="0.3">
      <c r="A139" s="1">
        <v>45515</v>
      </c>
      <c r="B139">
        <v>9.23</v>
      </c>
      <c r="C139">
        <v>262.54000000000002</v>
      </c>
      <c r="D139">
        <v>205.31</v>
      </c>
      <c r="E139">
        <v>72.040000000000006</v>
      </c>
      <c r="F139">
        <v>32.08</v>
      </c>
      <c r="G139">
        <v>58.58</v>
      </c>
      <c r="H139">
        <v>58.07</v>
      </c>
    </row>
    <row r="140" spans="1:8" x14ac:dyDescent="0.3">
      <c r="A140" s="1">
        <v>45522</v>
      </c>
      <c r="B140">
        <v>9.43</v>
      </c>
      <c r="C140">
        <v>271.54000000000002</v>
      </c>
      <c r="D140">
        <v>211.4</v>
      </c>
      <c r="E140">
        <v>74.3</v>
      </c>
      <c r="F140">
        <v>31.78</v>
      </c>
      <c r="G140">
        <v>69.14</v>
      </c>
      <c r="H140">
        <v>70.14</v>
      </c>
    </row>
    <row r="141" spans="1:8" x14ac:dyDescent="0.3">
      <c r="A141" s="1">
        <v>45529</v>
      </c>
      <c r="B141">
        <v>9.34</v>
      </c>
      <c r="C141">
        <v>277.27999999999997</v>
      </c>
      <c r="D141">
        <v>183.36</v>
      </c>
      <c r="E141">
        <v>73.13</v>
      </c>
      <c r="F141">
        <v>31.48</v>
      </c>
      <c r="G141">
        <v>67.77</v>
      </c>
      <c r="H141">
        <v>69.08</v>
      </c>
    </row>
    <row r="142" spans="1:8" x14ac:dyDescent="0.3">
      <c r="A142" s="1">
        <v>45536</v>
      </c>
      <c r="B142">
        <v>8.6199999999999992</v>
      </c>
      <c r="C142">
        <v>246.39</v>
      </c>
      <c r="D142">
        <v>147.35</v>
      </c>
      <c r="E142">
        <v>69.58</v>
      </c>
      <c r="F142">
        <v>30.33</v>
      </c>
      <c r="G142">
        <v>64.37</v>
      </c>
      <c r="H142">
        <v>67.180000000000007</v>
      </c>
    </row>
    <row r="143" spans="1:8" x14ac:dyDescent="0.3">
      <c r="A143" s="1">
        <v>45543</v>
      </c>
      <c r="B143">
        <v>9.52</v>
      </c>
      <c r="C143">
        <v>259.13</v>
      </c>
      <c r="D143">
        <v>163.05000000000001</v>
      </c>
      <c r="E143">
        <v>72.48</v>
      </c>
      <c r="F143">
        <v>35.590000000000003</v>
      </c>
      <c r="G143">
        <v>74.69</v>
      </c>
      <c r="H143">
        <v>67.59</v>
      </c>
    </row>
    <row r="144" spans="1:8" x14ac:dyDescent="0.3">
      <c r="A144" s="1">
        <v>45550</v>
      </c>
      <c r="B144">
        <v>10.050000000000001</v>
      </c>
      <c r="C144">
        <v>299.85000000000002</v>
      </c>
      <c r="D144">
        <v>170.09</v>
      </c>
      <c r="E144">
        <v>73.94</v>
      </c>
      <c r="F144">
        <v>37.200000000000003</v>
      </c>
      <c r="G144">
        <v>76.02</v>
      </c>
      <c r="H144">
        <v>67.53</v>
      </c>
    </row>
    <row r="145" spans="1:8" x14ac:dyDescent="0.3">
      <c r="A145" s="1">
        <v>45557</v>
      </c>
      <c r="B145">
        <v>10.87</v>
      </c>
      <c r="C145">
        <v>285.86</v>
      </c>
      <c r="D145">
        <v>191.23</v>
      </c>
      <c r="E145">
        <v>75.75</v>
      </c>
      <c r="F145">
        <v>36.840000000000003</v>
      </c>
      <c r="G145">
        <v>74.41</v>
      </c>
      <c r="H145">
        <v>69.55</v>
      </c>
    </row>
    <row r="146" spans="1:8" x14ac:dyDescent="0.3">
      <c r="A146" s="1">
        <v>45564</v>
      </c>
      <c r="B146">
        <v>10.8</v>
      </c>
      <c r="C146">
        <v>292.24</v>
      </c>
      <c r="D146">
        <v>170.91</v>
      </c>
      <c r="E146">
        <v>74.28</v>
      </c>
      <c r="F146">
        <v>40.01</v>
      </c>
      <c r="G146">
        <v>75.89</v>
      </c>
      <c r="H146">
        <v>68.66</v>
      </c>
    </row>
    <row r="147" spans="1:8" x14ac:dyDescent="0.3">
      <c r="A147" s="1">
        <v>45571</v>
      </c>
      <c r="B147">
        <v>11.13</v>
      </c>
      <c r="C147">
        <v>320.20999999999998</v>
      </c>
      <c r="D147">
        <v>176.38</v>
      </c>
      <c r="E147">
        <v>86.34</v>
      </c>
      <c r="F147">
        <v>43.51</v>
      </c>
      <c r="G147">
        <v>78.37</v>
      </c>
      <c r="H147">
        <v>70.680000000000007</v>
      </c>
    </row>
    <row r="148" spans="1:8" x14ac:dyDescent="0.3">
      <c r="A148" s="1">
        <v>45578</v>
      </c>
      <c r="B148">
        <v>10.49</v>
      </c>
      <c r="C148">
        <v>310.14999999999998</v>
      </c>
      <c r="D148">
        <v>220.21</v>
      </c>
      <c r="E148">
        <v>79.16</v>
      </c>
      <c r="F148">
        <v>42.97</v>
      </c>
      <c r="G148">
        <v>80.069999999999993</v>
      </c>
      <c r="H148">
        <v>70.52</v>
      </c>
    </row>
    <row r="149" spans="1:8" x14ac:dyDescent="0.3">
      <c r="A149" s="1">
        <v>45585</v>
      </c>
      <c r="B149">
        <v>10.45</v>
      </c>
      <c r="C149">
        <v>300.62</v>
      </c>
      <c r="D149">
        <v>205.04</v>
      </c>
      <c r="E149">
        <v>77.62</v>
      </c>
      <c r="F149">
        <v>44.86</v>
      </c>
      <c r="G149">
        <v>75.27</v>
      </c>
      <c r="H149">
        <v>72.63</v>
      </c>
    </row>
    <row r="150" spans="1:8" x14ac:dyDescent="0.3">
      <c r="A150" s="1">
        <v>45592</v>
      </c>
      <c r="B150">
        <v>12.53</v>
      </c>
      <c r="C150">
        <v>303.13</v>
      </c>
      <c r="D150">
        <v>182.88</v>
      </c>
      <c r="E150">
        <v>73.25</v>
      </c>
      <c r="F150">
        <v>41.92</v>
      </c>
      <c r="G150">
        <v>65.7</v>
      </c>
      <c r="H150">
        <v>75.599999999999994</v>
      </c>
    </row>
    <row r="151" spans="1:8" x14ac:dyDescent="0.3">
      <c r="A151" s="1">
        <v>45599</v>
      </c>
      <c r="B151">
        <v>12.01</v>
      </c>
      <c r="C151">
        <v>330.03</v>
      </c>
      <c r="D151">
        <v>270.74</v>
      </c>
      <c r="E151">
        <v>72.040000000000006</v>
      </c>
      <c r="F151">
        <v>58.39</v>
      </c>
      <c r="G151">
        <v>73.819999999999993</v>
      </c>
      <c r="H151">
        <v>81.459999999999994</v>
      </c>
    </row>
    <row r="152" spans="1:8" x14ac:dyDescent="0.3">
      <c r="A152" s="1">
        <v>45606</v>
      </c>
      <c r="B152">
        <v>10.6</v>
      </c>
      <c r="C152">
        <v>336.75</v>
      </c>
      <c r="D152">
        <v>305.85000000000002</v>
      </c>
      <c r="E152">
        <v>73.25</v>
      </c>
      <c r="F152">
        <v>65.77</v>
      </c>
      <c r="G152">
        <v>68.87</v>
      </c>
      <c r="H152">
        <v>81.14</v>
      </c>
    </row>
    <row r="153" spans="1:8" x14ac:dyDescent="0.3">
      <c r="A153" s="1">
        <v>45613</v>
      </c>
      <c r="B153">
        <v>11.42</v>
      </c>
      <c r="C153">
        <v>372.26</v>
      </c>
      <c r="D153">
        <v>304.64</v>
      </c>
      <c r="E153">
        <v>71.510000000000005</v>
      </c>
      <c r="F153">
        <v>64.349999999999994</v>
      </c>
      <c r="G153">
        <v>69.2</v>
      </c>
      <c r="H153">
        <v>85.88</v>
      </c>
    </row>
    <row r="154" spans="1:8" x14ac:dyDescent="0.3">
      <c r="A154" s="1">
        <v>45620</v>
      </c>
      <c r="B154">
        <v>11.81</v>
      </c>
      <c r="C154">
        <v>345.97</v>
      </c>
      <c r="D154">
        <v>296.2</v>
      </c>
      <c r="E154">
        <v>71.959999999999994</v>
      </c>
      <c r="F154">
        <v>67.08</v>
      </c>
      <c r="G154">
        <v>69.03</v>
      </c>
      <c r="H154">
        <v>82.69</v>
      </c>
    </row>
    <row r="155" spans="1:8" x14ac:dyDescent="0.3">
      <c r="A155" s="1">
        <v>45627</v>
      </c>
      <c r="B155">
        <v>12.44</v>
      </c>
      <c r="C155">
        <v>365.65</v>
      </c>
      <c r="D155">
        <v>343.62</v>
      </c>
      <c r="E155">
        <v>66.09</v>
      </c>
      <c r="F155">
        <v>76.34</v>
      </c>
      <c r="G155">
        <v>84.12</v>
      </c>
      <c r="H155">
        <v>86.22</v>
      </c>
    </row>
    <row r="156" spans="1:8" x14ac:dyDescent="0.3">
      <c r="A156" s="1">
        <v>45634</v>
      </c>
      <c r="B156">
        <v>11.31</v>
      </c>
      <c r="C156">
        <v>368.02</v>
      </c>
      <c r="D156">
        <v>310.58</v>
      </c>
      <c r="E156">
        <v>59.93</v>
      </c>
      <c r="F156">
        <v>76.069999999999993</v>
      </c>
      <c r="G156">
        <v>82.99</v>
      </c>
      <c r="H156">
        <v>83.79</v>
      </c>
    </row>
    <row r="157" spans="1:8" x14ac:dyDescent="0.3">
      <c r="A157" s="1">
        <v>45641</v>
      </c>
      <c r="B157">
        <v>11.4</v>
      </c>
      <c r="C157">
        <v>362.29</v>
      </c>
      <c r="D157">
        <v>278.70999999999998</v>
      </c>
      <c r="E157">
        <v>60.73</v>
      </c>
      <c r="F157">
        <v>80.55</v>
      </c>
      <c r="G157">
        <v>80.59</v>
      </c>
      <c r="H157">
        <v>85.6</v>
      </c>
    </row>
    <row r="158" spans="1:8" x14ac:dyDescent="0.3">
      <c r="A158" s="1">
        <v>45648</v>
      </c>
      <c r="B158">
        <v>10.99</v>
      </c>
      <c r="C158">
        <v>354.99</v>
      </c>
      <c r="D158">
        <v>265.70999999999998</v>
      </c>
      <c r="E158">
        <v>61.13</v>
      </c>
      <c r="F158">
        <v>79.08</v>
      </c>
      <c r="G158">
        <v>77.03</v>
      </c>
      <c r="H158">
        <v>83.82</v>
      </c>
    </row>
    <row r="159" spans="1:8" x14ac:dyDescent="0.3">
      <c r="A159" s="1">
        <v>45655</v>
      </c>
      <c r="B159">
        <v>11.97</v>
      </c>
      <c r="C159">
        <v>359.02</v>
      </c>
      <c r="D159">
        <v>270.64999999999998</v>
      </c>
      <c r="E159">
        <v>64.59</v>
      </c>
      <c r="F159">
        <v>79.89</v>
      </c>
      <c r="G159">
        <v>77.38</v>
      </c>
      <c r="H159">
        <v>82.7</v>
      </c>
    </row>
    <row r="160" spans="1:8" x14ac:dyDescent="0.3">
      <c r="A160" s="1">
        <v>45662</v>
      </c>
      <c r="B160">
        <v>12.47</v>
      </c>
      <c r="C160">
        <v>348.84</v>
      </c>
      <c r="D160">
        <v>258.77999999999997</v>
      </c>
      <c r="E160">
        <v>65.97</v>
      </c>
      <c r="F160">
        <v>67.260000000000005</v>
      </c>
      <c r="G160">
        <v>79.19</v>
      </c>
      <c r="H160">
        <v>79.459999999999994</v>
      </c>
    </row>
    <row r="161" spans="1:8" x14ac:dyDescent="0.3">
      <c r="A161" s="1">
        <v>45669</v>
      </c>
      <c r="B161">
        <v>10.86</v>
      </c>
      <c r="C161">
        <v>357</v>
      </c>
      <c r="D161">
        <v>295.48</v>
      </c>
      <c r="E161">
        <v>67.34</v>
      </c>
      <c r="F161">
        <v>71.77</v>
      </c>
      <c r="G161">
        <v>75.89</v>
      </c>
      <c r="H161">
        <v>78.069999999999993</v>
      </c>
    </row>
    <row r="162" spans="1:8" x14ac:dyDescent="0.3">
      <c r="A162" s="1">
        <v>45676</v>
      </c>
      <c r="B162">
        <v>10.89</v>
      </c>
      <c r="C162">
        <v>374.92</v>
      </c>
      <c r="D162">
        <v>298</v>
      </c>
      <c r="E162">
        <v>68.56</v>
      </c>
      <c r="F162">
        <v>78.98</v>
      </c>
      <c r="G162">
        <v>81.290000000000006</v>
      </c>
      <c r="H162">
        <v>80.17</v>
      </c>
    </row>
    <row r="163" spans="1:8" x14ac:dyDescent="0.3">
      <c r="A163" s="1">
        <v>45683</v>
      </c>
      <c r="B163">
        <v>11.29</v>
      </c>
      <c r="C163">
        <v>398.07</v>
      </c>
      <c r="D163">
        <v>291.33</v>
      </c>
      <c r="E163">
        <v>66.849999999999994</v>
      </c>
      <c r="F163">
        <v>82.49</v>
      </c>
      <c r="G163">
        <v>82.76</v>
      </c>
      <c r="H163">
        <v>86.94</v>
      </c>
    </row>
    <row r="164" spans="1:8" x14ac:dyDescent="0.3">
      <c r="A164" s="1">
        <v>45690</v>
      </c>
      <c r="B164">
        <v>10.92</v>
      </c>
      <c r="C164">
        <v>421.59</v>
      </c>
      <c r="D164">
        <v>274.49</v>
      </c>
      <c r="E164">
        <v>74.599999999999994</v>
      </c>
      <c r="F164">
        <v>110.85</v>
      </c>
      <c r="G164">
        <v>85</v>
      </c>
      <c r="H164">
        <v>86.12</v>
      </c>
    </row>
    <row r="165" spans="1:8" x14ac:dyDescent="0.3">
      <c r="A165" s="1">
        <v>45697</v>
      </c>
      <c r="B165">
        <v>10.85</v>
      </c>
      <c r="C165">
        <v>451.74</v>
      </c>
      <c r="D165">
        <v>274.31</v>
      </c>
      <c r="E165">
        <v>79.42</v>
      </c>
      <c r="F165">
        <v>119.16</v>
      </c>
      <c r="G165">
        <v>99.07</v>
      </c>
      <c r="H165">
        <v>85.1</v>
      </c>
    </row>
    <row r="166" spans="1:8" x14ac:dyDescent="0.3">
      <c r="A166" s="1">
        <v>45704</v>
      </c>
      <c r="B166">
        <v>10.34</v>
      </c>
      <c r="C166">
        <v>406.68</v>
      </c>
      <c r="D166">
        <v>235.38</v>
      </c>
      <c r="E166">
        <v>78.89</v>
      </c>
      <c r="F166">
        <v>101.35</v>
      </c>
      <c r="G166">
        <v>88.86</v>
      </c>
      <c r="H166">
        <v>82.5</v>
      </c>
    </row>
    <row r="167" spans="1:8" x14ac:dyDescent="0.3">
      <c r="A167" s="1">
        <v>45711</v>
      </c>
      <c r="B167">
        <v>10.25</v>
      </c>
      <c r="C167">
        <v>389.66</v>
      </c>
      <c r="D167">
        <v>215.62</v>
      </c>
      <c r="E167">
        <v>76.010000000000005</v>
      </c>
      <c r="F167">
        <v>84.92</v>
      </c>
      <c r="G167">
        <v>83.51</v>
      </c>
      <c r="H167">
        <v>73.7</v>
      </c>
    </row>
    <row r="168" spans="1:8" x14ac:dyDescent="0.3">
      <c r="A168" s="1">
        <v>45718</v>
      </c>
      <c r="B168">
        <v>9.7200000000000006</v>
      </c>
      <c r="C168">
        <v>333.5</v>
      </c>
      <c r="D168">
        <v>217.45</v>
      </c>
      <c r="E168">
        <v>76.27</v>
      </c>
      <c r="F168">
        <v>84.91</v>
      </c>
      <c r="G168">
        <v>76.67</v>
      </c>
      <c r="H168">
        <v>75.98</v>
      </c>
    </row>
    <row r="169" spans="1:8" x14ac:dyDescent="0.3">
      <c r="A169" s="1">
        <v>45725</v>
      </c>
      <c r="B169">
        <v>8.64</v>
      </c>
      <c r="C169">
        <v>353.73</v>
      </c>
      <c r="D169">
        <v>183.12</v>
      </c>
      <c r="E169">
        <v>71.55</v>
      </c>
      <c r="F169">
        <v>86.24</v>
      </c>
      <c r="G169">
        <v>67.78</v>
      </c>
      <c r="H169">
        <v>74.2</v>
      </c>
    </row>
    <row r="170" spans="1:8" x14ac:dyDescent="0.3">
      <c r="A170" s="1">
        <v>45732</v>
      </c>
      <c r="B170">
        <v>9.33</v>
      </c>
      <c r="C170">
        <v>362.24</v>
      </c>
      <c r="D170">
        <v>189.86</v>
      </c>
      <c r="E170">
        <v>75.84</v>
      </c>
      <c r="F170">
        <v>90.96</v>
      </c>
      <c r="G170">
        <v>78.290000000000006</v>
      </c>
      <c r="H170">
        <v>75.97</v>
      </c>
    </row>
    <row r="171" spans="1:8" x14ac:dyDescent="0.3">
      <c r="A171" s="1">
        <v>45739</v>
      </c>
      <c r="B171">
        <v>8.89</v>
      </c>
      <c r="C171">
        <v>357.11</v>
      </c>
      <c r="D171">
        <v>173.93</v>
      </c>
      <c r="E171">
        <v>72.75</v>
      </c>
      <c r="F171">
        <v>85.85</v>
      </c>
      <c r="G171">
        <v>72.489999999999995</v>
      </c>
      <c r="H171">
        <v>74.84</v>
      </c>
    </row>
    <row r="172" spans="1:8" x14ac:dyDescent="0.3">
      <c r="A172" s="1">
        <v>45746</v>
      </c>
      <c r="B172">
        <v>8.0500000000000007</v>
      </c>
      <c r="C172">
        <v>321.63</v>
      </c>
      <c r="D172">
        <v>160.55000000000001</v>
      </c>
      <c r="E172">
        <v>64.62</v>
      </c>
      <c r="F172">
        <v>74.010000000000005</v>
      </c>
      <c r="G172">
        <v>55.28</v>
      </c>
      <c r="H172">
        <v>67.75</v>
      </c>
    </row>
    <row r="173" spans="1:8" x14ac:dyDescent="0.3">
      <c r="A173" s="1">
        <v>45753</v>
      </c>
      <c r="B173">
        <v>7.96</v>
      </c>
      <c r="C173">
        <v>377.9</v>
      </c>
      <c r="D173">
        <v>175.5</v>
      </c>
      <c r="E173">
        <v>72.28</v>
      </c>
      <c r="F173">
        <v>88.55</v>
      </c>
      <c r="G173">
        <v>60.22</v>
      </c>
      <c r="H173">
        <v>71.34</v>
      </c>
    </row>
    <row r="174" spans="1:8" x14ac:dyDescent="0.3">
      <c r="A174" s="1">
        <v>45760</v>
      </c>
      <c r="B174">
        <v>7.88</v>
      </c>
      <c r="C174">
        <v>375.62</v>
      </c>
      <c r="D174">
        <v>175.03</v>
      </c>
      <c r="E174">
        <v>75.239999999999995</v>
      </c>
      <c r="F174">
        <v>93.78</v>
      </c>
      <c r="G174">
        <v>58.46</v>
      </c>
      <c r="H174">
        <v>71.489999999999995</v>
      </c>
    </row>
    <row r="175" spans="1:8" x14ac:dyDescent="0.3">
      <c r="A175" s="1">
        <v>45767</v>
      </c>
      <c r="B175">
        <v>8.5399999999999991</v>
      </c>
      <c r="C175">
        <v>424.88</v>
      </c>
      <c r="D175">
        <v>209.64</v>
      </c>
      <c r="E175">
        <v>77.75</v>
      </c>
      <c r="F175">
        <v>112.78</v>
      </c>
      <c r="G175">
        <v>65.709999999999994</v>
      </c>
      <c r="H175">
        <v>76.03</v>
      </c>
    </row>
    <row r="176" spans="1:8" x14ac:dyDescent="0.3">
      <c r="A176" s="1">
        <v>45774</v>
      </c>
      <c r="B176">
        <v>8.4499999999999993</v>
      </c>
      <c r="C176">
        <v>440.58</v>
      </c>
      <c r="D176">
        <v>204.93</v>
      </c>
      <c r="E176">
        <v>84.28</v>
      </c>
      <c r="F176">
        <v>124.28</v>
      </c>
      <c r="G176">
        <v>61.55</v>
      </c>
      <c r="H176">
        <v>78.23</v>
      </c>
    </row>
    <row r="177" spans="1:8" x14ac:dyDescent="0.3">
      <c r="A177" s="1">
        <v>45781</v>
      </c>
      <c r="B177">
        <v>8.25</v>
      </c>
      <c r="C177">
        <v>410.57</v>
      </c>
      <c r="D177">
        <v>199.32</v>
      </c>
      <c r="E177">
        <v>82.81</v>
      </c>
      <c r="F177">
        <v>117.3</v>
      </c>
      <c r="G177">
        <v>60.93</v>
      </c>
      <c r="H177">
        <v>81.31</v>
      </c>
    </row>
    <row r="178" spans="1:8" x14ac:dyDescent="0.3">
      <c r="A178" s="1">
        <v>45788</v>
      </c>
      <c r="B178">
        <v>8.75</v>
      </c>
      <c r="C178">
        <v>439.26</v>
      </c>
      <c r="D178">
        <v>266.45999999999998</v>
      </c>
      <c r="E178">
        <v>91.79</v>
      </c>
      <c r="F178">
        <v>129.52000000000001</v>
      </c>
      <c r="G178">
        <v>71.37</v>
      </c>
      <c r="H178">
        <v>84.62</v>
      </c>
    </row>
    <row r="179" spans="1:8" x14ac:dyDescent="0.3">
      <c r="A179" s="1">
        <v>45795</v>
      </c>
      <c r="B179">
        <v>8.23</v>
      </c>
      <c r="C179">
        <v>455.59</v>
      </c>
      <c r="D179">
        <v>263.16000000000003</v>
      </c>
      <c r="E179">
        <v>87.75</v>
      </c>
      <c r="F179">
        <v>123.31</v>
      </c>
      <c r="G179">
        <v>69.010000000000005</v>
      </c>
      <c r="H179">
        <v>79.28</v>
      </c>
    </row>
    <row r="180" spans="1:8" x14ac:dyDescent="0.3">
      <c r="A180" s="1">
        <v>45802</v>
      </c>
      <c r="B180">
        <v>8.25</v>
      </c>
      <c r="C180">
        <v>471.37</v>
      </c>
      <c r="D180">
        <v>246.62</v>
      </c>
      <c r="E180">
        <v>84.16</v>
      </c>
      <c r="F180">
        <v>131.78</v>
      </c>
      <c r="G180">
        <v>72.459999999999994</v>
      </c>
      <c r="H180">
        <v>81.25</v>
      </c>
    </row>
    <row r="181" spans="1:8" x14ac:dyDescent="0.3">
      <c r="A181" s="1">
        <v>45809</v>
      </c>
      <c r="B181">
        <v>8.27</v>
      </c>
      <c r="C181">
        <v>468.41</v>
      </c>
      <c r="D181">
        <v>251.27</v>
      </c>
      <c r="E181">
        <v>85.6</v>
      </c>
      <c r="F181">
        <v>127.72</v>
      </c>
      <c r="G181">
        <v>78.5</v>
      </c>
      <c r="H181">
        <v>80.349999999999994</v>
      </c>
    </row>
    <row r="182" spans="1:8" x14ac:dyDescent="0.3">
      <c r="A182" s="1">
        <v>45816</v>
      </c>
      <c r="B182">
        <v>7.94</v>
      </c>
      <c r="C182">
        <v>480.62</v>
      </c>
      <c r="D182">
        <v>242.71</v>
      </c>
      <c r="E182">
        <v>83.93</v>
      </c>
      <c r="F182">
        <v>137.4</v>
      </c>
      <c r="G182">
        <v>74.41</v>
      </c>
      <c r="H182">
        <v>76.63</v>
      </c>
    </row>
    <row r="183" spans="1:8" x14ac:dyDescent="0.3">
      <c r="A183" s="1">
        <v>45823</v>
      </c>
      <c r="B183">
        <v>8.01</v>
      </c>
      <c r="C183">
        <v>476.3</v>
      </c>
      <c r="D183">
        <v>308.38</v>
      </c>
      <c r="E183">
        <v>83.78</v>
      </c>
      <c r="F183">
        <v>137.30000000000001</v>
      </c>
      <c r="G183">
        <v>80.989999999999995</v>
      </c>
      <c r="H183">
        <v>77.989999999999995</v>
      </c>
    </row>
    <row r="184" spans="1:8" x14ac:dyDescent="0.3">
      <c r="A184" s="1">
        <v>45830</v>
      </c>
      <c r="B184">
        <v>8.7200000000000006</v>
      </c>
      <c r="C184">
        <v>499.33</v>
      </c>
      <c r="D184">
        <v>353.43</v>
      </c>
      <c r="E184">
        <v>91.53</v>
      </c>
      <c r="F184">
        <v>130.74</v>
      </c>
      <c r="G184">
        <v>86.94</v>
      </c>
      <c r="H184">
        <v>78.38</v>
      </c>
    </row>
    <row r="185" spans="1:8" x14ac:dyDescent="0.3">
      <c r="A185" s="1">
        <v>45837</v>
      </c>
      <c r="B185">
        <v>9.27</v>
      </c>
      <c r="C185">
        <v>514.1</v>
      </c>
      <c r="D185">
        <v>355.8</v>
      </c>
      <c r="E185">
        <v>93.63</v>
      </c>
      <c r="F185">
        <v>134.36000000000001</v>
      </c>
      <c r="G185">
        <v>88.27</v>
      </c>
      <c r="H185">
        <v>78.58</v>
      </c>
    </row>
    <row r="186" spans="1:8" x14ac:dyDescent="0.3">
      <c r="A186" s="1">
        <v>45844</v>
      </c>
      <c r="B186">
        <v>9.11</v>
      </c>
      <c r="C186">
        <v>478.45</v>
      </c>
      <c r="D186">
        <v>387.06</v>
      </c>
      <c r="E186">
        <v>95.39</v>
      </c>
      <c r="F186">
        <v>142.1</v>
      </c>
      <c r="G186">
        <v>88.99</v>
      </c>
      <c r="H186">
        <v>73.400000000000006</v>
      </c>
    </row>
    <row r="187" spans="1:8" x14ac:dyDescent="0.3">
      <c r="A187" s="1">
        <v>45851</v>
      </c>
      <c r="B187">
        <v>10.01</v>
      </c>
      <c r="C187">
        <v>475.96</v>
      </c>
      <c r="D187">
        <v>419.78</v>
      </c>
      <c r="E187">
        <v>90.59</v>
      </c>
      <c r="F187">
        <v>153.52000000000001</v>
      </c>
      <c r="G187">
        <v>93.29</v>
      </c>
      <c r="H187">
        <v>74.849999999999994</v>
      </c>
    </row>
    <row r="188" spans="1:8" x14ac:dyDescent="0.3">
      <c r="A188" s="1">
        <v>45858</v>
      </c>
      <c r="B188">
        <v>9.77</v>
      </c>
      <c r="C188">
        <v>467.92</v>
      </c>
      <c r="D188">
        <v>391.66</v>
      </c>
      <c r="E188">
        <v>91.29</v>
      </c>
      <c r="F188">
        <v>158.80000000000001</v>
      </c>
      <c r="G188">
        <v>90.12</v>
      </c>
      <c r="H188">
        <v>74.819999999999993</v>
      </c>
    </row>
    <row r="189" spans="1:8" x14ac:dyDescent="0.3">
      <c r="A189" s="1">
        <v>45865</v>
      </c>
      <c r="B189">
        <v>9.0500000000000007</v>
      </c>
      <c r="C189">
        <v>446.66</v>
      </c>
      <c r="D189">
        <v>314.69</v>
      </c>
      <c r="E189">
        <v>86.91</v>
      </c>
      <c r="F189">
        <v>154.27000000000001</v>
      </c>
      <c r="G189">
        <v>79.98</v>
      </c>
      <c r="H189">
        <v>70.97</v>
      </c>
    </row>
    <row r="190" spans="1:8" x14ac:dyDescent="0.3">
      <c r="A190" s="1">
        <v>45872</v>
      </c>
      <c r="B190">
        <v>7.41</v>
      </c>
      <c r="C190">
        <v>424.49</v>
      </c>
      <c r="D190">
        <v>310.54000000000002</v>
      </c>
      <c r="E190">
        <v>89.56</v>
      </c>
      <c r="F190">
        <v>186.96</v>
      </c>
      <c r="G190">
        <v>83.21</v>
      </c>
      <c r="H190">
        <v>71.569999999999993</v>
      </c>
    </row>
    <row r="191" spans="1:8" x14ac:dyDescent="0.3">
      <c r="A191" s="1">
        <v>45879</v>
      </c>
      <c r="B191">
        <v>7.15</v>
      </c>
      <c r="C191">
        <v>427.9</v>
      </c>
      <c r="D191">
        <v>317.55</v>
      </c>
      <c r="E191">
        <v>92.6</v>
      </c>
      <c r="F191">
        <v>177.17</v>
      </c>
      <c r="G191">
        <v>90.29</v>
      </c>
      <c r="H191">
        <v>73.14</v>
      </c>
    </row>
    <row r="192" spans="1:8" x14ac:dyDescent="0.3">
      <c r="A192" s="1">
        <v>45886</v>
      </c>
      <c r="B192">
        <v>7.2</v>
      </c>
      <c r="C192">
        <v>420.55</v>
      </c>
      <c r="D192">
        <v>319.85000000000002</v>
      </c>
      <c r="E192">
        <v>96.79</v>
      </c>
      <c r="F192">
        <v>158.74</v>
      </c>
      <c r="G192">
        <v>94.22</v>
      </c>
      <c r="H192">
        <v>82.47</v>
      </c>
    </row>
    <row r="193" spans="1:17" x14ac:dyDescent="0.3">
      <c r="A193" s="1">
        <v>45893</v>
      </c>
      <c r="B193">
        <v>7.14</v>
      </c>
      <c r="C193">
        <v>423.7</v>
      </c>
      <c r="D193">
        <v>304.54000000000002</v>
      </c>
      <c r="E193">
        <v>93.75</v>
      </c>
      <c r="F193">
        <v>156.71</v>
      </c>
      <c r="G193">
        <v>96.56</v>
      </c>
      <c r="H193">
        <v>81.42</v>
      </c>
    </row>
    <row r="194" spans="1:17" x14ac:dyDescent="0.3">
      <c r="A194" s="1">
        <v>45900</v>
      </c>
      <c r="B194">
        <v>7.31</v>
      </c>
      <c r="C194">
        <v>417.63</v>
      </c>
      <c r="D194">
        <v>299.07</v>
      </c>
      <c r="E194">
        <v>90.99</v>
      </c>
      <c r="F194">
        <v>153.11000000000001</v>
      </c>
      <c r="G194">
        <v>95.24</v>
      </c>
      <c r="H194">
        <v>83.68</v>
      </c>
    </row>
    <row r="195" spans="1:17" x14ac:dyDescent="0.3">
      <c r="A195" s="1">
        <v>45907</v>
      </c>
      <c r="B195">
        <v>7.34</v>
      </c>
      <c r="C195">
        <v>436.1</v>
      </c>
      <c r="D195">
        <v>323.04000000000002</v>
      </c>
      <c r="E195">
        <v>95.89</v>
      </c>
      <c r="F195">
        <v>171.43</v>
      </c>
      <c r="G195">
        <v>94.52</v>
      </c>
      <c r="H195">
        <v>83.98</v>
      </c>
    </row>
    <row r="196" spans="1:17" x14ac:dyDescent="0.3">
      <c r="A196" s="1">
        <v>45914</v>
      </c>
      <c r="B196">
        <v>8.16</v>
      </c>
      <c r="C196">
        <v>502.55</v>
      </c>
      <c r="D196">
        <v>342.46</v>
      </c>
      <c r="E196">
        <v>98.51</v>
      </c>
      <c r="F196">
        <v>182.39</v>
      </c>
      <c r="G196">
        <v>101.78</v>
      </c>
      <c r="H196">
        <v>84.16</v>
      </c>
    </row>
    <row r="197" spans="1:17" x14ac:dyDescent="0.3">
      <c r="A197" s="1">
        <v>45921</v>
      </c>
      <c r="B197">
        <v>8.27</v>
      </c>
      <c r="C197">
        <v>481.42</v>
      </c>
      <c r="D197">
        <v>312.58999999999997</v>
      </c>
      <c r="E197">
        <v>98.45</v>
      </c>
      <c r="F197">
        <v>177.57</v>
      </c>
      <c r="G197">
        <v>99.6</v>
      </c>
      <c r="H197">
        <v>84.51</v>
      </c>
    </row>
    <row r="198" spans="1:17" x14ac:dyDescent="0.3">
      <c r="A198" s="1">
        <v>45928</v>
      </c>
      <c r="B198">
        <v>8.5399999999999991</v>
      </c>
      <c r="C198">
        <v>489.88</v>
      </c>
      <c r="D198">
        <v>380.02</v>
      </c>
      <c r="E198">
        <v>96.6</v>
      </c>
      <c r="F198">
        <v>173.07</v>
      </c>
      <c r="G198">
        <v>103.85</v>
      </c>
      <c r="H198">
        <v>80.959999999999994</v>
      </c>
    </row>
    <row r="199" spans="1:17" x14ac:dyDescent="0.3">
      <c r="A199" s="1">
        <v>45935</v>
      </c>
      <c r="B199">
        <v>7.78</v>
      </c>
      <c r="C199">
        <v>493.66</v>
      </c>
      <c r="D199">
        <v>357.01</v>
      </c>
      <c r="E199">
        <v>93.4</v>
      </c>
      <c r="F199">
        <v>175.44</v>
      </c>
      <c r="G199">
        <v>92.02</v>
      </c>
      <c r="H199">
        <v>80.28</v>
      </c>
    </row>
    <row r="201" spans="1:17" x14ac:dyDescent="0.3">
      <c r="J201" s="2"/>
    </row>
    <row r="204" spans="1:17" x14ac:dyDescent="0.3">
      <c r="B204" s="2"/>
      <c r="C204" s="2"/>
      <c r="D204" s="2"/>
      <c r="E204" s="2"/>
      <c r="F204" s="2"/>
      <c r="G204" s="2"/>
      <c r="H204" s="2"/>
      <c r="K204" s="2"/>
      <c r="L204" s="2"/>
      <c r="M204" s="2"/>
      <c r="N204" s="2"/>
      <c r="O204" s="2"/>
      <c r="P204" s="2"/>
      <c r="Q204" s="2"/>
    </row>
    <row r="205" spans="1:17" x14ac:dyDescent="0.3">
      <c r="B205" s="2"/>
      <c r="C205" s="2"/>
      <c r="D205" s="2"/>
      <c r="E205" s="2"/>
      <c r="F205" s="2"/>
      <c r="G205" s="2"/>
      <c r="H205" s="2"/>
      <c r="K205" s="2"/>
      <c r="L205" s="2"/>
      <c r="M205" s="2"/>
      <c r="N205" s="2"/>
      <c r="O205" s="2"/>
      <c r="P205" s="2"/>
      <c r="Q205" s="2"/>
    </row>
    <row r="206" spans="1:17" x14ac:dyDescent="0.3">
      <c r="A206" s="2"/>
      <c r="J206" s="2"/>
    </row>
    <row r="207" spans="1:17" x14ac:dyDescent="0.3">
      <c r="A207" s="2"/>
      <c r="J207" s="2"/>
    </row>
    <row r="208" spans="1:17" x14ac:dyDescent="0.3">
      <c r="A208" s="2"/>
      <c r="J208" s="2"/>
    </row>
    <row r="209" spans="1:11" x14ac:dyDescent="0.3">
      <c r="A209" s="2"/>
      <c r="J209" s="2"/>
    </row>
    <row r="210" spans="1:11" x14ac:dyDescent="0.3">
      <c r="A210" s="2"/>
      <c r="J210" s="2"/>
    </row>
    <row r="211" spans="1:11" x14ac:dyDescent="0.3">
      <c r="A211" s="2"/>
      <c r="J211" s="2"/>
    </row>
    <row r="212" spans="1:11" x14ac:dyDescent="0.3">
      <c r="A212" s="2"/>
      <c r="J212" s="2"/>
    </row>
    <row r="214" spans="1:11" x14ac:dyDescent="0.3">
      <c r="J214" s="2"/>
    </row>
    <row r="218" spans="1:11" x14ac:dyDescent="0.3">
      <c r="J218" s="2"/>
    </row>
    <row r="220" spans="1:11" x14ac:dyDescent="0.3">
      <c r="J220" s="2"/>
      <c r="K220" s="4"/>
    </row>
    <row r="221" spans="1:11" x14ac:dyDescent="0.3">
      <c r="J221" s="2"/>
    </row>
    <row r="222" spans="1:11" x14ac:dyDescent="0.3">
      <c r="J222" s="2"/>
      <c r="K222" s="4"/>
    </row>
    <row r="223" spans="1:11" x14ac:dyDescent="0.3">
      <c r="B223" s="2"/>
      <c r="C223" s="2"/>
      <c r="D223" s="2"/>
      <c r="E223" s="2"/>
      <c r="F223" s="2"/>
    </row>
    <row r="225" spans="2:13" x14ac:dyDescent="0.3">
      <c r="B225" s="2"/>
      <c r="D225" s="2"/>
      <c r="F225" s="2"/>
    </row>
    <row r="226" spans="2:13" x14ac:dyDescent="0.3">
      <c r="I226" s="2"/>
      <c r="J226" s="2"/>
      <c r="K226" s="2"/>
      <c r="L226" s="2"/>
      <c r="M226" s="2"/>
    </row>
    <row r="227" spans="2:13" x14ac:dyDescent="0.3">
      <c r="B227" s="4"/>
    </row>
    <row r="228" spans="2:13" x14ac:dyDescent="0.3">
      <c r="B228" s="4"/>
    </row>
    <row r="229" spans="2:13" x14ac:dyDescent="0.3">
      <c r="B229" s="4"/>
    </row>
    <row r="230" spans="2:13" x14ac:dyDescent="0.3">
      <c r="B230" s="4"/>
    </row>
    <row r="231" spans="2:13" x14ac:dyDescent="0.3">
      <c r="B231" s="4"/>
    </row>
    <row r="232" spans="2:13" x14ac:dyDescent="0.3">
      <c r="B232" s="4"/>
    </row>
    <row r="233" spans="2:13" x14ac:dyDescent="0.3">
      <c r="B233" s="4"/>
    </row>
    <row r="235" spans="2:13" x14ac:dyDescent="0.3">
      <c r="E235" s="2"/>
    </row>
    <row r="239" spans="2:13" x14ac:dyDescent="0.3">
      <c r="B239" s="2"/>
      <c r="C239" s="4"/>
    </row>
    <row r="240" spans="2:13" x14ac:dyDescent="0.3">
      <c r="B240" s="2"/>
    </row>
    <row r="241" spans="1:32" x14ac:dyDescent="0.3">
      <c r="B241" s="2"/>
      <c r="C241" s="4"/>
    </row>
    <row r="242" spans="1:32" x14ac:dyDescent="0.3">
      <c r="B242" s="2"/>
    </row>
    <row r="243" spans="1:32" x14ac:dyDescent="0.3">
      <c r="B243" s="2"/>
      <c r="C243" s="2"/>
    </row>
    <row r="244" spans="1:32" ht="15" thickBot="1" x14ac:dyDescent="0.35"/>
    <row r="245" spans="1:32" s="8" customFormat="1" ht="15" thickTop="1" x14ac:dyDescent="0.3">
      <c r="A245" s="31" t="s">
        <v>39</v>
      </c>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7" spans="1:32" x14ac:dyDescent="0.3">
      <c r="E247" s="2"/>
      <c r="F247" s="2"/>
      <c r="G247" s="2"/>
      <c r="H247" s="2"/>
      <c r="I247" s="2"/>
      <c r="J247" s="2"/>
      <c r="K247" s="2"/>
      <c r="L247" s="2"/>
      <c r="M247" s="2"/>
      <c r="N247" s="2"/>
    </row>
    <row r="248" spans="1:32" x14ac:dyDescent="0.3">
      <c r="D248" s="30" t="s">
        <v>31</v>
      </c>
      <c r="E248" s="30"/>
      <c r="F248" s="30"/>
      <c r="G248" s="30"/>
      <c r="H248" s="30"/>
      <c r="I248" s="30"/>
      <c r="J248" s="30"/>
      <c r="K248" s="30"/>
      <c r="L248" s="30"/>
      <c r="M248" s="30"/>
      <c r="N248" s="30"/>
      <c r="O248" s="30"/>
      <c r="P248" s="30"/>
      <c r="Q248" s="30"/>
      <c r="S248" s="30" t="s">
        <v>40</v>
      </c>
      <c r="T248" s="30"/>
      <c r="U248" s="30"/>
      <c r="V248" s="30"/>
      <c r="W248" s="30"/>
      <c r="X248" s="30"/>
      <c r="Y248" s="30"/>
      <c r="Z248" s="30"/>
      <c r="AA248" s="30"/>
      <c r="AB248" s="30"/>
      <c r="AC248" s="30"/>
      <c r="AD248" s="30"/>
      <c r="AE248" s="30"/>
      <c r="AF248" s="30"/>
    </row>
    <row r="249" spans="1:32" x14ac:dyDescent="0.3">
      <c r="D249" s="7" t="s">
        <v>3</v>
      </c>
      <c r="E249" s="5" t="s">
        <v>4</v>
      </c>
      <c r="F249" s="5" t="s">
        <v>5</v>
      </c>
      <c r="G249" s="5" t="s">
        <v>6</v>
      </c>
      <c r="H249" s="7" t="s">
        <v>7</v>
      </c>
      <c r="I249" s="5" t="s">
        <v>8</v>
      </c>
      <c r="J249" s="5" t="s">
        <v>9</v>
      </c>
      <c r="K249" s="5" t="s">
        <v>24</v>
      </c>
      <c r="L249" s="5" t="s">
        <v>25</v>
      </c>
      <c r="M249" s="5" t="s">
        <v>26</v>
      </c>
      <c r="N249" s="5" t="s">
        <v>27</v>
      </c>
      <c r="O249" s="5" t="s">
        <v>28</v>
      </c>
      <c r="P249" s="5" t="s">
        <v>29</v>
      </c>
      <c r="Q249" s="5" t="s">
        <v>30</v>
      </c>
      <c r="S249" s="7" t="s">
        <v>3</v>
      </c>
      <c r="T249" s="5" t="s">
        <v>4</v>
      </c>
      <c r="U249" s="5" t="s">
        <v>5</v>
      </c>
      <c r="V249" s="5" t="s">
        <v>6</v>
      </c>
      <c r="W249" s="7" t="s">
        <v>7</v>
      </c>
      <c r="X249" s="5" t="s">
        <v>8</v>
      </c>
      <c r="Y249" s="5" t="s">
        <v>9</v>
      </c>
      <c r="Z249" s="5" t="s">
        <v>24</v>
      </c>
      <c r="AA249" s="5" t="s">
        <v>25</v>
      </c>
      <c r="AB249" s="5" t="s">
        <v>26</v>
      </c>
      <c r="AC249" s="5" t="s">
        <v>27</v>
      </c>
      <c r="AD249" s="5" t="s">
        <v>28</v>
      </c>
      <c r="AE249" s="5" t="s">
        <v>29</v>
      </c>
      <c r="AF249" s="5" t="s">
        <v>30</v>
      </c>
    </row>
    <row r="250" spans="1:32" x14ac:dyDescent="0.3">
      <c r="A250" s="12"/>
      <c r="C250" s="3"/>
      <c r="D250" s="6" t="s">
        <v>10</v>
      </c>
      <c r="E250" s="6" t="s">
        <v>10</v>
      </c>
      <c r="F250" s="6" t="s">
        <v>10</v>
      </c>
      <c r="G250" s="6" t="s">
        <v>10</v>
      </c>
      <c r="H250" s="6" t="s">
        <v>10</v>
      </c>
      <c r="I250" s="6" t="s">
        <v>10</v>
      </c>
      <c r="J250" s="6" t="s">
        <v>10</v>
      </c>
      <c r="K250" s="6" t="s">
        <v>10</v>
      </c>
      <c r="L250" s="6" t="s">
        <v>10</v>
      </c>
      <c r="M250" s="6" t="s">
        <v>10</v>
      </c>
      <c r="N250" s="6" t="s">
        <v>10</v>
      </c>
      <c r="O250" s="6" t="s">
        <v>10</v>
      </c>
      <c r="P250" s="6" t="s">
        <v>10</v>
      </c>
      <c r="Q250" s="6" t="s">
        <v>10</v>
      </c>
      <c r="S250" s="6"/>
      <c r="T250" s="6"/>
      <c r="U250" s="6"/>
      <c r="V250" s="6"/>
      <c r="W250" s="6"/>
      <c r="X250" s="6"/>
      <c r="Y250" s="6"/>
      <c r="Z250" s="6"/>
      <c r="AA250" s="6"/>
      <c r="AB250" s="6"/>
      <c r="AC250" s="6"/>
      <c r="AD250" s="6"/>
      <c r="AE250" s="6"/>
      <c r="AF250" s="6"/>
    </row>
    <row r="251" spans="1:32" x14ac:dyDescent="0.3">
      <c r="C251" s="2"/>
      <c r="D251" s="6">
        <v>-6.3572134750396206E-2</v>
      </c>
      <c r="E251" s="6">
        <v>-0.14215902243145132</v>
      </c>
      <c r="F251" s="6">
        <v>-4.6756450202727964E-2</v>
      </c>
      <c r="G251" s="6">
        <v>-6.7698081427939594E-2</v>
      </c>
      <c r="H251" s="6">
        <v>-0.10616431165130602</v>
      </c>
      <c r="I251" s="6">
        <v>-0.12813618600467608</v>
      </c>
      <c r="J251" s="6">
        <v>-9.0540014444080247E-2</v>
      </c>
      <c r="K251" s="6">
        <v>-0.16915934859862866</v>
      </c>
      <c r="L251" s="6">
        <v>-7.0145609366759773E-2</v>
      </c>
      <c r="M251" s="6">
        <v>-0.18087062538044882</v>
      </c>
      <c r="N251" s="6">
        <v>-0.14408348070953439</v>
      </c>
      <c r="O251" s="6">
        <v>-0.16830408482592674</v>
      </c>
      <c r="P251" s="6">
        <v>-9.6128522675905131E-2</v>
      </c>
      <c r="Q251" s="6">
        <v>-7.8509948564001064E-2</v>
      </c>
      <c r="S251" s="6">
        <f t="shared" ref="S251:S314" si="0">IFERROR(D251-D$448,"NA")</f>
        <v>-6.536015273820614E-2</v>
      </c>
      <c r="T251" s="6">
        <f t="shared" ref="T251:T314" si="1">IFERROR(E251-E$448,"NA")</f>
        <v>-0.15198849892789582</v>
      </c>
      <c r="U251" s="6">
        <f t="shared" ref="U251:U314" si="2">IFERROR(F251-F$448,"NA")</f>
        <v>-4.9315804348937689E-2</v>
      </c>
      <c r="V251" s="6">
        <f t="shared" ref="V251:V314" si="3">IFERROR(G251-G$448,"NA")</f>
        <v>-7.0407429763410703E-2</v>
      </c>
      <c r="W251" s="6">
        <f t="shared" ref="W251:W314" si="4">IFERROR(H251-H$448,"NA")</f>
        <v>-0.10702108946391681</v>
      </c>
      <c r="X251" s="6">
        <f t="shared" ref="X251:X314" si="5">IFERROR(I251-I$448,"NA")</f>
        <v>-0.12961582572590571</v>
      </c>
      <c r="Y251" s="6">
        <f t="shared" ref="Y251:Y314" si="6">IFERROR(J251-J$448,"NA")</f>
        <v>-9.4405601754276175E-2</v>
      </c>
      <c r="Z251" s="6">
        <f t="shared" ref="Z251:Z314" si="7">IFERROR(K251-K$448,"NA")</f>
        <v>-0.16102046706279846</v>
      </c>
      <c r="AA251" s="6">
        <f t="shared" ref="AA251:AA314" si="8">IFERROR(L251-L$448,"NA")</f>
        <v>-7.5414294709292728E-2</v>
      </c>
      <c r="AB251" s="6">
        <f t="shared" ref="AB251:AB314" si="9">IFERROR(M251-M$448,"NA")</f>
        <v>-0.18312474875168927</v>
      </c>
      <c r="AC251" s="6">
        <f t="shared" ref="AC251:AC314" si="10">IFERROR(N251-N$448,"NA")</f>
        <v>-0.14824223446937979</v>
      </c>
      <c r="AD251" s="6">
        <f t="shared" ref="AD251:AD314" si="11">IFERROR(O251-O$448,"NA")</f>
        <v>-0.1805814365033678</v>
      </c>
      <c r="AE251" s="6">
        <f t="shared" ref="AE251:AE314" si="12">IFERROR(P251-P$448,"NA")</f>
        <v>-9.305745602757888E-2</v>
      </c>
      <c r="AF251" s="6">
        <f t="shared" ref="AF251:AF314" si="13">IFERROR(Q251-Q$448,"NA")</f>
        <v>-7.4982247239555516E-2</v>
      </c>
    </row>
    <row r="252" spans="1:32" x14ac:dyDescent="0.3">
      <c r="C252" s="2"/>
      <c r="D252" s="6">
        <v>4.761372968597441E-2</v>
      </c>
      <c r="E252" s="6">
        <v>-2.2939763762957151E-2</v>
      </c>
      <c r="F252" s="6">
        <v>4.0482782178863287E-2</v>
      </c>
      <c r="G252" s="6">
        <v>2.2754110248512562E-2</v>
      </c>
      <c r="H252" s="6">
        <v>-0.10906483292406909</v>
      </c>
      <c r="I252" s="6">
        <v>9.3504274862719269E-3</v>
      </c>
      <c r="J252" s="6">
        <v>-4.8274131573499673E-3</v>
      </c>
      <c r="K252" s="6">
        <v>-5.4378602247413997E-2</v>
      </c>
      <c r="L252" s="6">
        <v>2.4999053854863642E-2</v>
      </c>
      <c r="M252" s="6">
        <v>-7.7917898215297723E-2</v>
      </c>
      <c r="N252" s="6">
        <v>-2.0520748188451794E-2</v>
      </c>
      <c r="O252" s="6">
        <v>-6.252035698133393E-2</v>
      </c>
      <c r="P252" s="6">
        <v>-5.9335617123882764E-3</v>
      </c>
      <c r="Q252" s="6">
        <v>-2.6419349732731186E-2</v>
      </c>
      <c r="S252" s="6">
        <f t="shared" si="0"/>
        <v>4.5825711698164476E-2</v>
      </c>
      <c r="T252" s="6">
        <f t="shared" si="1"/>
        <v>-3.2769240259401644E-2</v>
      </c>
      <c r="U252" s="6">
        <f t="shared" si="2"/>
        <v>3.7923428032653562E-2</v>
      </c>
      <c r="V252" s="6">
        <f t="shared" si="3"/>
        <v>2.0044761913041456E-2</v>
      </c>
      <c r="W252" s="6">
        <f t="shared" si="4"/>
        <v>-0.10992161073667987</v>
      </c>
      <c r="X252" s="6">
        <f t="shared" si="5"/>
        <v>7.870787765042294E-3</v>
      </c>
      <c r="Y252" s="6">
        <f t="shared" si="6"/>
        <v>-8.6930004675458972E-3</v>
      </c>
      <c r="Z252" s="6">
        <f t="shared" si="7"/>
        <v>-4.6239720711583804E-2</v>
      </c>
      <c r="AA252" s="6">
        <f t="shared" si="8"/>
        <v>1.973036851233069E-2</v>
      </c>
      <c r="AB252" s="6">
        <f t="shared" si="9"/>
        <v>-8.0172021586538175E-2</v>
      </c>
      <c r="AC252" s="6">
        <f t="shared" si="10"/>
        <v>-2.4679501948297187E-2</v>
      </c>
      <c r="AD252" s="6">
        <f t="shared" si="11"/>
        <v>-7.4797708658775011E-2</v>
      </c>
      <c r="AE252" s="6">
        <f t="shared" si="12"/>
        <v>-2.8624950640620188E-3</v>
      </c>
      <c r="AF252" s="6">
        <f t="shared" si="13"/>
        <v>-2.2891648408285635E-2</v>
      </c>
    </row>
    <row r="253" spans="1:32" x14ac:dyDescent="0.3">
      <c r="C253" s="2"/>
      <c r="D253" s="6">
        <v>1.2021620034401223E-2</v>
      </c>
      <c r="E253" s="6">
        <v>6.2785672310156804E-2</v>
      </c>
      <c r="F253" s="6">
        <v>-7.5545784234543013E-3</v>
      </c>
      <c r="G253" s="6">
        <v>7.1893298100488168E-2</v>
      </c>
      <c r="H253" s="6">
        <v>8.7020238427752639E-2</v>
      </c>
      <c r="I253" s="6">
        <v>9.0639551285646117E-2</v>
      </c>
      <c r="J253" s="6">
        <v>-0.24102647523950496</v>
      </c>
      <c r="K253" s="6">
        <v>0.24615100016531521</v>
      </c>
      <c r="L253" s="6">
        <v>4.8028646173499202E-2</v>
      </c>
      <c r="M253" s="6">
        <v>9.0702420573073969E-2</v>
      </c>
      <c r="N253" s="6">
        <v>5.0938218575134753E-2</v>
      </c>
      <c r="O253" s="6">
        <v>1.7934203871391798E-2</v>
      </c>
      <c r="P253" s="6">
        <v>4.8402788821500793E-2</v>
      </c>
      <c r="Q253" s="6">
        <v>2.014519107188059E-3</v>
      </c>
      <c r="S253" s="6">
        <f t="shared" si="0"/>
        <v>1.0233602046591289E-2</v>
      </c>
      <c r="T253" s="6">
        <f t="shared" si="1"/>
        <v>5.2956195813712303E-2</v>
      </c>
      <c r="U253" s="6">
        <f t="shared" si="2"/>
        <v>-1.0113932569664029E-2</v>
      </c>
      <c r="V253" s="6">
        <f t="shared" si="3"/>
        <v>6.9183949765017058E-2</v>
      </c>
      <c r="W253" s="6">
        <f t="shared" si="4"/>
        <v>8.6163460615141851E-2</v>
      </c>
      <c r="X253" s="6">
        <f t="shared" si="5"/>
        <v>8.915991156441648E-2</v>
      </c>
      <c r="Y253" s="6">
        <f t="shared" si="6"/>
        <v>-0.24489206254970089</v>
      </c>
      <c r="Z253" s="6">
        <f t="shared" si="7"/>
        <v>0.25428988170114541</v>
      </c>
      <c r="AA253" s="6">
        <f t="shared" si="8"/>
        <v>4.2759960830966247E-2</v>
      </c>
      <c r="AB253" s="6">
        <f t="shared" si="9"/>
        <v>8.8448297201833517E-2</v>
      </c>
      <c r="AC253" s="6">
        <f t="shared" si="10"/>
        <v>4.6779464815289357E-2</v>
      </c>
      <c r="AD253" s="6">
        <f t="shared" si="11"/>
        <v>5.6568521939507205E-3</v>
      </c>
      <c r="AE253" s="6">
        <f t="shared" si="12"/>
        <v>5.1473855469827051E-2</v>
      </c>
      <c r="AF253" s="6">
        <f t="shared" si="13"/>
        <v>5.5422204316336113E-3</v>
      </c>
    </row>
    <row r="254" spans="1:32" x14ac:dyDescent="0.3">
      <c r="C254" s="3"/>
      <c r="D254" s="6">
        <v>-2.1993086553889825E-2</v>
      </c>
      <c r="E254" s="6">
        <v>-1.5330733241042005E-2</v>
      </c>
      <c r="F254" s="6">
        <v>-3.6278063926890335E-2</v>
      </c>
      <c r="G254" s="6">
        <v>-6.4943376616677179E-2</v>
      </c>
      <c r="H254" s="6">
        <v>-7.1021022348914054E-2</v>
      </c>
      <c r="I254" s="6">
        <v>-2.7982400148786848E-2</v>
      </c>
      <c r="J254" s="6">
        <v>-7.685981887726713E-2</v>
      </c>
      <c r="K254" s="6">
        <v>1.4796188302095968E-2</v>
      </c>
      <c r="L254" s="6">
        <v>2.5901690310513169E-2</v>
      </c>
      <c r="M254" s="6">
        <v>4.6276063247088268E-4</v>
      </c>
      <c r="N254" s="6">
        <v>-4.8668714054917156E-2</v>
      </c>
      <c r="O254" s="6">
        <v>1.4576399241950389E-2</v>
      </c>
      <c r="P254" s="6">
        <v>3.2295861640734502E-2</v>
      </c>
      <c r="Q254" s="6">
        <v>-2.0046931945290641E-2</v>
      </c>
      <c r="S254" s="6">
        <f t="shared" si="0"/>
        <v>-2.3781104541699759E-2</v>
      </c>
      <c r="T254" s="6">
        <f t="shared" si="1"/>
        <v>-2.5160209737486502E-2</v>
      </c>
      <c r="U254" s="6">
        <f t="shared" si="2"/>
        <v>-3.8837418073100059E-2</v>
      </c>
      <c r="V254" s="6">
        <f t="shared" si="3"/>
        <v>-6.7652724952148288E-2</v>
      </c>
      <c r="W254" s="6">
        <f t="shared" si="4"/>
        <v>-7.1877800161524841E-2</v>
      </c>
      <c r="X254" s="6">
        <f t="shared" si="5"/>
        <v>-2.9462039870016481E-2</v>
      </c>
      <c r="Y254" s="6">
        <f t="shared" si="6"/>
        <v>-8.0725406187463059E-2</v>
      </c>
      <c r="Z254" s="6">
        <f t="shared" si="7"/>
        <v>2.2935069837926165E-2</v>
      </c>
      <c r="AA254" s="6">
        <f t="shared" si="8"/>
        <v>2.0633004967980213E-2</v>
      </c>
      <c r="AB254" s="6">
        <f t="shared" si="9"/>
        <v>-1.7913627387695639E-3</v>
      </c>
      <c r="AC254" s="6">
        <f t="shared" si="10"/>
        <v>-5.2827467814762552E-2</v>
      </c>
      <c r="AD254" s="6">
        <f t="shared" si="11"/>
        <v>2.2990475645093111E-3</v>
      </c>
      <c r="AE254" s="6">
        <f t="shared" si="12"/>
        <v>3.536692828906076E-2</v>
      </c>
      <c r="AF254" s="6">
        <f t="shared" si="13"/>
        <v>-1.651923062084509E-2</v>
      </c>
    </row>
    <row r="255" spans="1:32" x14ac:dyDescent="0.3">
      <c r="C255" s="2"/>
      <c r="D255" s="6">
        <v>-7.977657360219095E-3</v>
      </c>
      <c r="E255" s="6">
        <v>-1.3028131319026687E-2</v>
      </c>
      <c r="F255" s="6">
        <v>-2.4393545330627372E-2</v>
      </c>
      <c r="G255" s="6">
        <v>-2.9320522619281513E-2</v>
      </c>
      <c r="H255" s="6">
        <v>-3.5294359843344859E-3</v>
      </c>
      <c r="I255" s="6">
        <v>-4.5114333276594261E-3</v>
      </c>
      <c r="J255" s="6">
        <v>-6.292743066361689E-2</v>
      </c>
      <c r="K255" s="6">
        <v>-3.8198192297400832E-2</v>
      </c>
      <c r="L255" s="6">
        <v>-9.7716018837705962E-2</v>
      </c>
      <c r="M255" s="6">
        <v>-2.7993175034050601E-2</v>
      </c>
      <c r="N255" s="6">
        <v>-1.7436485774837533E-2</v>
      </c>
      <c r="O255" s="6">
        <v>-0.17518788458993645</v>
      </c>
      <c r="P255" s="6">
        <v>-0.37690290436082902</v>
      </c>
      <c r="Q255" s="6">
        <v>-0.10658849484203209</v>
      </c>
      <c r="S255" s="6">
        <f t="shared" si="0"/>
        <v>-9.7656753480290289E-3</v>
      </c>
      <c r="T255" s="6">
        <f t="shared" si="1"/>
        <v>-2.2857607815471186E-2</v>
      </c>
      <c r="U255" s="6">
        <f t="shared" si="2"/>
        <v>-2.69528994768371E-2</v>
      </c>
      <c r="V255" s="6">
        <f t="shared" si="3"/>
        <v>-3.2029870954752619E-2</v>
      </c>
      <c r="W255" s="6">
        <f t="shared" si="4"/>
        <v>-4.3862137969452753E-3</v>
      </c>
      <c r="X255" s="6">
        <f t="shared" si="5"/>
        <v>-5.9910730488890581E-3</v>
      </c>
      <c r="Y255" s="6">
        <f t="shared" si="6"/>
        <v>-6.6793017973812818E-2</v>
      </c>
      <c r="Z255" s="6">
        <f t="shared" si="7"/>
        <v>-3.0059310761570635E-2</v>
      </c>
      <c r="AA255" s="6">
        <f t="shared" si="8"/>
        <v>-0.10298470418023892</v>
      </c>
      <c r="AB255" s="6">
        <f t="shared" si="9"/>
        <v>-3.024729840529105E-2</v>
      </c>
      <c r="AC255" s="6">
        <f t="shared" si="10"/>
        <v>-2.1595239534682925E-2</v>
      </c>
      <c r="AD255" s="6">
        <f t="shared" si="11"/>
        <v>-0.18746523626737752</v>
      </c>
      <c r="AE255" s="6">
        <f t="shared" si="12"/>
        <v>-0.37383183771250278</v>
      </c>
      <c r="AF255" s="6">
        <f t="shared" si="13"/>
        <v>-0.10306079351758654</v>
      </c>
    </row>
    <row r="256" spans="1:32" x14ac:dyDescent="0.3">
      <c r="C256" s="2"/>
      <c r="D256" s="6">
        <v>-1.4752638475038295E-2</v>
      </c>
      <c r="E256" s="6">
        <v>2.1758180528716777E-2</v>
      </c>
      <c r="F256" s="6">
        <v>3.2057970458624678E-2</v>
      </c>
      <c r="G256" s="6">
        <v>3.0660107548338148E-2</v>
      </c>
      <c r="H256" s="6">
        <v>-5.6528492559276861E-2</v>
      </c>
      <c r="I256" s="6">
        <v>7.7679166014755011E-3</v>
      </c>
      <c r="J256" s="6">
        <v>2.0738070387927736E-2</v>
      </c>
      <c r="K256" s="6">
        <v>2.9551139435654749E-2</v>
      </c>
      <c r="L256" s="6">
        <v>9.7110974953567741E-2</v>
      </c>
      <c r="M256" s="6">
        <v>-6.7404398708788962E-2</v>
      </c>
      <c r="N256" s="6">
        <v>8.6133176781149293E-3</v>
      </c>
      <c r="O256" s="6">
        <v>4.0023127416511046E-2</v>
      </c>
      <c r="P256" s="6">
        <v>0.216255218136501</v>
      </c>
      <c r="Q256" s="6">
        <v>-1.3001610134162626E-2</v>
      </c>
      <c r="S256" s="6">
        <f t="shared" si="0"/>
        <v>-1.6540656462848229E-2</v>
      </c>
      <c r="T256" s="6">
        <f t="shared" si="1"/>
        <v>1.192870403227228E-2</v>
      </c>
      <c r="U256" s="6">
        <f t="shared" si="2"/>
        <v>2.949861631241495E-2</v>
      </c>
      <c r="V256" s="6">
        <f t="shared" si="3"/>
        <v>2.7950759212867042E-2</v>
      </c>
      <c r="W256" s="6">
        <f t="shared" si="4"/>
        <v>-5.7385270371887648E-2</v>
      </c>
      <c r="X256" s="6">
        <f t="shared" si="5"/>
        <v>6.288276880245869E-3</v>
      </c>
      <c r="Y256" s="6">
        <f t="shared" si="6"/>
        <v>1.6872483077731808E-2</v>
      </c>
      <c r="Z256" s="6">
        <f t="shared" si="7"/>
        <v>3.7690020971484946E-2</v>
      </c>
      <c r="AA256" s="6">
        <f t="shared" si="8"/>
        <v>9.1842289611034786E-2</v>
      </c>
      <c r="AB256" s="6">
        <f t="shared" si="9"/>
        <v>-6.9658522080029414E-2</v>
      </c>
      <c r="AC256" s="6">
        <f t="shared" si="10"/>
        <v>4.4545639182695359E-3</v>
      </c>
      <c r="AD256" s="6">
        <f t="shared" si="11"/>
        <v>2.7745775739069969E-2</v>
      </c>
      <c r="AE256" s="6">
        <f t="shared" si="12"/>
        <v>0.21932628478482727</v>
      </c>
      <c r="AF256" s="6">
        <f t="shared" si="13"/>
        <v>-9.4739088097170743E-3</v>
      </c>
    </row>
    <row r="257" spans="3:32" x14ac:dyDescent="0.3">
      <c r="C257" s="2"/>
      <c r="D257" s="6">
        <v>-1.0243367414760989E-2</v>
      </c>
      <c r="E257" s="6">
        <v>-5.1816261365389575E-2</v>
      </c>
      <c r="F257" s="6">
        <v>-2.5377317701856122E-2</v>
      </c>
      <c r="G257" s="6">
        <v>-1.9146885180062238E-2</v>
      </c>
      <c r="H257" s="6">
        <v>3.4478014125612584E-2</v>
      </c>
      <c r="I257" s="6">
        <v>-5.4450212144599469E-2</v>
      </c>
      <c r="J257" s="6">
        <v>-5.0773315175002567E-2</v>
      </c>
      <c r="K257" s="6">
        <v>-0.16816930050329112</v>
      </c>
      <c r="L257" s="6">
        <v>-1.5078726850447048E-2</v>
      </c>
      <c r="M257" s="6">
        <v>-6.4708190000914129E-2</v>
      </c>
      <c r="N257" s="6">
        <v>-0.1592618710637988</v>
      </c>
      <c r="O257" s="6">
        <v>-4.548264962140984E-2</v>
      </c>
      <c r="P257" s="6">
        <v>-0.13893855821995357</v>
      </c>
      <c r="Q257" s="6">
        <v>-0.14007319412846256</v>
      </c>
      <c r="S257" s="6">
        <f t="shared" si="0"/>
        <v>-1.2031385402570923E-2</v>
      </c>
      <c r="T257" s="6">
        <f t="shared" si="1"/>
        <v>-6.1645737861834068E-2</v>
      </c>
      <c r="U257" s="6">
        <f t="shared" si="2"/>
        <v>-2.793667184806585E-2</v>
      </c>
      <c r="V257" s="6">
        <f t="shared" si="3"/>
        <v>-2.1856233515533344E-2</v>
      </c>
      <c r="W257" s="6">
        <f t="shared" si="4"/>
        <v>3.3621236313001797E-2</v>
      </c>
      <c r="X257" s="6">
        <f t="shared" si="5"/>
        <v>-5.5929851865829099E-2</v>
      </c>
      <c r="Y257" s="6">
        <f t="shared" si="6"/>
        <v>-5.4638902485198496E-2</v>
      </c>
      <c r="Z257" s="6">
        <f t="shared" si="7"/>
        <v>-0.16003041896746092</v>
      </c>
      <c r="AA257" s="6">
        <f t="shared" si="8"/>
        <v>-2.0347412192980002E-2</v>
      </c>
      <c r="AB257" s="6">
        <f t="shared" si="9"/>
        <v>-6.696231337215458E-2</v>
      </c>
      <c r="AC257" s="6">
        <f t="shared" si="10"/>
        <v>-0.16342062482364419</v>
      </c>
      <c r="AD257" s="6">
        <f t="shared" si="11"/>
        <v>-5.7760001298850921E-2</v>
      </c>
      <c r="AE257" s="6">
        <f t="shared" si="12"/>
        <v>-0.13586749157162731</v>
      </c>
      <c r="AF257" s="6">
        <f t="shared" si="13"/>
        <v>-0.13654549280401701</v>
      </c>
    </row>
    <row r="258" spans="3:32" x14ac:dyDescent="0.3">
      <c r="C258" s="2"/>
      <c r="D258" s="6">
        <v>-5.311093960139774E-2</v>
      </c>
      <c r="E258" s="6">
        <v>-3.7304503177517455E-2</v>
      </c>
      <c r="F258" s="6">
        <v>-3.435847586991346E-2</v>
      </c>
      <c r="G258" s="6">
        <v>-1.5585921738829495E-2</v>
      </c>
      <c r="H258" s="6">
        <v>-5.2569260322565543E-2</v>
      </c>
      <c r="I258" s="6">
        <v>-8.2428909736568308E-4</v>
      </c>
      <c r="J258" s="6">
        <v>-6.4251981501514982E-2</v>
      </c>
      <c r="K258" s="6">
        <v>-9.6368460952304266E-2</v>
      </c>
      <c r="L258" s="6">
        <v>6.2308756715451559E-2</v>
      </c>
      <c r="M258" s="6">
        <v>-3.4869409507365771E-2</v>
      </c>
      <c r="N258" s="6">
        <v>3.0700546110786216E-2</v>
      </c>
      <c r="O258" s="6">
        <v>3.8483495939221263E-2</v>
      </c>
      <c r="P258" s="6">
        <v>-0.15696671245848182</v>
      </c>
      <c r="Q258" s="6">
        <v>-0.10460605256523982</v>
      </c>
      <c r="S258" s="6">
        <f t="shared" si="0"/>
        <v>-5.4898957589207674E-2</v>
      </c>
      <c r="T258" s="6">
        <f t="shared" si="1"/>
        <v>-4.7133979673961948E-2</v>
      </c>
      <c r="U258" s="6">
        <f t="shared" si="2"/>
        <v>-3.6917830016123185E-2</v>
      </c>
      <c r="V258" s="6">
        <f t="shared" si="3"/>
        <v>-1.8295270074300603E-2</v>
      </c>
      <c r="W258" s="6">
        <f t="shared" si="4"/>
        <v>-5.3426038135176331E-2</v>
      </c>
      <c r="X258" s="6">
        <f t="shared" si="5"/>
        <v>-2.303928818595315E-3</v>
      </c>
      <c r="Y258" s="6">
        <f t="shared" si="6"/>
        <v>-6.811756881171091E-2</v>
      </c>
      <c r="Z258" s="6">
        <f t="shared" si="7"/>
        <v>-8.8229579416474066E-2</v>
      </c>
      <c r="AA258" s="6">
        <f t="shared" si="8"/>
        <v>5.7040071372918603E-2</v>
      </c>
      <c r="AB258" s="6">
        <f t="shared" si="9"/>
        <v>-3.7123532878606216E-2</v>
      </c>
      <c r="AC258" s="6">
        <f t="shared" si="10"/>
        <v>2.6541792350940823E-2</v>
      </c>
      <c r="AD258" s="6">
        <f t="shared" si="11"/>
        <v>2.6206144261780185E-2</v>
      </c>
      <c r="AE258" s="6">
        <f t="shared" si="12"/>
        <v>-0.15389564581015555</v>
      </c>
      <c r="AF258" s="6">
        <f t="shared" si="13"/>
        <v>-0.10107835124079427</v>
      </c>
    </row>
    <row r="259" spans="3:32" x14ac:dyDescent="0.3">
      <c r="C259" s="2"/>
      <c r="D259" s="6">
        <v>5.8062806666450389E-2</v>
      </c>
      <c r="E259" s="6">
        <v>0.17967854978060122</v>
      </c>
      <c r="F259" s="6">
        <v>7.017520982336925E-2</v>
      </c>
      <c r="G259" s="6">
        <v>4.7076361402382846E-2</v>
      </c>
      <c r="H259" s="6">
        <v>0.12958199265549572</v>
      </c>
      <c r="I259" s="6">
        <v>0.10264242146601493</v>
      </c>
      <c r="J259" s="6">
        <v>0.14317901694381946</v>
      </c>
      <c r="K259" s="6">
        <v>0.18065627747489346</v>
      </c>
      <c r="L259" s="6">
        <v>8.7964353364115927E-2</v>
      </c>
      <c r="M259" s="6">
        <v>0.14981282146910563</v>
      </c>
      <c r="N259" s="6">
        <v>8.1142432853102797E-2</v>
      </c>
      <c r="O259" s="6">
        <v>0.11827067403343312</v>
      </c>
      <c r="P259" s="6">
        <v>0.18416546640366083</v>
      </c>
      <c r="Q259" s="6">
        <v>0.16980985630038659</v>
      </c>
      <c r="S259" s="6">
        <f t="shared" si="0"/>
        <v>5.6274788678640456E-2</v>
      </c>
      <c r="T259" s="6">
        <f t="shared" si="1"/>
        <v>0.16984907328415672</v>
      </c>
      <c r="U259" s="6">
        <f t="shared" si="2"/>
        <v>6.7615855677159525E-2</v>
      </c>
      <c r="V259" s="6">
        <f t="shared" si="3"/>
        <v>4.4367013066911737E-2</v>
      </c>
      <c r="W259" s="6">
        <f t="shared" si="4"/>
        <v>0.12872521484288493</v>
      </c>
      <c r="X259" s="6">
        <f t="shared" si="5"/>
        <v>0.1011627817447853</v>
      </c>
      <c r="Y259" s="6">
        <f t="shared" si="6"/>
        <v>0.13931342963362353</v>
      </c>
      <c r="Z259" s="6">
        <f t="shared" si="7"/>
        <v>0.18879515901072366</v>
      </c>
      <c r="AA259" s="6">
        <f t="shared" si="8"/>
        <v>8.2695668021582971E-2</v>
      </c>
      <c r="AB259" s="6">
        <f t="shared" si="9"/>
        <v>0.14755869809786518</v>
      </c>
      <c r="AC259" s="6">
        <f t="shared" si="10"/>
        <v>7.6983679093257401E-2</v>
      </c>
      <c r="AD259" s="6">
        <f t="shared" si="11"/>
        <v>0.10599332235599204</v>
      </c>
      <c r="AE259" s="6">
        <f t="shared" si="12"/>
        <v>0.18723653305198709</v>
      </c>
      <c r="AF259" s="6">
        <f t="shared" si="13"/>
        <v>0.17333755762483213</v>
      </c>
    </row>
    <row r="260" spans="3:32" x14ac:dyDescent="0.3">
      <c r="C260" s="2"/>
      <c r="D260" s="6">
        <v>6.3440223388508729E-2</v>
      </c>
      <c r="E260" s="6">
        <v>4.5815178878562138E-2</v>
      </c>
      <c r="F260" s="6">
        <v>1.075973367373702E-2</v>
      </c>
      <c r="G260" s="6">
        <v>3.9890097866877756E-2</v>
      </c>
      <c r="H260" s="6">
        <v>0.10996223751992373</v>
      </c>
      <c r="I260" s="6">
        <v>2.1594606393458275E-2</v>
      </c>
      <c r="J260" s="6">
        <v>2.4321885177256412E-2</v>
      </c>
      <c r="K260" s="6">
        <v>-1.6807118316381289E-2</v>
      </c>
      <c r="L260" s="6">
        <v>6.4625631637295081E-2</v>
      </c>
      <c r="M260" s="6">
        <v>4.1325699495325836E-3</v>
      </c>
      <c r="N260" s="6">
        <v>2.0766097743996303E-2</v>
      </c>
      <c r="O260" s="6">
        <v>1.1632546835828496E-2</v>
      </c>
      <c r="P260" s="6">
        <v>-8.8496152769824993E-3</v>
      </c>
      <c r="Q260" s="6">
        <v>-2.0416850980650773E-2</v>
      </c>
      <c r="S260" s="6">
        <f t="shared" si="0"/>
        <v>6.1652205400698795E-2</v>
      </c>
      <c r="T260" s="6">
        <f t="shared" si="1"/>
        <v>3.5985702382117637E-2</v>
      </c>
      <c r="U260" s="6">
        <f t="shared" si="2"/>
        <v>8.2003795275272934E-3</v>
      </c>
      <c r="V260" s="6">
        <f t="shared" si="3"/>
        <v>3.7180749531406647E-2</v>
      </c>
      <c r="W260" s="6">
        <f t="shared" si="4"/>
        <v>0.10910545970731295</v>
      </c>
      <c r="X260" s="6">
        <f t="shared" si="5"/>
        <v>2.0114966672228642E-2</v>
      </c>
      <c r="Y260" s="6">
        <f t="shared" si="6"/>
        <v>2.0456297867060484E-2</v>
      </c>
      <c r="Z260" s="6">
        <f t="shared" si="7"/>
        <v>-8.6682367805510918E-3</v>
      </c>
      <c r="AA260" s="6">
        <f t="shared" si="8"/>
        <v>5.9356946294762125E-2</v>
      </c>
      <c r="AB260" s="6">
        <f t="shared" si="9"/>
        <v>1.878446578292137E-3</v>
      </c>
      <c r="AC260" s="6">
        <f t="shared" si="10"/>
        <v>1.660734398415091E-2</v>
      </c>
      <c r="AD260" s="6">
        <f t="shared" si="11"/>
        <v>-6.4480484161258227E-4</v>
      </c>
      <c r="AE260" s="6">
        <f t="shared" si="12"/>
        <v>-5.7785486286562413E-3</v>
      </c>
      <c r="AF260" s="6">
        <f t="shared" si="13"/>
        <v>-1.6889149656205221E-2</v>
      </c>
    </row>
    <row r="261" spans="3:32" x14ac:dyDescent="0.3">
      <c r="C261" s="2"/>
      <c r="D261" s="6">
        <v>-2.3493693297660751E-3</v>
      </c>
      <c r="E261" s="6">
        <v>-3.6033310061000953E-2</v>
      </c>
      <c r="F261" s="6">
        <v>1.8725061869359596E-2</v>
      </c>
      <c r="G261" s="6">
        <v>-1.078713178046219E-2</v>
      </c>
      <c r="H261" s="6">
        <v>7.0618241853737801E-2</v>
      </c>
      <c r="I261" s="6">
        <v>-7.3706665728985659E-3</v>
      </c>
      <c r="J261" s="6">
        <v>1.3567271040120945E-2</v>
      </c>
      <c r="K261" s="6">
        <v>5.4691468849293705E-2</v>
      </c>
      <c r="L261" s="6">
        <v>2.6235386429847265E-2</v>
      </c>
      <c r="M261" s="6">
        <v>1.3380792533581347E-3</v>
      </c>
      <c r="N261" s="6">
        <v>5.4839553287844588E-2</v>
      </c>
      <c r="O261" s="6">
        <v>6.4201147348314239E-2</v>
      </c>
      <c r="P261" s="6">
        <v>1.4520330524953039E-2</v>
      </c>
      <c r="Q261" s="6">
        <v>3.5269876918998272E-2</v>
      </c>
      <c r="S261" s="6">
        <f t="shared" si="0"/>
        <v>-4.1373873175760091E-3</v>
      </c>
      <c r="T261" s="6">
        <f t="shared" si="1"/>
        <v>-4.5862786557445454E-2</v>
      </c>
      <c r="U261" s="6">
        <f t="shared" si="2"/>
        <v>1.6165707723149868E-2</v>
      </c>
      <c r="V261" s="6">
        <f t="shared" si="3"/>
        <v>-1.3496480115933296E-2</v>
      </c>
      <c r="W261" s="6">
        <f t="shared" si="4"/>
        <v>6.9761464041127014E-2</v>
      </c>
      <c r="X261" s="6">
        <f t="shared" si="5"/>
        <v>-8.850306294128198E-3</v>
      </c>
      <c r="Y261" s="6">
        <f t="shared" si="6"/>
        <v>9.7016837299250154E-3</v>
      </c>
      <c r="Z261" s="6">
        <f t="shared" si="7"/>
        <v>6.2830350385123898E-2</v>
      </c>
      <c r="AA261" s="6">
        <f t="shared" si="8"/>
        <v>2.0966701087314313E-2</v>
      </c>
      <c r="AB261" s="6">
        <f t="shared" si="9"/>
        <v>-9.1604411788231196E-4</v>
      </c>
      <c r="AC261" s="6">
        <f t="shared" si="10"/>
        <v>5.0680799527999192E-2</v>
      </c>
      <c r="AD261" s="6">
        <f t="shared" si="11"/>
        <v>5.1923795670873157E-2</v>
      </c>
      <c r="AE261" s="6">
        <f t="shared" si="12"/>
        <v>1.7591397173279295E-2</v>
      </c>
      <c r="AF261" s="6">
        <f t="shared" si="13"/>
        <v>3.8797578243443827E-2</v>
      </c>
    </row>
    <row r="262" spans="3:32" x14ac:dyDescent="0.3">
      <c r="C262" s="2"/>
      <c r="D262" s="6">
        <v>-2.4507614500773701E-2</v>
      </c>
      <c r="E262" s="6">
        <v>-0.14433998331769271</v>
      </c>
      <c r="F262" s="6">
        <v>-4.1068453691096789E-2</v>
      </c>
      <c r="G262" s="6">
        <v>-5.0186071994870581E-2</v>
      </c>
      <c r="H262" s="6">
        <v>-5.6031488251438596E-2</v>
      </c>
      <c r="I262" s="6">
        <v>-5.7244732355323659E-2</v>
      </c>
      <c r="J262" s="6">
        <v>-1.1270748585339175E-2</v>
      </c>
      <c r="K262" s="6">
        <v>-4.7093289618222123E-2</v>
      </c>
      <c r="L262" s="6">
        <v>-4.3229615846854044E-2</v>
      </c>
      <c r="M262" s="6">
        <v>-0.14986306551261575</v>
      </c>
      <c r="N262" s="6">
        <v>-0.11566604515570807</v>
      </c>
      <c r="O262" s="6">
        <v>-8.5238152212121318E-2</v>
      </c>
      <c r="P262" s="6">
        <v>-9.0115032800027833E-2</v>
      </c>
      <c r="Q262" s="6">
        <v>-6.2225207272701283E-2</v>
      </c>
      <c r="S262" s="6">
        <f t="shared" si="0"/>
        <v>-2.6295632488583635E-2</v>
      </c>
      <c r="T262" s="6">
        <f t="shared" si="1"/>
        <v>-0.15416945981413721</v>
      </c>
      <c r="U262" s="6">
        <f t="shared" si="2"/>
        <v>-4.3627807837306513E-2</v>
      </c>
      <c r="V262" s="6">
        <f t="shared" si="3"/>
        <v>-5.289542033034169E-2</v>
      </c>
      <c r="W262" s="6">
        <f t="shared" si="4"/>
        <v>-5.6888266064049384E-2</v>
      </c>
      <c r="X262" s="6">
        <f t="shared" si="5"/>
        <v>-5.8724372076553288E-2</v>
      </c>
      <c r="Y262" s="6">
        <f t="shared" si="6"/>
        <v>-1.5136335895535105E-2</v>
      </c>
      <c r="Z262" s="6">
        <f t="shared" si="7"/>
        <v>-3.8954408082391923E-2</v>
      </c>
      <c r="AA262" s="6">
        <f t="shared" si="8"/>
        <v>-4.8498301189387E-2</v>
      </c>
      <c r="AB262" s="6">
        <f t="shared" si="9"/>
        <v>-0.1521171888838562</v>
      </c>
      <c r="AC262" s="6">
        <f t="shared" si="10"/>
        <v>-0.11982479891555346</v>
      </c>
      <c r="AD262" s="6">
        <f t="shared" si="11"/>
        <v>-9.7515503889562399E-2</v>
      </c>
      <c r="AE262" s="6">
        <f t="shared" si="12"/>
        <v>-8.7043966151701582E-2</v>
      </c>
      <c r="AF262" s="6">
        <f t="shared" si="13"/>
        <v>-5.8697505948255728E-2</v>
      </c>
    </row>
    <row r="263" spans="3:32" x14ac:dyDescent="0.3">
      <c r="C263" s="2"/>
      <c r="D263" s="6">
        <v>-2.8626201796738353E-2</v>
      </c>
      <c r="E263" s="6">
        <v>-8.3870670890374796E-2</v>
      </c>
      <c r="F263" s="6">
        <v>-5.9448847673579767E-2</v>
      </c>
      <c r="G263" s="6">
        <v>-5.0468366521953939E-2</v>
      </c>
      <c r="H263" s="6">
        <v>-4.0294337287791124E-2</v>
      </c>
      <c r="I263" s="6">
        <v>-1.7964359381116433E-2</v>
      </c>
      <c r="J263" s="6">
        <v>-5.6198458193926819E-2</v>
      </c>
      <c r="K263" s="6">
        <v>-7.2061373638917015E-2</v>
      </c>
      <c r="L263" s="6">
        <v>7.5063344559852987E-2</v>
      </c>
      <c r="M263" s="6">
        <v>-8.8628192216535118E-2</v>
      </c>
      <c r="N263" s="6">
        <v>1.9466086625123183E-2</v>
      </c>
      <c r="O263" s="6">
        <v>-2.2293916959212796E-2</v>
      </c>
      <c r="P263" s="6">
        <v>-2.9900502587615466E-2</v>
      </c>
      <c r="Q263" s="6">
        <v>-5.3343103750311E-3</v>
      </c>
      <c r="S263" s="6">
        <f t="shared" si="0"/>
        <v>-3.0414219784548287E-2</v>
      </c>
      <c r="T263" s="6">
        <f t="shared" si="1"/>
        <v>-9.3700147386819296E-2</v>
      </c>
      <c r="U263" s="6">
        <f t="shared" si="2"/>
        <v>-6.2008201819789492E-2</v>
      </c>
      <c r="V263" s="6">
        <f t="shared" si="3"/>
        <v>-5.3177714857425049E-2</v>
      </c>
      <c r="W263" s="6">
        <f t="shared" si="4"/>
        <v>-4.1151115100401911E-2</v>
      </c>
      <c r="X263" s="6">
        <f t="shared" si="5"/>
        <v>-1.9443999102346066E-2</v>
      </c>
      <c r="Y263" s="6">
        <f t="shared" si="6"/>
        <v>-6.0064045504122747E-2</v>
      </c>
      <c r="Z263" s="6">
        <f t="shared" si="7"/>
        <v>-6.3922492103086814E-2</v>
      </c>
      <c r="AA263" s="6">
        <f t="shared" si="8"/>
        <v>6.9794659217320032E-2</v>
      </c>
      <c r="AB263" s="6">
        <f t="shared" si="9"/>
        <v>-9.088231558777557E-2</v>
      </c>
      <c r="AC263" s="6">
        <f t="shared" si="10"/>
        <v>1.530733286527779E-2</v>
      </c>
      <c r="AD263" s="6">
        <f t="shared" si="11"/>
        <v>-3.4571268636653871E-2</v>
      </c>
      <c r="AE263" s="6">
        <f t="shared" si="12"/>
        <v>-2.6829435939289208E-2</v>
      </c>
      <c r="AF263" s="6">
        <f t="shared" si="13"/>
        <v>-1.8066090505855482E-3</v>
      </c>
    </row>
    <row r="264" spans="3:32" x14ac:dyDescent="0.3">
      <c r="D264" s="6">
        <v>-2.1402308912016679E-2</v>
      </c>
      <c r="E264" s="6">
        <v>-8.5900218278781998E-2</v>
      </c>
      <c r="F264" s="6">
        <v>-2.0944686480569668E-2</v>
      </c>
      <c r="G264" s="6">
        <v>-5.7571605332225585E-2</v>
      </c>
      <c r="H264" s="6">
        <v>2.0171031367360034E-2</v>
      </c>
      <c r="I264" s="6">
        <v>-4.9729897651057349E-2</v>
      </c>
      <c r="J264" s="6">
        <v>-0.1324309013683351</v>
      </c>
      <c r="K264" s="6">
        <v>-0.10908341576699199</v>
      </c>
      <c r="L264" s="6">
        <v>-0.13449144130831797</v>
      </c>
      <c r="M264" s="6">
        <v>-0.11324450119358179</v>
      </c>
      <c r="N264" s="6">
        <v>-5.8275028093743235E-2</v>
      </c>
      <c r="O264" s="6">
        <v>-3.7740327982846968E-2</v>
      </c>
      <c r="P264" s="6">
        <v>-0.13712981320405596</v>
      </c>
      <c r="Q264" s="6">
        <v>-9.6425841357617517E-2</v>
      </c>
      <c r="S264" s="6">
        <f t="shared" si="0"/>
        <v>-2.3190326899826613E-2</v>
      </c>
      <c r="T264" s="6">
        <f t="shared" si="1"/>
        <v>-9.5729694775226498E-2</v>
      </c>
      <c r="U264" s="6">
        <f t="shared" si="2"/>
        <v>-2.3504040626779396E-2</v>
      </c>
      <c r="V264" s="6">
        <f t="shared" si="3"/>
        <v>-6.0280953667696695E-2</v>
      </c>
      <c r="W264" s="6">
        <f t="shared" si="4"/>
        <v>1.9314253554749243E-2</v>
      </c>
      <c r="X264" s="6">
        <f t="shared" si="5"/>
        <v>-5.1209537372286978E-2</v>
      </c>
      <c r="Y264" s="6">
        <f t="shared" si="6"/>
        <v>-0.13629648867853103</v>
      </c>
      <c r="Z264" s="6">
        <f t="shared" si="7"/>
        <v>-0.10094453423116179</v>
      </c>
      <c r="AA264" s="6">
        <f t="shared" si="8"/>
        <v>-0.13976012665085091</v>
      </c>
      <c r="AB264" s="6">
        <f t="shared" si="9"/>
        <v>-0.11549862456482224</v>
      </c>
      <c r="AC264" s="6">
        <f t="shared" si="10"/>
        <v>-6.2433781853588631E-2</v>
      </c>
      <c r="AD264" s="6">
        <f t="shared" si="11"/>
        <v>-5.0017679660288042E-2</v>
      </c>
      <c r="AE264" s="6">
        <f t="shared" si="12"/>
        <v>-0.13405874655572969</v>
      </c>
      <c r="AF264" s="6">
        <f t="shared" si="13"/>
        <v>-9.2898140033171969E-2</v>
      </c>
    </row>
    <row r="265" spans="3:32" x14ac:dyDescent="0.3">
      <c r="D265" s="6">
        <v>-2.5921812026175411E-2</v>
      </c>
      <c r="E265" s="6">
        <v>-5.0457365581575785E-2</v>
      </c>
      <c r="F265" s="6">
        <v>1.2655413215817894E-2</v>
      </c>
      <c r="G265" s="6">
        <v>-4.7324338315158962E-2</v>
      </c>
      <c r="H265" s="6">
        <v>-0.14344761095753961</v>
      </c>
      <c r="I265" s="6">
        <v>-0.14970382158409734</v>
      </c>
      <c r="J265" s="6">
        <v>8.5131204547269426E-2</v>
      </c>
      <c r="K265" s="6">
        <v>-4.4665617303184822E-2</v>
      </c>
      <c r="L265" s="6">
        <v>-3.3931738380452749E-2</v>
      </c>
      <c r="M265" s="6">
        <v>-0.15434078305388266</v>
      </c>
      <c r="N265" s="6">
        <v>2.0864181651143482E-2</v>
      </c>
      <c r="O265" s="6">
        <v>-0.13976194237515874</v>
      </c>
      <c r="P265" s="6">
        <v>-4.4114737562260635E-2</v>
      </c>
      <c r="Q265" s="6">
        <v>-6.0078282236800153E-3</v>
      </c>
      <c r="S265" s="6">
        <f t="shared" si="0"/>
        <v>-2.7709830013985345E-2</v>
      </c>
      <c r="T265" s="6">
        <f t="shared" si="1"/>
        <v>-6.0286842078020278E-2</v>
      </c>
      <c r="U265" s="6">
        <f t="shared" si="2"/>
        <v>1.0096059069608167E-2</v>
      </c>
      <c r="V265" s="6">
        <f t="shared" si="3"/>
        <v>-5.0033686650630071E-2</v>
      </c>
      <c r="W265" s="6">
        <f t="shared" si="4"/>
        <v>-0.14430438877015039</v>
      </c>
      <c r="X265" s="6">
        <f t="shared" si="5"/>
        <v>-0.15118346130532698</v>
      </c>
      <c r="Y265" s="6">
        <f t="shared" si="6"/>
        <v>8.1265617237073498E-2</v>
      </c>
      <c r="Z265" s="6">
        <f t="shared" si="7"/>
        <v>-3.6526735767354629E-2</v>
      </c>
      <c r="AA265" s="6">
        <f t="shared" si="8"/>
        <v>-3.9200423722985704E-2</v>
      </c>
      <c r="AB265" s="6">
        <f t="shared" si="9"/>
        <v>-0.15659490642512311</v>
      </c>
      <c r="AC265" s="6">
        <f t="shared" si="10"/>
        <v>1.6705427891298089E-2</v>
      </c>
      <c r="AD265" s="6">
        <f t="shared" si="11"/>
        <v>-0.1520392940525998</v>
      </c>
      <c r="AE265" s="6">
        <f t="shared" si="12"/>
        <v>-4.1043670913934377E-2</v>
      </c>
      <c r="AF265" s="6">
        <f t="shared" si="13"/>
        <v>-2.4801268992344634E-3</v>
      </c>
    </row>
    <row r="266" spans="3:32" x14ac:dyDescent="0.3">
      <c r="D266" s="6">
        <v>-2.3497295922134055E-3</v>
      </c>
      <c r="E266" s="6">
        <v>6.448168500187256E-3</v>
      </c>
      <c r="F266" s="6">
        <v>-1.0104205475924647E-2</v>
      </c>
      <c r="G266" s="6">
        <v>1.4269797519755207E-2</v>
      </c>
      <c r="H266" s="6">
        <v>-5.8742394210253906E-3</v>
      </c>
      <c r="I266" s="6">
        <v>-7.9606958832269703E-2</v>
      </c>
      <c r="J266" s="6">
        <v>1.6327297196460481E-2</v>
      </c>
      <c r="K266" s="6">
        <v>-0.13282889874245388</v>
      </c>
      <c r="L266" s="6">
        <v>-0.18730477148803115</v>
      </c>
      <c r="M266" s="6">
        <v>-8.2930379330733078E-2</v>
      </c>
      <c r="N266" s="6">
        <v>-0.18856719560379206</v>
      </c>
      <c r="O266" s="6">
        <v>-9.2621489880396562E-2</v>
      </c>
      <c r="P266" s="6">
        <v>4.1433217803646769E-2</v>
      </c>
      <c r="Q266" s="6">
        <v>-3.2562203187806185E-2</v>
      </c>
      <c r="S266" s="6">
        <f t="shared" si="0"/>
        <v>-4.137747580023339E-3</v>
      </c>
      <c r="T266" s="6">
        <f t="shared" si="1"/>
        <v>-3.3813079962572408E-3</v>
      </c>
      <c r="U266" s="6">
        <f t="shared" si="2"/>
        <v>-1.2663559622134373E-2</v>
      </c>
      <c r="V266" s="6">
        <f t="shared" si="3"/>
        <v>1.1560449184284101E-2</v>
      </c>
      <c r="W266" s="6">
        <f t="shared" si="4"/>
        <v>-6.7310172336361804E-3</v>
      </c>
      <c r="X266" s="6">
        <f t="shared" si="5"/>
        <v>-8.1086598553499339E-2</v>
      </c>
      <c r="Y266" s="6">
        <f t="shared" si="6"/>
        <v>1.2461709886264551E-2</v>
      </c>
      <c r="Z266" s="6">
        <f t="shared" si="7"/>
        <v>-0.12469001720662368</v>
      </c>
      <c r="AA266" s="6">
        <f t="shared" si="8"/>
        <v>-0.19257345683056409</v>
      </c>
      <c r="AB266" s="6">
        <f t="shared" si="9"/>
        <v>-8.518450270197353E-2</v>
      </c>
      <c r="AC266" s="6">
        <f t="shared" si="10"/>
        <v>-0.19272594936363746</v>
      </c>
      <c r="AD266" s="6">
        <f t="shared" si="11"/>
        <v>-0.10489884155783764</v>
      </c>
      <c r="AE266" s="6">
        <f t="shared" si="12"/>
        <v>4.4504284451973027E-2</v>
      </c>
      <c r="AF266" s="6">
        <f t="shared" si="13"/>
        <v>-2.9034501863360634E-2</v>
      </c>
    </row>
    <row r="267" spans="3:32" x14ac:dyDescent="0.3">
      <c r="D267" s="6">
        <v>-6.6847050136735878E-2</v>
      </c>
      <c r="E267" s="6">
        <v>-5.2788505758889132E-2</v>
      </c>
      <c r="F267" s="6">
        <v>-5.0808725409827261E-2</v>
      </c>
      <c r="G267" s="6">
        <v>2.5884397541026064E-3</v>
      </c>
      <c r="H267" s="6">
        <v>-0.11762276432100194</v>
      </c>
      <c r="I267" s="6">
        <v>-1.5011474445432171E-2</v>
      </c>
      <c r="J267" s="6">
        <v>-2.5598455337632709E-2</v>
      </c>
      <c r="K267" s="6">
        <v>-6.8452049045531751E-3</v>
      </c>
      <c r="L267" s="6">
        <v>-5.3080039391986487E-2</v>
      </c>
      <c r="M267" s="6">
        <v>-0.42429365820758708</v>
      </c>
      <c r="N267" s="6">
        <v>-6.6612015717581394E-2</v>
      </c>
      <c r="O267" s="6">
        <v>-0.12812109989627515</v>
      </c>
      <c r="P267" s="6">
        <v>1.0376627755477333E-2</v>
      </c>
      <c r="Q267" s="6">
        <v>-1.6107450014981876E-2</v>
      </c>
      <c r="S267" s="6">
        <f t="shared" si="0"/>
        <v>-6.8635068124545812E-2</v>
      </c>
      <c r="T267" s="6">
        <f t="shared" si="1"/>
        <v>-6.2617982255333632E-2</v>
      </c>
      <c r="U267" s="6">
        <f t="shared" si="2"/>
        <v>-5.3368079556036986E-2</v>
      </c>
      <c r="V267" s="6">
        <f t="shared" si="3"/>
        <v>-1.2090858136850008E-4</v>
      </c>
      <c r="W267" s="6">
        <f t="shared" si="4"/>
        <v>-0.11847954213361273</v>
      </c>
      <c r="X267" s="6">
        <f t="shared" si="5"/>
        <v>-1.6491114166661804E-2</v>
      </c>
      <c r="Y267" s="6">
        <f t="shared" si="6"/>
        <v>-2.9464042647828637E-2</v>
      </c>
      <c r="Z267" s="6">
        <f t="shared" si="7"/>
        <v>1.2936766312770217E-3</v>
      </c>
      <c r="AA267" s="6">
        <f t="shared" si="8"/>
        <v>-5.8348724734519443E-2</v>
      </c>
      <c r="AB267" s="6">
        <f t="shared" si="9"/>
        <v>-0.4265477815788275</v>
      </c>
      <c r="AC267" s="6">
        <f t="shared" si="10"/>
        <v>-7.077076947742679E-2</v>
      </c>
      <c r="AD267" s="6">
        <f t="shared" si="11"/>
        <v>-0.14039845157371622</v>
      </c>
      <c r="AE267" s="6">
        <f t="shared" si="12"/>
        <v>1.3447694403803591E-2</v>
      </c>
      <c r="AF267" s="6">
        <f t="shared" si="13"/>
        <v>-1.2579748690536324E-2</v>
      </c>
    </row>
    <row r="268" spans="3:32" x14ac:dyDescent="0.3">
      <c r="D268" s="6">
        <v>-6.6902357822395342E-2</v>
      </c>
      <c r="E268" s="6">
        <v>-5.9319714120998394E-2</v>
      </c>
      <c r="F268" s="6">
        <v>-3.3331227526006028E-2</v>
      </c>
      <c r="G268" s="6">
        <v>-6.3499279632851041E-2</v>
      </c>
      <c r="H268" s="6">
        <v>-0.14772636977896944</v>
      </c>
      <c r="I268" s="6">
        <v>-4.9590944641326899E-2</v>
      </c>
      <c r="J268" s="6">
        <v>-2.5909242022416089E-2</v>
      </c>
      <c r="K268" s="6">
        <v>-6.2090341924180885E-2</v>
      </c>
      <c r="L268" s="6">
        <v>-4.9513440578947951E-2</v>
      </c>
      <c r="M268" s="6">
        <v>-2.5669220154702251E-2</v>
      </c>
      <c r="N268" s="6">
        <v>-4.3576228112922576E-2</v>
      </c>
      <c r="O268" s="6">
        <v>-3.1671343837651411E-2</v>
      </c>
      <c r="P268" s="6">
        <v>-3.7913309796599529E-2</v>
      </c>
      <c r="Q268" s="6">
        <v>-5.5274660649367521E-2</v>
      </c>
      <c r="S268" s="6">
        <f t="shared" si="0"/>
        <v>-6.8690375810205276E-2</v>
      </c>
      <c r="T268" s="6">
        <f t="shared" si="1"/>
        <v>-6.9149190617442888E-2</v>
      </c>
      <c r="U268" s="6">
        <f t="shared" si="2"/>
        <v>-3.5890581672215753E-2</v>
      </c>
      <c r="V268" s="6">
        <f t="shared" si="3"/>
        <v>-6.6208627968322151E-2</v>
      </c>
      <c r="W268" s="6">
        <f t="shared" si="4"/>
        <v>-0.14858314759158023</v>
      </c>
      <c r="X268" s="6">
        <f t="shared" si="5"/>
        <v>-5.1070584362556529E-2</v>
      </c>
      <c r="Y268" s="6">
        <f t="shared" si="6"/>
        <v>-2.9774829332612017E-2</v>
      </c>
      <c r="Z268" s="6">
        <f t="shared" si="7"/>
        <v>-5.3951460388350692E-2</v>
      </c>
      <c r="AA268" s="6">
        <f t="shared" si="8"/>
        <v>-5.4782125921480906E-2</v>
      </c>
      <c r="AB268" s="6">
        <f t="shared" si="9"/>
        <v>-2.7923343525942695E-2</v>
      </c>
      <c r="AC268" s="6">
        <f t="shared" si="10"/>
        <v>-4.7734981872767972E-2</v>
      </c>
      <c r="AD268" s="6">
        <f t="shared" si="11"/>
        <v>-4.3948695515092492E-2</v>
      </c>
      <c r="AE268" s="6">
        <f t="shared" si="12"/>
        <v>-3.4842243148273271E-2</v>
      </c>
      <c r="AF268" s="6">
        <f t="shared" si="13"/>
        <v>-5.1746959324921966E-2</v>
      </c>
    </row>
    <row r="269" spans="3:32" x14ac:dyDescent="0.3">
      <c r="D269" s="6">
        <v>8.3954161040220174E-2</v>
      </c>
      <c r="E269" s="6">
        <v>0.11957890563919514</v>
      </c>
      <c r="F269" s="6">
        <v>7.8701685613912442E-2</v>
      </c>
      <c r="G269" s="6">
        <v>3.0830087189905972E-2</v>
      </c>
      <c r="H269" s="6">
        <v>0.13469993690390517</v>
      </c>
      <c r="I269" s="6">
        <v>6.7907919660876503E-2</v>
      </c>
      <c r="J269" s="6">
        <v>8.1817936541108034E-3</v>
      </c>
      <c r="K269" s="6">
        <v>-0.40074710664791618</v>
      </c>
      <c r="L269" s="6">
        <v>0.11471557153831148</v>
      </c>
      <c r="M269" s="6">
        <v>0.1298208132279868</v>
      </c>
      <c r="N269" s="6">
        <v>1.361143941098635E-2</v>
      </c>
      <c r="O269" s="6">
        <v>9.102558648683412E-2</v>
      </c>
      <c r="P269" s="6">
        <v>2.3811897600144891E-2</v>
      </c>
      <c r="Q269" s="6">
        <v>0.20737467630806125</v>
      </c>
      <c r="S269" s="6">
        <f t="shared" si="0"/>
        <v>8.216614305241024E-2</v>
      </c>
      <c r="T269" s="6">
        <f t="shared" si="1"/>
        <v>0.10974942914275064</v>
      </c>
      <c r="U269" s="6">
        <f t="shared" si="2"/>
        <v>7.6142331467702717E-2</v>
      </c>
      <c r="V269" s="6">
        <f t="shared" si="3"/>
        <v>2.8120738854434866E-2</v>
      </c>
      <c r="W269" s="6">
        <f t="shared" si="4"/>
        <v>0.13384315909129438</v>
      </c>
      <c r="X269" s="6">
        <f t="shared" si="5"/>
        <v>6.6428279939646867E-2</v>
      </c>
      <c r="Y269" s="6">
        <f t="shared" si="6"/>
        <v>4.3162063439148735E-3</v>
      </c>
      <c r="Z269" s="6">
        <f t="shared" si="7"/>
        <v>-0.39260822511208598</v>
      </c>
      <c r="AA269" s="6">
        <f t="shared" si="8"/>
        <v>0.10944688619577853</v>
      </c>
      <c r="AB269" s="6">
        <f t="shared" si="9"/>
        <v>0.12756668985674635</v>
      </c>
      <c r="AC269" s="6">
        <f t="shared" si="10"/>
        <v>9.452685651140956E-3</v>
      </c>
      <c r="AD269" s="6">
        <f t="shared" si="11"/>
        <v>7.8748234809393039E-2</v>
      </c>
      <c r="AE269" s="6">
        <f t="shared" si="12"/>
        <v>2.6882964248471149E-2</v>
      </c>
      <c r="AF269" s="6">
        <f t="shared" si="13"/>
        <v>0.2109023776325068</v>
      </c>
    </row>
    <row r="270" spans="3:32" x14ac:dyDescent="0.3">
      <c r="D270" s="6">
        <v>-2.8881405423455977E-2</v>
      </c>
      <c r="E270" s="6">
        <v>-4.7961722634930551E-3</v>
      </c>
      <c r="F270" s="6">
        <v>-1.1854499534548594E-2</v>
      </c>
      <c r="G270" s="6">
        <v>1.9572166688210407E-2</v>
      </c>
      <c r="H270" s="6">
        <v>-7.6678311864894808E-2</v>
      </c>
      <c r="I270" s="6">
        <v>6.0650163621986386E-2</v>
      </c>
      <c r="J270" s="6">
        <v>-2.2545071389845312E-2</v>
      </c>
      <c r="K270" s="6">
        <v>-7.2529284110011236E-2</v>
      </c>
      <c r="L270" s="6">
        <v>-2.870195807183528E-2</v>
      </c>
      <c r="M270" s="6">
        <v>-0.12169068714473673</v>
      </c>
      <c r="N270" s="6">
        <v>2.0075956572689006E-2</v>
      </c>
      <c r="O270" s="6">
        <v>1.0118130165584686E-2</v>
      </c>
      <c r="P270" s="6">
        <v>-0.10011073765764682</v>
      </c>
      <c r="Q270" s="6">
        <v>-9.0975882202186387E-3</v>
      </c>
      <c r="S270" s="6">
        <f t="shared" si="0"/>
        <v>-3.0669423411265911E-2</v>
      </c>
      <c r="T270" s="6">
        <f t="shared" si="1"/>
        <v>-1.4625648759937552E-2</v>
      </c>
      <c r="U270" s="6">
        <f t="shared" si="2"/>
        <v>-1.441385368075832E-2</v>
      </c>
      <c r="V270" s="6">
        <f t="shared" si="3"/>
        <v>1.6862818352739301E-2</v>
      </c>
      <c r="W270" s="6">
        <f t="shared" si="4"/>
        <v>-7.7535089677505595E-2</v>
      </c>
      <c r="X270" s="6">
        <f t="shared" si="5"/>
        <v>5.9170523900756757E-2</v>
      </c>
      <c r="Y270" s="6">
        <f t="shared" si="6"/>
        <v>-2.641065870004124E-2</v>
      </c>
      <c r="Z270" s="6">
        <f t="shared" si="7"/>
        <v>-6.4390402574181035E-2</v>
      </c>
      <c r="AA270" s="6">
        <f t="shared" si="8"/>
        <v>-3.3970643414368236E-2</v>
      </c>
      <c r="AB270" s="6">
        <f t="shared" si="9"/>
        <v>-0.12394481051597718</v>
      </c>
      <c r="AC270" s="6">
        <f t="shared" si="10"/>
        <v>1.5917202812843614E-2</v>
      </c>
      <c r="AD270" s="6">
        <f t="shared" si="11"/>
        <v>-2.1592215118563917E-3</v>
      </c>
      <c r="AE270" s="6">
        <f t="shared" si="12"/>
        <v>-9.7039671009320566E-2</v>
      </c>
      <c r="AF270" s="6">
        <f t="shared" si="13"/>
        <v>-5.5698868957730872E-3</v>
      </c>
    </row>
    <row r="271" spans="3:32" x14ac:dyDescent="0.3">
      <c r="D271" s="6">
        <v>-5.8421623044726728E-2</v>
      </c>
      <c r="E271" s="6">
        <v>-9.8145391803311041E-2</v>
      </c>
      <c r="F271" s="6">
        <v>-6.5146068074440108E-2</v>
      </c>
      <c r="G271" s="6">
        <v>-2.9953502091408343E-2</v>
      </c>
      <c r="H271" s="6">
        <v>-9.812612211282724E-3</v>
      </c>
      <c r="I271" s="6">
        <v>-0.10959231502478337</v>
      </c>
      <c r="J271" s="6">
        <v>-8.3083107935944797E-2</v>
      </c>
      <c r="K271" s="6">
        <v>-8.7199612284303243E-2</v>
      </c>
      <c r="L271" s="6">
        <v>4.357698691109247E-2</v>
      </c>
      <c r="M271" s="6">
        <v>-0.12744494656812025</v>
      </c>
      <c r="N271" s="6">
        <v>-1.796580596905701E-2</v>
      </c>
      <c r="O271" s="6">
        <v>-7.9111001652535998E-2</v>
      </c>
      <c r="P271" s="6">
        <v>-5.378082782100041E-2</v>
      </c>
      <c r="Q271" s="6">
        <v>-3.2038106950284325E-3</v>
      </c>
      <c r="S271" s="6">
        <f t="shared" si="0"/>
        <v>-6.0209641032536662E-2</v>
      </c>
      <c r="T271" s="6">
        <f t="shared" si="1"/>
        <v>-0.10797486829975554</v>
      </c>
      <c r="U271" s="6">
        <f t="shared" si="2"/>
        <v>-6.7705422220649833E-2</v>
      </c>
      <c r="V271" s="6">
        <f t="shared" si="3"/>
        <v>-3.2662850426879449E-2</v>
      </c>
      <c r="W271" s="6">
        <f t="shared" si="4"/>
        <v>-1.0669390023893513E-2</v>
      </c>
      <c r="X271" s="6">
        <f t="shared" si="5"/>
        <v>-0.111071954746013</v>
      </c>
      <c r="Y271" s="6">
        <f t="shared" si="6"/>
        <v>-8.6948695246140725E-2</v>
      </c>
      <c r="Z271" s="6">
        <f t="shared" si="7"/>
        <v>-7.9060730748473043E-2</v>
      </c>
      <c r="AA271" s="6">
        <f t="shared" si="8"/>
        <v>3.8308301568559515E-2</v>
      </c>
      <c r="AB271" s="6">
        <f t="shared" si="9"/>
        <v>-0.1296990699393607</v>
      </c>
      <c r="AC271" s="6">
        <f t="shared" si="10"/>
        <v>-2.2124559728902402E-2</v>
      </c>
      <c r="AD271" s="6">
        <f t="shared" si="11"/>
        <v>-9.1388353329977079E-2</v>
      </c>
      <c r="AE271" s="6">
        <f t="shared" si="12"/>
        <v>-5.0709761172674152E-2</v>
      </c>
      <c r="AF271" s="6">
        <f t="shared" si="13"/>
        <v>3.2389062941711941E-4</v>
      </c>
    </row>
    <row r="272" spans="3:32" x14ac:dyDescent="0.3">
      <c r="D272" s="6">
        <v>-4.1466359690906368E-2</v>
      </c>
      <c r="E272" s="6">
        <v>-6.6386623427145144E-2</v>
      </c>
      <c r="F272" s="6">
        <v>-2.1333503220413171E-2</v>
      </c>
      <c r="G272" s="6">
        <v>-3.6834214421488667E-2</v>
      </c>
      <c r="H272" s="6">
        <v>-6.8937509186818249E-2</v>
      </c>
      <c r="I272" s="6">
        <v>-3.1781059869644149E-2</v>
      </c>
      <c r="J272" s="6">
        <v>-6.975801983281496E-2</v>
      </c>
      <c r="K272" s="6">
        <v>-6.6951067542955003E-2</v>
      </c>
      <c r="L272" s="6">
        <v>-3.2533929902938817E-2</v>
      </c>
      <c r="M272" s="6">
        <v>-0.13647998930471547</v>
      </c>
      <c r="N272" s="6">
        <v>-8.3949993915986981E-2</v>
      </c>
      <c r="O272" s="6">
        <v>-2.42424361150628E-3</v>
      </c>
      <c r="P272" s="6">
        <v>-3.512387793143704E-3</v>
      </c>
      <c r="Q272" s="6">
        <v>8.4904878517648198E-3</v>
      </c>
      <c r="S272" s="6">
        <f t="shared" si="0"/>
        <v>-4.3254377678716302E-2</v>
      </c>
      <c r="T272" s="6">
        <f t="shared" si="1"/>
        <v>-7.6216099923589645E-2</v>
      </c>
      <c r="U272" s="6">
        <f t="shared" si="2"/>
        <v>-2.3892857366622899E-2</v>
      </c>
      <c r="V272" s="6">
        <f t="shared" si="3"/>
        <v>-3.9543562756959777E-2</v>
      </c>
      <c r="W272" s="6">
        <f t="shared" si="4"/>
        <v>-6.9794286999429037E-2</v>
      </c>
      <c r="X272" s="6">
        <f t="shared" si="5"/>
        <v>-3.3260699590873778E-2</v>
      </c>
      <c r="Y272" s="6">
        <f t="shared" si="6"/>
        <v>-7.3623607143010888E-2</v>
      </c>
      <c r="Z272" s="6">
        <f t="shared" si="7"/>
        <v>-5.8812186007124803E-2</v>
      </c>
      <c r="AA272" s="6">
        <f t="shared" si="8"/>
        <v>-3.7802615245471773E-2</v>
      </c>
      <c r="AB272" s="6">
        <f t="shared" si="9"/>
        <v>-0.13873411267595592</v>
      </c>
      <c r="AC272" s="6">
        <f t="shared" si="10"/>
        <v>-8.8108747675832377E-2</v>
      </c>
      <c r="AD272" s="6">
        <f t="shared" si="11"/>
        <v>-1.4701595288947357E-2</v>
      </c>
      <c r="AE272" s="6">
        <f t="shared" si="12"/>
        <v>-4.4132114481744639E-4</v>
      </c>
      <c r="AF272" s="6">
        <f t="shared" si="13"/>
        <v>1.2018189176210371E-2</v>
      </c>
    </row>
    <row r="273" spans="4:32" x14ac:dyDescent="0.3">
      <c r="D273" s="6">
        <v>7.3966799004620234E-2</v>
      </c>
      <c r="E273" s="6">
        <v>7.577085651703884E-2</v>
      </c>
      <c r="F273" s="6">
        <v>7.7850491492059984E-2</v>
      </c>
      <c r="G273" s="6">
        <v>9.6293964400936891E-2</v>
      </c>
      <c r="H273" s="6">
        <v>0.12536122804169589</v>
      </c>
      <c r="I273" s="6">
        <v>9.2035451414720679E-2</v>
      </c>
      <c r="J273" s="6">
        <v>3.8459366943679539E-2</v>
      </c>
      <c r="K273" s="6">
        <v>0.16853941727935784</v>
      </c>
      <c r="L273" s="6">
        <v>0.12104528381351375</v>
      </c>
      <c r="M273" s="6">
        <v>0.20239084378355024</v>
      </c>
      <c r="N273" s="6">
        <v>5.4429133619056339E-2</v>
      </c>
      <c r="O273" s="6">
        <v>0.21240650331325309</v>
      </c>
      <c r="P273" s="6">
        <v>0.18096578900936452</v>
      </c>
      <c r="Q273" s="6">
        <v>0.10877286877114241</v>
      </c>
      <c r="S273" s="6">
        <f t="shared" si="0"/>
        <v>7.2178781016810301E-2</v>
      </c>
      <c r="T273" s="6">
        <f t="shared" si="1"/>
        <v>6.594138002059434E-2</v>
      </c>
      <c r="U273" s="6">
        <f t="shared" si="2"/>
        <v>7.5291137345850259E-2</v>
      </c>
      <c r="V273" s="6">
        <f t="shared" si="3"/>
        <v>9.3584616065465781E-2</v>
      </c>
      <c r="W273" s="6">
        <f t="shared" si="4"/>
        <v>0.1245044502290851</v>
      </c>
      <c r="X273" s="6">
        <f t="shared" si="5"/>
        <v>9.0555811693491042E-2</v>
      </c>
      <c r="Y273" s="6">
        <f t="shared" si="6"/>
        <v>3.4593779633483611E-2</v>
      </c>
      <c r="Z273" s="6">
        <f t="shared" si="7"/>
        <v>0.17667829881518804</v>
      </c>
      <c r="AA273" s="6">
        <f t="shared" si="8"/>
        <v>0.11577659847098079</v>
      </c>
      <c r="AB273" s="6">
        <f t="shared" si="9"/>
        <v>0.20013672041230979</v>
      </c>
      <c r="AC273" s="6">
        <f t="shared" si="10"/>
        <v>5.0270379859210942E-2</v>
      </c>
      <c r="AD273" s="6">
        <f t="shared" si="11"/>
        <v>0.20012915163581202</v>
      </c>
      <c r="AE273" s="6">
        <f t="shared" si="12"/>
        <v>0.18403685565769079</v>
      </c>
      <c r="AF273" s="6">
        <f t="shared" si="13"/>
        <v>0.11230057009558796</v>
      </c>
    </row>
    <row r="274" spans="4:32" x14ac:dyDescent="0.3">
      <c r="D274" s="6">
        <v>-1.9459611164706184E-2</v>
      </c>
      <c r="E274" s="6">
        <v>-0.16530430293937848</v>
      </c>
      <c r="F274" s="6">
        <v>-3.0802010266693991E-2</v>
      </c>
      <c r="G274" s="6">
        <v>-8.1470643135976573E-2</v>
      </c>
      <c r="H274" s="6">
        <v>-7.8057242249746389E-2</v>
      </c>
      <c r="I274" s="6">
        <v>-6.1075522014096439E-2</v>
      </c>
      <c r="J274" s="6">
        <v>-6.1377873234082801E-2</v>
      </c>
      <c r="K274" s="6">
        <v>-0.10990597802950085</v>
      </c>
      <c r="L274" s="6">
        <v>-3.1520290083568041E-2</v>
      </c>
      <c r="M274" s="6">
        <v>-0.24588463292697357</v>
      </c>
      <c r="N274" s="6">
        <v>-7.6214467958986593E-2</v>
      </c>
      <c r="O274" s="6">
        <v>-9.4623467656869645E-2</v>
      </c>
      <c r="P274" s="6">
        <v>-0.16304911903805785</v>
      </c>
      <c r="Q274" s="6">
        <v>-9.999334005108633E-2</v>
      </c>
      <c r="S274" s="6">
        <f t="shared" si="0"/>
        <v>-2.1247629152516118E-2</v>
      </c>
      <c r="T274" s="6">
        <f t="shared" si="1"/>
        <v>-0.17513377943582298</v>
      </c>
      <c r="U274" s="6">
        <f t="shared" si="2"/>
        <v>-3.3361364412903716E-2</v>
      </c>
      <c r="V274" s="6">
        <f t="shared" si="3"/>
        <v>-8.4179991471447682E-2</v>
      </c>
      <c r="W274" s="6">
        <f t="shared" si="4"/>
        <v>-7.8914020062357176E-2</v>
      </c>
      <c r="X274" s="6">
        <f t="shared" si="5"/>
        <v>-6.2555161735326076E-2</v>
      </c>
      <c r="Y274" s="6">
        <f t="shared" si="6"/>
        <v>-6.5243460544278736E-2</v>
      </c>
      <c r="Z274" s="6">
        <f t="shared" si="7"/>
        <v>-0.10176709649367065</v>
      </c>
      <c r="AA274" s="6">
        <f t="shared" si="8"/>
        <v>-3.6788975426100996E-2</v>
      </c>
      <c r="AB274" s="6">
        <f t="shared" si="9"/>
        <v>-0.24813875629821402</v>
      </c>
      <c r="AC274" s="6">
        <f t="shared" si="10"/>
        <v>-8.0373221718831989E-2</v>
      </c>
      <c r="AD274" s="6">
        <f t="shared" si="11"/>
        <v>-0.10690081933431073</v>
      </c>
      <c r="AE274" s="6">
        <f t="shared" si="12"/>
        <v>-0.15997805238973159</v>
      </c>
      <c r="AF274" s="6">
        <f t="shared" si="13"/>
        <v>-9.6465638726640782E-2</v>
      </c>
    </row>
    <row r="275" spans="4:32" x14ac:dyDescent="0.3">
      <c r="D275" s="6">
        <v>5.6734449446606453E-2</v>
      </c>
      <c r="E275" s="6">
        <v>8.7011376989629699E-2</v>
      </c>
      <c r="F275" s="6">
        <v>3.065257810861571E-2</v>
      </c>
      <c r="G275" s="6">
        <v>9.3100641067064574E-2</v>
      </c>
      <c r="H275" s="6">
        <v>9.8401569915904652E-2</v>
      </c>
      <c r="I275" s="6">
        <v>5.3144445958242158E-2</v>
      </c>
      <c r="J275" s="6">
        <v>6.560025811393104E-2</v>
      </c>
      <c r="K275" s="6">
        <v>0.12743845679114155</v>
      </c>
      <c r="L275" s="6">
        <v>6.0240595343429487E-2</v>
      </c>
      <c r="M275" s="6">
        <v>0.20652996087335823</v>
      </c>
      <c r="N275" s="6">
        <v>4.5795547767447341E-2</v>
      </c>
      <c r="O275" s="6">
        <v>9.2658830482704763E-2</v>
      </c>
      <c r="P275" s="6">
        <v>0.11790220386244706</v>
      </c>
      <c r="Q275" s="6">
        <v>7.6563791168876627E-2</v>
      </c>
      <c r="S275" s="6">
        <f t="shared" si="0"/>
        <v>5.4946431458796519E-2</v>
      </c>
      <c r="T275" s="6">
        <f t="shared" si="1"/>
        <v>7.7181900493185199E-2</v>
      </c>
      <c r="U275" s="6">
        <f t="shared" si="2"/>
        <v>2.8093223962405982E-2</v>
      </c>
      <c r="V275" s="6">
        <f t="shared" si="3"/>
        <v>9.0391292731593464E-2</v>
      </c>
      <c r="W275" s="6">
        <f t="shared" si="4"/>
        <v>9.7544792103293865E-2</v>
      </c>
      <c r="X275" s="6">
        <f t="shared" si="5"/>
        <v>5.1664806237012528E-2</v>
      </c>
      <c r="Y275" s="6">
        <f t="shared" si="6"/>
        <v>6.1734670803735112E-2</v>
      </c>
      <c r="Z275" s="6">
        <f t="shared" si="7"/>
        <v>0.13557733832697175</v>
      </c>
      <c r="AA275" s="6">
        <f t="shared" si="8"/>
        <v>5.4971910000896532E-2</v>
      </c>
      <c r="AB275" s="6">
        <f t="shared" si="9"/>
        <v>0.20427583750211778</v>
      </c>
      <c r="AC275" s="6">
        <f t="shared" si="10"/>
        <v>4.1636794007601945E-2</v>
      </c>
      <c r="AD275" s="6">
        <f t="shared" si="11"/>
        <v>8.0381478805263681E-2</v>
      </c>
      <c r="AE275" s="6">
        <f t="shared" si="12"/>
        <v>0.12097327051077331</v>
      </c>
      <c r="AF275" s="6">
        <f t="shared" si="13"/>
        <v>8.0091492493322175E-2</v>
      </c>
    </row>
    <row r="276" spans="4:32" x14ac:dyDescent="0.3">
      <c r="D276" s="6">
        <v>2.1063327084812497E-2</v>
      </c>
      <c r="E276" s="6">
        <v>-5.063301956546762E-3</v>
      </c>
      <c r="F276" s="6">
        <v>-4.1731521566626968E-2</v>
      </c>
      <c r="G276" s="6">
        <v>-6.5527698943286999E-2</v>
      </c>
      <c r="H276" s="6">
        <v>-4.356575892356316E-2</v>
      </c>
      <c r="I276" s="6">
        <v>-1.7373521801552032E-2</v>
      </c>
      <c r="J276" s="6">
        <v>-3.6835918588235435E-2</v>
      </c>
      <c r="K276" s="6">
        <v>-9.164045091536252E-2</v>
      </c>
      <c r="L276" s="6">
        <v>-6.7800480151369663E-2</v>
      </c>
      <c r="M276" s="6">
        <v>-0.11407867621616299</v>
      </c>
      <c r="N276" s="6">
        <v>-3.0449978092786902E-2</v>
      </c>
      <c r="O276" s="6">
        <v>-0.11778303565638351</v>
      </c>
      <c r="P276" s="6">
        <v>-9.5977704742095105E-2</v>
      </c>
      <c r="Q276" s="6">
        <v>-0.18215462581952474</v>
      </c>
      <c r="S276" s="6">
        <f t="shared" si="0"/>
        <v>1.9275309097002563E-2</v>
      </c>
      <c r="T276" s="6">
        <f t="shared" si="1"/>
        <v>-1.4892778452991258E-2</v>
      </c>
      <c r="U276" s="6">
        <f t="shared" si="2"/>
        <v>-4.4290875712836693E-2</v>
      </c>
      <c r="V276" s="6">
        <f t="shared" si="3"/>
        <v>-6.8237047278758109E-2</v>
      </c>
      <c r="W276" s="6">
        <f t="shared" si="4"/>
        <v>-4.4422536736173947E-2</v>
      </c>
      <c r="X276" s="6">
        <f t="shared" si="5"/>
        <v>-1.8853161522781665E-2</v>
      </c>
      <c r="Y276" s="6">
        <f t="shared" si="6"/>
        <v>-4.0701505898431363E-2</v>
      </c>
      <c r="Z276" s="6">
        <f t="shared" si="7"/>
        <v>-8.350156937953232E-2</v>
      </c>
      <c r="AA276" s="6">
        <f t="shared" si="8"/>
        <v>-7.3069165493902619E-2</v>
      </c>
      <c r="AB276" s="6">
        <f t="shared" si="9"/>
        <v>-0.11633279958740345</v>
      </c>
      <c r="AC276" s="6">
        <f t="shared" si="10"/>
        <v>-3.4608731852632295E-2</v>
      </c>
      <c r="AD276" s="6">
        <f t="shared" si="11"/>
        <v>-0.13006038733382458</v>
      </c>
      <c r="AE276" s="6">
        <f t="shared" si="12"/>
        <v>-9.2906638093768854E-2</v>
      </c>
      <c r="AF276" s="6">
        <f t="shared" si="13"/>
        <v>-0.17862692449507919</v>
      </c>
    </row>
    <row r="277" spans="4:32" x14ac:dyDescent="0.3">
      <c r="D277" s="6">
        <v>2.5768861601572796E-2</v>
      </c>
      <c r="E277" s="6">
        <v>9.438681870455605E-2</v>
      </c>
      <c r="F277" s="6">
        <v>1.4079291902585162E-2</v>
      </c>
      <c r="G277" s="6">
        <v>-3.5327781577463122E-2</v>
      </c>
      <c r="H277" s="6">
        <v>0.1257534827104457</v>
      </c>
      <c r="I277" s="6">
        <v>7.5214486871356317E-2</v>
      </c>
      <c r="J277" s="6">
        <v>2.7369436017411333E-2</v>
      </c>
      <c r="K277" s="6">
        <v>-0.31516245003446175</v>
      </c>
      <c r="L277" s="6">
        <v>3.1156547198591129E-2</v>
      </c>
      <c r="M277" s="6">
        <v>0.27505387039860635</v>
      </c>
      <c r="N277" s="6">
        <v>7.2524545023387066E-2</v>
      </c>
      <c r="O277" s="6">
        <v>8.4796536660077054E-2</v>
      </c>
      <c r="P277" s="6">
        <v>3.5167704023896545E-2</v>
      </c>
      <c r="Q277" s="6">
        <v>6.4945298682801897E-2</v>
      </c>
      <c r="S277" s="6">
        <f t="shared" si="0"/>
        <v>2.3980843613762862E-2</v>
      </c>
      <c r="T277" s="6">
        <f t="shared" si="1"/>
        <v>8.4557342208111549E-2</v>
      </c>
      <c r="U277" s="6">
        <f t="shared" si="2"/>
        <v>1.1519937756375435E-2</v>
      </c>
      <c r="V277" s="6">
        <f t="shared" si="3"/>
        <v>-3.8037129912934231E-2</v>
      </c>
      <c r="W277" s="6">
        <f t="shared" si="4"/>
        <v>0.12489670489783491</v>
      </c>
      <c r="X277" s="6">
        <f t="shared" si="5"/>
        <v>7.3734847150126681E-2</v>
      </c>
      <c r="Y277" s="6">
        <f t="shared" si="6"/>
        <v>2.3503848707215405E-2</v>
      </c>
      <c r="Z277" s="6">
        <f t="shared" si="7"/>
        <v>-0.30702356849863155</v>
      </c>
      <c r="AA277" s="6">
        <f t="shared" si="8"/>
        <v>2.5887861856058174E-2</v>
      </c>
      <c r="AB277" s="6">
        <f t="shared" si="9"/>
        <v>0.27279974702736592</v>
      </c>
      <c r="AC277" s="6">
        <f t="shared" si="10"/>
        <v>6.836579126354167E-2</v>
      </c>
      <c r="AD277" s="6">
        <f t="shared" si="11"/>
        <v>7.2519184982635973E-2</v>
      </c>
      <c r="AE277" s="6">
        <f t="shared" si="12"/>
        <v>3.8238770672222804E-2</v>
      </c>
      <c r="AF277" s="6">
        <f t="shared" si="13"/>
        <v>6.8473000007247445E-2</v>
      </c>
    </row>
    <row r="278" spans="4:32" x14ac:dyDescent="0.3">
      <c r="D278" s="6">
        <v>5.3202691044155065E-2</v>
      </c>
      <c r="E278" s="6">
        <v>4.735947003885823E-2</v>
      </c>
      <c r="F278" s="6">
        <v>7.536368540199341E-2</v>
      </c>
      <c r="G278" s="6">
        <v>7.5140141521120155E-2</v>
      </c>
      <c r="H278" s="6">
        <v>8.7553031620019275E-2</v>
      </c>
      <c r="I278" s="6">
        <v>9.7446584041089704E-2</v>
      </c>
      <c r="J278" s="6">
        <v>-6.1962137857264718E-2</v>
      </c>
      <c r="K278" s="6">
        <v>-8.0645598367304078E-3</v>
      </c>
      <c r="L278" s="6">
        <v>3.8133631600935575E-4</v>
      </c>
      <c r="M278" s="6">
        <v>-0.11764184257460977</v>
      </c>
      <c r="N278" s="6">
        <v>6.417134320633509E-3</v>
      </c>
      <c r="O278" s="6">
        <v>5.0530808647215965E-2</v>
      </c>
      <c r="P278" s="6">
        <v>-0.30448155948141287</v>
      </c>
      <c r="Q278" s="6">
        <v>-2.5570520128453289E-2</v>
      </c>
      <c r="S278" s="6">
        <f t="shared" si="0"/>
        <v>5.1414673056345131E-2</v>
      </c>
      <c r="T278" s="6">
        <f t="shared" si="1"/>
        <v>3.7529993542413737E-2</v>
      </c>
      <c r="U278" s="6">
        <f t="shared" si="2"/>
        <v>7.2804331255783686E-2</v>
      </c>
      <c r="V278" s="6">
        <f t="shared" si="3"/>
        <v>7.2430793185649045E-2</v>
      </c>
      <c r="W278" s="6">
        <f t="shared" si="4"/>
        <v>8.6696253807408488E-2</v>
      </c>
      <c r="X278" s="6">
        <f t="shared" si="5"/>
        <v>9.5966944319860067E-2</v>
      </c>
      <c r="Y278" s="6">
        <f t="shared" si="6"/>
        <v>-6.5827725167460646E-2</v>
      </c>
      <c r="Z278" s="6">
        <f t="shared" si="7"/>
        <v>7.4321699099788932E-5</v>
      </c>
      <c r="AA278" s="6">
        <f t="shared" si="8"/>
        <v>-4.8873490265235985E-3</v>
      </c>
      <c r="AB278" s="6">
        <f t="shared" si="9"/>
        <v>-0.11989596594585022</v>
      </c>
      <c r="AC278" s="6">
        <f t="shared" si="10"/>
        <v>2.2583805607881155E-3</v>
      </c>
      <c r="AD278" s="6">
        <f t="shared" si="11"/>
        <v>3.8253456969774891E-2</v>
      </c>
      <c r="AE278" s="6">
        <f t="shared" si="12"/>
        <v>-0.30141049283308663</v>
      </c>
      <c r="AF278" s="6">
        <f t="shared" si="13"/>
        <v>-2.2042818804007738E-2</v>
      </c>
    </row>
    <row r="279" spans="4:32" x14ac:dyDescent="0.3">
      <c r="D279" s="6">
        <v>1.732490108988469E-2</v>
      </c>
      <c r="E279" s="6">
        <v>4.469115165104711E-2</v>
      </c>
      <c r="F279" s="6">
        <v>7.6998517561782656E-3</v>
      </c>
      <c r="G279" s="6">
        <v>9.8379680505853613E-3</v>
      </c>
      <c r="H279" s="6">
        <v>-3.0686478044347158E-2</v>
      </c>
      <c r="I279" s="6">
        <v>4.2436104259928623E-2</v>
      </c>
      <c r="J279" s="6">
        <v>4.9119342871550127E-2</v>
      </c>
      <c r="K279" s="6">
        <v>2.9912499362600032E-2</v>
      </c>
      <c r="L279" s="6">
        <v>4.040360635453686E-2</v>
      </c>
      <c r="M279" s="6">
        <v>0.39063737897911199</v>
      </c>
      <c r="N279" s="6">
        <v>0.31117785908948331</v>
      </c>
      <c r="O279" s="6">
        <v>0.1010032102888706</v>
      </c>
      <c r="P279" s="6">
        <v>0.2275295232574642</v>
      </c>
      <c r="Q279" s="6">
        <v>9.1837954093575605E-2</v>
      </c>
      <c r="S279" s="6">
        <f t="shared" si="0"/>
        <v>1.5536883102074756E-2</v>
      </c>
      <c r="T279" s="6">
        <f t="shared" si="1"/>
        <v>3.4861675154602617E-2</v>
      </c>
      <c r="U279" s="6">
        <f t="shared" si="2"/>
        <v>5.1404976099685383E-3</v>
      </c>
      <c r="V279" s="6">
        <f t="shared" si="3"/>
        <v>7.1286197151142552E-3</v>
      </c>
      <c r="W279" s="6">
        <f t="shared" si="4"/>
        <v>-3.1543255856957948E-2</v>
      </c>
      <c r="X279" s="6">
        <f t="shared" si="5"/>
        <v>4.0956464538698993E-2</v>
      </c>
      <c r="Y279" s="6">
        <f t="shared" si="6"/>
        <v>4.5253755561354199E-2</v>
      </c>
      <c r="Z279" s="6">
        <f t="shared" si="7"/>
        <v>3.8051380898430229E-2</v>
      </c>
      <c r="AA279" s="6">
        <f t="shared" si="8"/>
        <v>3.5134921012003904E-2</v>
      </c>
      <c r="AB279" s="6">
        <f t="shared" si="9"/>
        <v>0.38838325560787157</v>
      </c>
      <c r="AC279" s="6">
        <f t="shared" si="10"/>
        <v>0.30701910532963794</v>
      </c>
      <c r="AD279" s="6">
        <f t="shared" si="11"/>
        <v>8.8725858611429523E-2</v>
      </c>
      <c r="AE279" s="6">
        <f t="shared" si="12"/>
        <v>0.23060058990579047</v>
      </c>
      <c r="AF279" s="6">
        <f t="shared" si="13"/>
        <v>9.5365655418021153E-2</v>
      </c>
    </row>
    <row r="280" spans="4:32" x14ac:dyDescent="0.3">
      <c r="D280" s="6">
        <v>4.0011263789691949E-2</v>
      </c>
      <c r="E280" s="6">
        <v>-1.4854384538196166E-2</v>
      </c>
      <c r="F280" s="6">
        <v>3.1316709718548094E-2</v>
      </c>
      <c r="G280" s="6">
        <v>3.5211666115242859E-2</v>
      </c>
      <c r="H280" s="6">
        <v>4.0331885888211898E-2</v>
      </c>
      <c r="I280" s="6">
        <v>1.9342962843130935E-2</v>
      </c>
      <c r="J280" s="6">
        <v>7.7078499557644342E-2</v>
      </c>
      <c r="K280" s="6">
        <v>0.13230274030138853</v>
      </c>
      <c r="L280" s="6">
        <v>4.9494848105529947E-2</v>
      </c>
      <c r="M280" s="6">
        <v>-2.7897635725217897E-2</v>
      </c>
      <c r="N280" s="6">
        <v>1.4268232132982984E-2</v>
      </c>
      <c r="O280" s="6">
        <v>-0.14444538165835194</v>
      </c>
      <c r="P280" s="6">
        <v>1.8667369308536758E-2</v>
      </c>
      <c r="Q280" s="6">
        <v>-3.8774611529555116E-2</v>
      </c>
      <c r="S280" s="6">
        <f t="shared" si="0"/>
        <v>3.8223245801882015E-2</v>
      </c>
      <c r="T280" s="6">
        <f t="shared" si="1"/>
        <v>-2.4683861034640663E-2</v>
      </c>
      <c r="U280" s="6">
        <f t="shared" si="2"/>
        <v>2.8757355572338366E-2</v>
      </c>
      <c r="V280" s="6">
        <f t="shared" si="3"/>
        <v>3.250231777977175E-2</v>
      </c>
      <c r="W280" s="6">
        <f t="shared" si="4"/>
        <v>3.9475108075601111E-2</v>
      </c>
      <c r="X280" s="6">
        <f t="shared" si="5"/>
        <v>1.7863323121901302E-2</v>
      </c>
      <c r="Y280" s="6">
        <f t="shared" si="6"/>
        <v>7.3212912247448414E-2</v>
      </c>
      <c r="Z280" s="6">
        <f t="shared" si="7"/>
        <v>0.14044162183721873</v>
      </c>
      <c r="AA280" s="6">
        <f t="shared" si="8"/>
        <v>4.4226162762996991E-2</v>
      </c>
      <c r="AB280" s="6">
        <f t="shared" si="9"/>
        <v>-3.0151759096458342E-2</v>
      </c>
      <c r="AC280" s="6">
        <f t="shared" si="10"/>
        <v>1.0109478373137592E-2</v>
      </c>
      <c r="AD280" s="6">
        <f t="shared" si="11"/>
        <v>-0.15672273333579301</v>
      </c>
      <c r="AE280" s="6">
        <f t="shared" si="12"/>
        <v>2.1738435956863016E-2</v>
      </c>
      <c r="AF280" s="6">
        <f t="shared" si="13"/>
        <v>-3.5246910205109561E-2</v>
      </c>
    </row>
    <row r="281" spans="4:32" x14ac:dyDescent="0.3">
      <c r="D281" s="6">
        <v>-3.3758253350564646E-3</v>
      </c>
      <c r="E281" s="6">
        <v>-4.7054632060350099E-2</v>
      </c>
      <c r="F281" s="6">
        <v>-1.992938672579514E-2</v>
      </c>
      <c r="G281" s="6">
        <v>-3.742745021594867E-2</v>
      </c>
      <c r="H281" s="6">
        <v>-1.1262059706525088E-2</v>
      </c>
      <c r="I281" s="6">
        <v>-3.7764442090807204E-2</v>
      </c>
      <c r="J281" s="6">
        <v>-7.200492195694301E-2</v>
      </c>
      <c r="K281" s="6">
        <v>-5.1768881795336797E-3</v>
      </c>
      <c r="L281" s="6">
        <v>-5.2900756713797119E-2</v>
      </c>
      <c r="M281" s="6">
        <v>-0.20036377187757515</v>
      </c>
      <c r="N281" s="6">
        <v>-0.11267598798144189</v>
      </c>
      <c r="O281" s="6">
        <v>-0.15230240575661391</v>
      </c>
      <c r="P281" s="6">
        <v>-0.12246226352687362</v>
      </c>
      <c r="Q281" s="6">
        <v>-9.594953681564633E-2</v>
      </c>
      <c r="S281" s="6">
        <f t="shared" si="0"/>
        <v>-5.1638433228663981E-3</v>
      </c>
      <c r="T281" s="6">
        <f t="shared" si="1"/>
        <v>-5.6884108556794599E-2</v>
      </c>
      <c r="U281" s="6">
        <f t="shared" si="2"/>
        <v>-2.2488740872004868E-2</v>
      </c>
      <c r="V281" s="6">
        <f t="shared" si="3"/>
        <v>-4.0136798551419779E-2</v>
      </c>
      <c r="W281" s="6">
        <f t="shared" si="4"/>
        <v>-1.2118837519135877E-2</v>
      </c>
      <c r="X281" s="6">
        <f t="shared" si="5"/>
        <v>-3.9244081812036834E-2</v>
      </c>
      <c r="Y281" s="6">
        <f t="shared" si="6"/>
        <v>-7.5870509267138939E-2</v>
      </c>
      <c r="Z281" s="6">
        <f t="shared" si="7"/>
        <v>2.961993356296517E-3</v>
      </c>
      <c r="AA281" s="6">
        <f t="shared" si="8"/>
        <v>-5.8169442056330074E-2</v>
      </c>
      <c r="AB281" s="6">
        <f t="shared" si="9"/>
        <v>-0.2026178952488156</v>
      </c>
      <c r="AC281" s="6">
        <f t="shared" si="10"/>
        <v>-0.11683474174128729</v>
      </c>
      <c r="AD281" s="6">
        <f t="shared" si="11"/>
        <v>-0.16457975743405498</v>
      </c>
      <c r="AE281" s="6">
        <f t="shared" si="12"/>
        <v>-0.11939119687854736</v>
      </c>
      <c r="AF281" s="6">
        <f t="shared" si="13"/>
        <v>-9.2421835491200782E-2</v>
      </c>
    </row>
    <row r="282" spans="4:32" x14ac:dyDescent="0.3">
      <c r="D282" s="6">
        <v>-4.7153211796885024E-2</v>
      </c>
      <c r="E282" s="6">
        <v>-9.3295404105983568E-2</v>
      </c>
      <c r="F282" s="6">
        <v>-6.5193403823948184E-2</v>
      </c>
      <c r="G282" s="6">
        <v>-6.0400689890804091E-2</v>
      </c>
      <c r="H282" s="6">
        <v>-2.9347478632018233E-2</v>
      </c>
      <c r="I282" s="6">
        <v>-5.5631861531233492E-2</v>
      </c>
      <c r="J282" s="6">
        <v>-3.748846822618597E-2</v>
      </c>
      <c r="K282" s="6">
        <v>-8.0114797930569429E-2</v>
      </c>
      <c r="L282" s="6">
        <v>2.0983422845142461E-2</v>
      </c>
      <c r="M282" s="6">
        <v>-0.1040711021622388</v>
      </c>
      <c r="N282" s="6">
        <v>-1.4933425631591359E-2</v>
      </c>
      <c r="O282" s="6">
        <v>-6.9328667326238352E-2</v>
      </c>
      <c r="P282" s="6">
        <v>-8.1887519103626905E-2</v>
      </c>
      <c r="Q282" s="6">
        <v>-0.20065952857866082</v>
      </c>
      <c r="S282" s="6">
        <f t="shared" si="0"/>
        <v>-4.8941229784694958E-2</v>
      </c>
      <c r="T282" s="6">
        <f t="shared" si="1"/>
        <v>-0.10312488060242807</v>
      </c>
      <c r="U282" s="6">
        <f t="shared" si="2"/>
        <v>-6.7752757970157909E-2</v>
      </c>
      <c r="V282" s="6">
        <f t="shared" si="3"/>
        <v>-6.31100382262752E-2</v>
      </c>
      <c r="W282" s="6">
        <f t="shared" si="4"/>
        <v>-3.0204256444629023E-2</v>
      </c>
      <c r="X282" s="6">
        <f t="shared" si="5"/>
        <v>-5.7111501252463122E-2</v>
      </c>
      <c r="Y282" s="6">
        <f t="shared" si="6"/>
        <v>-4.1354055536381898E-2</v>
      </c>
      <c r="Z282" s="6">
        <f t="shared" si="7"/>
        <v>-7.1975916394739228E-2</v>
      </c>
      <c r="AA282" s="6">
        <f t="shared" si="8"/>
        <v>1.5714737502609509E-2</v>
      </c>
      <c r="AB282" s="6">
        <f t="shared" si="9"/>
        <v>-0.10632522553347926</v>
      </c>
      <c r="AC282" s="6">
        <f t="shared" si="10"/>
        <v>-1.9092179391436752E-2</v>
      </c>
      <c r="AD282" s="6">
        <f t="shared" si="11"/>
        <v>-8.1606019003679434E-2</v>
      </c>
      <c r="AE282" s="6">
        <f t="shared" si="12"/>
        <v>-7.8816452455300653E-2</v>
      </c>
      <c r="AF282" s="6">
        <f t="shared" si="13"/>
        <v>-0.19713182725421527</v>
      </c>
    </row>
    <row r="283" spans="4:32" x14ac:dyDescent="0.3">
      <c r="D283" s="6">
        <v>-4.8909349856288961E-2</v>
      </c>
      <c r="E283" s="6">
        <v>-0.17496858248869585</v>
      </c>
      <c r="F283" s="6">
        <v>-4.5910953013130092E-2</v>
      </c>
      <c r="G283" s="6">
        <v>-2.2825135009119372E-2</v>
      </c>
      <c r="H283" s="6">
        <v>-6.407349685422993E-2</v>
      </c>
      <c r="I283" s="6">
        <v>-2.5092310049581686E-2</v>
      </c>
      <c r="J283" s="6">
        <v>-9.0655696933066143E-3</v>
      </c>
      <c r="K283" s="6">
        <v>5.0261834780888297E-2</v>
      </c>
      <c r="L283" s="6">
        <v>-0.12063325939495238</v>
      </c>
      <c r="M283" s="6">
        <v>-2.2425182158053211E-2</v>
      </c>
      <c r="N283" s="6">
        <v>1.6311310796199071E-2</v>
      </c>
      <c r="O283" s="6">
        <v>-7.0433275048920302E-2</v>
      </c>
      <c r="P283" s="6">
        <v>-3.4699334084984108E-2</v>
      </c>
      <c r="Q283" s="6">
        <v>-7.6449200942689671E-3</v>
      </c>
      <c r="S283" s="6">
        <f t="shared" si="0"/>
        <v>-5.0697367844098895E-2</v>
      </c>
      <c r="T283" s="6">
        <f t="shared" si="1"/>
        <v>-0.18479805898514035</v>
      </c>
      <c r="U283" s="6">
        <f t="shared" si="2"/>
        <v>-4.8470307159339816E-2</v>
      </c>
      <c r="V283" s="6">
        <f t="shared" si="3"/>
        <v>-2.5534483344590478E-2</v>
      </c>
      <c r="W283" s="6">
        <f t="shared" si="4"/>
        <v>-6.4930274666840718E-2</v>
      </c>
      <c r="X283" s="6">
        <f t="shared" si="5"/>
        <v>-2.6571949770811319E-2</v>
      </c>
      <c r="Y283" s="6">
        <f t="shared" si="6"/>
        <v>-1.2931157003502544E-2</v>
      </c>
      <c r="Z283" s="6">
        <f t="shared" si="7"/>
        <v>5.840071631671849E-2</v>
      </c>
      <c r="AA283" s="6">
        <f t="shared" si="8"/>
        <v>-0.12590194473748534</v>
      </c>
      <c r="AB283" s="6">
        <f t="shared" si="9"/>
        <v>-2.4679305529293656E-2</v>
      </c>
      <c r="AC283" s="6">
        <f t="shared" si="10"/>
        <v>1.2152557036353678E-2</v>
      </c>
      <c r="AD283" s="6">
        <f t="shared" si="11"/>
        <v>-8.2710626726361383E-2</v>
      </c>
      <c r="AE283" s="6">
        <f t="shared" si="12"/>
        <v>-3.162826743665785E-2</v>
      </c>
      <c r="AF283" s="6">
        <f t="shared" si="13"/>
        <v>-4.1172187698234157E-3</v>
      </c>
    </row>
    <row r="284" spans="4:32" x14ac:dyDescent="0.3">
      <c r="D284" s="6">
        <v>9.9624043835097129E-3</v>
      </c>
      <c r="E284" s="6">
        <v>5.2793999268307738E-2</v>
      </c>
      <c r="F284" s="6">
        <v>3.2278219110643734E-2</v>
      </c>
      <c r="G284" s="6">
        <v>2.5630693661893404E-2</v>
      </c>
      <c r="H284" s="6">
        <v>0.10351580423201734</v>
      </c>
      <c r="I284" s="6">
        <v>4.4182352696185173E-2</v>
      </c>
      <c r="J284" s="6">
        <v>5.3614077330217613E-2</v>
      </c>
      <c r="K284" s="6">
        <v>0.11995931507897897</v>
      </c>
      <c r="L284" s="6">
        <v>0.10143283560625797</v>
      </c>
      <c r="M284" s="6">
        <v>0.2144636359425561</v>
      </c>
      <c r="N284" s="6">
        <v>8.98186778106497E-2</v>
      </c>
      <c r="O284" s="6">
        <v>5.1360859672532844E-2</v>
      </c>
      <c r="P284" s="6">
        <v>8.0893290607129645E-2</v>
      </c>
      <c r="Q284" s="6">
        <v>2.2398586477001318E-2</v>
      </c>
      <c r="S284" s="6">
        <f t="shared" si="0"/>
        <v>8.174386395699779E-3</v>
      </c>
      <c r="T284" s="6">
        <f t="shared" si="1"/>
        <v>4.2964522771863245E-2</v>
      </c>
      <c r="U284" s="6">
        <f t="shared" si="2"/>
        <v>2.9718864964434006E-2</v>
      </c>
      <c r="V284" s="6">
        <f t="shared" si="3"/>
        <v>2.2921345326422298E-2</v>
      </c>
      <c r="W284" s="6">
        <f t="shared" si="4"/>
        <v>0.10265902641940655</v>
      </c>
      <c r="X284" s="6">
        <f t="shared" si="5"/>
        <v>4.2702712974955544E-2</v>
      </c>
      <c r="Y284" s="6">
        <f t="shared" si="6"/>
        <v>4.9748490020021685E-2</v>
      </c>
      <c r="Z284" s="6">
        <f t="shared" si="7"/>
        <v>0.12809819661480917</v>
      </c>
      <c r="AA284" s="6">
        <f t="shared" si="8"/>
        <v>9.6164150263725018E-2</v>
      </c>
      <c r="AB284" s="6">
        <f t="shared" si="9"/>
        <v>0.21220951257131565</v>
      </c>
      <c r="AC284" s="6">
        <f t="shared" si="10"/>
        <v>8.5659924050804304E-2</v>
      </c>
      <c r="AD284" s="6">
        <f t="shared" si="11"/>
        <v>3.9083507995091762E-2</v>
      </c>
      <c r="AE284" s="6">
        <f t="shared" si="12"/>
        <v>8.3964357255455896E-2</v>
      </c>
      <c r="AF284" s="6">
        <f t="shared" si="13"/>
        <v>2.592628780144687E-2</v>
      </c>
    </row>
    <row r="285" spans="4:32" x14ac:dyDescent="0.3">
      <c r="D285" s="6">
        <v>-4.3308614980323366E-2</v>
      </c>
      <c r="E285" s="6">
        <v>-8.6316691306951354E-2</v>
      </c>
      <c r="F285" s="6">
        <v>-7.7493588571154556E-2</v>
      </c>
      <c r="G285" s="6">
        <v>-7.3586713475994034E-2</v>
      </c>
      <c r="H285" s="6">
        <v>1.2172015692528458E-2</v>
      </c>
      <c r="I285" s="6">
        <v>-7.5893104042913301E-2</v>
      </c>
      <c r="J285" s="6">
        <v>-0.14519494223672288</v>
      </c>
      <c r="K285" s="6">
        <v>-0.11285448945523428</v>
      </c>
      <c r="L285" s="6">
        <v>-0.10981814066414543</v>
      </c>
      <c r="M285" s="6">
        <v>-8.8777833903561115E-2</v>
      </c>
      <c r="N285" s="6">
        <v>4.7088456181207166E-3</v>
      </c>
      <c r="O285" s="6">
        <v>-1.2845216923566276E-3</v>
      </c>
      <c r="P285" s="6">
        <v>-2.7991620796145775E-3</v>
      </c>
      <c r="Q285" s="6">
        <v>-4.8862788447760166E-2</v>
      </c>
      <c r="S285" s="6">
        <f t="shared" si="0"/>
        <v>-4.50966329681333E-2</v>
      </c>
      <c r="T285" s="6">
        <f t="shared" si="1"/>
        <v>-9.6146167803395854E-2</v>
      </c>
      <c r="U285" s="6">
        <f t="shared" si="2"/>
        <v>-8.0052942717364281E-2</v>
      </c>
      <c r="V285" s="6">
        <f t="shared" si="3"/>
        <v>-7.6296061811465143E-2</v>
      </c>
      <c r="W285" s="6">
        <f t="shared" si="4"/>
        <v>1.1315237879917669E-2</v>
      </c>
      <c r="X285" s="6">
        <f t="shared" si="5"/>
        <v>-7.7372743764142937E-2</v>
      </c>
      <c r="Y285" s="6">
        <f t="shared" si="6"/>
        <v>-0.14906052954691881</v>
      </c>
      <c r="Z285" s="6">
        <f t="shared" si="7"/>
        <v>-0.10471560791940408</v>
      </c>
      <c r="AA285" s="6">
        <f t="shared" si="8"/>
        <v>-0.11508682600667838</v>
      </c>
      <c r="AB285" s="6">
        <f t="shared" si="9"/>
        <v>-9.1031957274801567E-2</v>
      </c>
      <c r="AC285" s="6">
        <f t="shared" si="10"/>
        <v>5.5009185827532316E-4</v>
      </c>
      <c r="AD285" s="6">
        <f t="shared" si="11"/>
        <v>-1.3561873369797705E-2</v>
      </c>
      <c r="AE285" s="6">
        <f t="shared" si="12"/>
        <v>2.7190456871168008E-4</v>
      </c>
      <c r="AF285" s="6">
        <f t="shared" si="13"/>
        <v>-4.5335087123314612E-2</v>
      </c>
    </row>
    <row r="286" spans="4:32" x14ac:dyDescent="0.3">
      <c r="D286" s="6">
        <v>-1.7932459227172246E-3</v>
      </c>
      <c r="E286" s="6">
        <v>-5.2889463920372699E-2</v>
      </c>
      <c r="F286" s="6">
        <v>-2.8261939845677198E-2</v>
      </c>
      <c r="G286" s="6">
        <v>-4.0295220190347876E-2</v>
      </c>
      <c r="H286" s="6">
        <v>-9.6916876146253633E-2</v>
      </c>
      <c r="I286" s="6">
        <v>-8.2217282226221045E-2</v>
      </c>
      <c r="J286" s="6">
        <v>-4.1024238863443793E-2</v>
      </c>
      <c r="K286" s="6">
        <v>-9.071896566487829E-2</v>
      </c>
      <c r="L286" s="6">
        <v>-6.4113684975675808E-2</v>
      </c>
      <c r="M286" s="6">
        <v>-0.17886806749930437</v>
      </c>
      <c r="N286" s="6">
        <v>-0.13779082023139375</v>
      </c>
      <c r="O286" s="6">
        <v>-5.0076337980176203E-2</v>
      </c>
      <c r="P286" s="6">
        <v>-0.17525478437141767</v>
      </c>
      <c r="Q286" s="6">
        <v>-5.5261234390840346E-2</v>
      </c>
      <c r="S286" s="6">
        <f t="shared" si="0"/>
        <v>-3.5812639105271583E-3</v>
      </c>
      <c r="T286" s="6">
        <f t="shared" si="1"/>
        <v>-6.2718940416817193E-2</v>
      </c>
      <c r="U286" s="6">
        <f t="shared" si="2"/>
        <v>-3.0821293991886926E-2</v>
      </c>
      <c r="V286" s="6">
        <f t="shared" si="3"/>
        <v>-4.3004568525818986E-2</v>
      </c>
      <c r="W286" s="6">
        <f t="shared" si="4"/>
        <v>-9.777365395886442E-2</v>
      </c>
      <c r="X286" s="6">
        <f t="shared" si="5"/>
        <v>-8.3696921947450681E-2</v>
      </c>
      <c r="Y286" s="6">
        <f t="shared" si="6"/>
        <v>-4.4889826173639721E-2</v>
      </c>
      <c r="Z286" s="6">
        <f t="shared" si="7"/>
        <v>-8.258008412904809E-2</v>
      </c>
      <c r="AA286" s="6">
        <f t="shared" si="8"/>
        <v>-6.9382370318208764E-2</v>
      </c>
      <c r="AB286" s="6">
        <f t="shared" si="9"/>
        <v>-0.18112219087054482</v>
      </c>
      <c r="AC286" s="6">
        <f t="shared" si="10"/>
        <v>-0.14194957399123914</v>
      </c>
      <c r="AD286" s="6">
        <f t="shared" si="11"/>
        <v>-6.2353689657617284E-2</v>
      </c>
      <c r="AE286" s="6">
        <f t="shared" si="12"/>
        <v>-0.17218371772309141</v>
      </c>
      <c r="AF286" s="6">
        <f t="shared" si="13"/>
        <v>-5.1733533066394791E-2</v>
      </c>
    </row>
    <row r="287" spans="4:32" x14ac:dyDescent="0.3">
      <c r="D287" s="6">
        <v>-8.4795948376163E-2</v>
      </c>
      <c r="E287" s="6">
        <v>-3.0821580040600156E-2</v>
      </c>
      <c r="F287" s="6">
        <v>-2.1325305821549567E-2</v>
      </c>
      <c r="G287" s="6">
        <v>-3.1794436944454781E-2</v>
      </c>
      <c r="H287" s="6">
        <v>-3.7297600747960784E-2</v>
      </c>
      <c r="I287" s="6">
        <v>-6.8789406101607414E-3</v>
      </c>
      <c r="J287" s="6">
        <v>-3.4267542082957812E-2</v>
      </c>
      <c r="K287" s="6">
        <v>-4.9662637687042127E-2</v>
      </c>
      <c r="L287" s="6">
        <v>2.7184945896802107E-2</v>
      </c>
      <c r="M287" s="6">
        <v>4.1313147317420494E-2</v>
      </c>
      <c r="N287" s="6">
        <v>-4.8610453503120349E-2</v>
      </c>
      <c r="O287" s="6">
        <v>9.4080923349595141E-2</v>
      </c>
      <c r="P287" s="6">
        <v>-5.9873401047414454E-2</v>
      </c>
      <c r="Q287" s="6">
        <v>-1.1618612191510393E-2</v>
      </c>
      <c r="S287" s="6">
        <f t="shared" si="0"/>
        <v>-8.6583966363972933E-2</v>
      </c>
      <c r="T287" s="6">
        <f t="shared" si="1"/>
        <v>-4.065105653704465E-2</v>
      </c>
      <c r="U287" s="6">
        <f t="shared" si="2"/>
        <v>-2.3884659967759295E-2</v>
      </c>
      <c r="V287" s="6">
        <f t="shared" si="3"/>
        <v>-3.450378527992589E-2</v>
      </c>
      <c r="W287" s="6">
        <f t="shared" si="4"/>
        <v>-3.8154378560571571E-2</v>
      </c>
      <c r="X287" s="6">
        <f t="shared" si="5"/>
        <v>-8.3585803313903743E-3</v>
      </c>
      <c r="Y287" s="6">
        <f t="shared" si="6"/>
        <v>-3.813312939315374E-2</v>
      </c>
      <c r="Z287" s="6">
        <f t="shared" si="7"/>
        <v>-4.1523756151211927E-2</v>
      </c>
      <c r="AA287" s="6">
        <f t="shared" si="8"/>
        <v>2.1916260554269151E-2</v>
      </c>
      <c r="AB287" s="6">
        <f t="shared" si="9"/>
        <v>3.9059023946180049E-2</v>
      </c>
      <c r="AC287" s="6">
        <f t="shared" si="10"/>
        <v>-5.2769207262965745E-2</v>
      </c>
      <c r="AD287" s="6">
        <f t="shared" si="11"/>
        <v>8.180357167215406E-2</v>
      </c>
      <c r="AE287" s="6">
        <f t="shared" si="12"/>
        <v>-5.6802334399088196E-2</v>
      </c>
      <c r="AF287" s="6">
        <f t="shared" si="13"/>
        <v>-8.0909108670648416E-3</v>
      </c>
    </row>
    <row r="288" spans="4:32" x14ac:dyDescent="0.3">
      <c r="D288" s="6">
        <v>1.3583161874453163E-2</v>
      </c>
      <c r="E288" s="6">
        <v>-4.9545931246833411E-3</v>
      </c>
      <c r="F288" s="6">
        <v>5.737053882651535E-3</v>
      </c>
      <c r="G288" s="6">
        <v>3.1186595774894153E-2</v>
      </c>
      <c r="H288" s="6">
        <v>-0.17318715394540204</v>
      </c>
      <c r="I288" s="6">
        <v>1.3710884499994858E-2</v>
      </c>
      <c r="J288" s="6">
        <v>-1.6572296193059964E-2</v>
      </c>
      <c r="K288" s="6">
        <v>8.2077296371323979E-2</v>
      </c>
      <c r="L288" s="6">
        <v>4.2003263660705663E-2</v>
      </c>
      <c r="M288" s="6">
        <v>3.8182446368680185E-2</v>
      </c>
      <c r="N288" s="6">
        <v>5.7556657381614564E-2</v>
      </c>
      <c r="O288" s="6">
        <v>2.4570036930520837E-3</v>
      </c>
      <c r="P288" s="6">
        <v>-2.3682484643559095E-2</v>
      </c>
      <c r="Q288" s="6">
        <v>3.99573729829946E-2</v>
      </c>
      <c r="S288" s="6">
        <f t="shared" si="0"/>
        <v>1.1795143886643229E-2</v>
      </c>
      <c r="T288" s="6">
        <f t="shared" si="1"/>
        <v>-1.4784069621127837E-2</v>
      </c>
      <c r="U288" s="6">
        <f t="shared" si="2"/>
        <v>3.1776997364418081E-3</v>
      </c>
      <c r="V288" s="6">
        <f t="shared" si="3"/>
        <v>2.8477247439423047E-2</v>
      </c>
      <c r="W288" s="6">
        <f t="shared" si="4"/>
        <v>-0.17404393175801283</v>
      </c>
      <c r="X288" s="6">
        <f t="shared" si="5"/>
        <v>1.2231244778765225E-2</v>
      </c>
      <c r="Y288" s="6">
        <f t="shared" si="6"/>
        <v>-2.0437883503255892E-2</v>
      </c>
      <c r="Z288" s="6">
        <f t="shared" si="7"/>
        <v>9.021617790715418E-2</v>
      </c>
      <c r="AA288" s="6">
        <f t="shared" si="8"/>
        <v>3.6734578318172707E-2</v>
      </c>
      <c r="AB288" s="6">
        <f t="shared" si="9"/>
        <v>3.5928322997439741E-2</v>
      </c>
      <c r="AC288" s="6">
        <f t="shared" si="10"/>
        <v>5.3397903621769167E-2</v>
      </c>
      <c r="AD288" s="6">
        <f t="shared" si="11"/>
        <v>-9.820347984388994E-3</v>
      </c>
      <c r="AE288" s="6">
        <f t="shared" si="12"/>
        <v>-2.0611417995232837E-2</v>
      </c>
      <c r="AF288" s="6">
        <f t="shared" si="13"/>
        <v>4.3485074307440155E-2</v>
      </c>
    </row>
    <row r="289" spans="4:32" x14ac:dyDescent="0.3">
      <c r="D289" s="6">
        <v>-1.2281549137357642E-2</v>
      </c>
      <c r="E289" s="6">
        <v>-7.2962423756317077E-2</v>
      </c>
      <c r="F289" s="6">
        <v>-2.4547472850429176E-2</v>
      </c>
      <c r="G289" s="6">
        <v>-2.1717714871879904E-2</v>
      </c>
      <c r="H289" s="6">
        <v>-8.4524426087893872E-2</v>
      </c>
      <c r="I289" s="6">
        <v>-6.9204885181335926E-2</v>
      </c>
      <c r="J289" s="6">
        <v>-5.1431341027813077E-2</v>
      </c>
      <c r="K289" s="6">
        <v>-6.4913826077236322E-2</v>
      </c>
      <c r="L289" s="6">
        <v>-0.16332693288330816</v>
      </c>
      <c r="M289" s="6">
        <v>-5.2236394111649549E-2</v>
      </c>
      <c r="N289" s="6">
        <v>-0.12749337037327241</v>
      </c>
      <c r="O289" s="6">
        <v>-7.912288544096914E-2</v>
      </c>
      <c r="P289" s="6">
        <v>-0.11126835463518972</v>
      </c>
      <c r="Q289" s="6">
        <v>-5.7780712909296324E-2</v>
      </c>
      <c r="S289" s="6">
        <f t="shared" si="0"/>
        <v>-1.4069567125167576E-2</v>
      </c>
      <c r="T289" s="6">
        <f t="shared" si="1"/>
        <v>-8.2791900252761577E-2</v>
      </c>
      <c r="U289" s="6">
        <f t="shared" si="2"/>
        <v>-2.7106826996638904E-2</v>
      </c>
      <c r="V289" s="6">
        <f t="shared" si="3"/>
        <v>-2.442706320735101E-2</v>
      </c>
      <c r="W289" s="6">
        <f t="shared" si="4"/>
        <v>-8.538120390050466E-2</v>
      </c>
      <c r="X289" s="6">
        <f t="shared" si="5"/>
        <v>-7.0684524902565563E-2</v>
      </c>
      <c r="Y289" s="6">
        <f t="shared" si="6"/>
        <v>-5.5296928338009005E-2</v>
      </c>
      <c r="Z289" s="6">
        <f t="shared" si="7"/>
        <v>-5.6774944541406122E-2</v>
      </c>
      <c r="AA289" s="6">
        <f t="shared" si="8"/>
        <v>-0.1685956182258411</v>
      </c>
      <c r="AB289" s="6">
        <f t="shared" si="9"/>
        <v>-5.4490517482889994E-2</v>
      </c>
      <c r="AC289" s="6">
        <f t="shared" si="10"/>
        <v>-0.1316521241331178</v>
      </c>
      <c r="AD289" s="6">
        <f t="shared" si="11"/>
        <v>-9.1400237118410221E-2</v>
      </c>
      <c r="AE289" s="6">
        <f t="shared" si="12"/>
        <v>-0.10819728798686347</v>
      </c>
      <c r="AF289" s="6">
        <f t="shared" si="13"/>
        <v>-5.4253011584850769E-2</v>
      </c>
    </row>
    <row r="290" spans="4:32" x14ac:dyDescent="0.3">
      <c r="D290" s="6">
        <v>6.2264112667405953E-2</v>
      </c>
      <c r="E290" s="6">
        <v>0.10473699094159325</v>
      </c>
      <c r="F290" s="6">
        <v>5.7634713100968883E-2</v>
      </c>
      <c r="G290" s="6">
        <v>4.6242241124802956E-2</v>
      </c>
      <c r="H290" s="6">
        <v>4.5068781498540281E-2</v>
      </c>
      <c r="I290" s="6">
        <v>0.10991514161554809</v>
      </c>
      <c r="J290" s="6">
        <v>2.5315835751357131E-2</v>
      </c>
      <c r="K290" s="6">
        <v>-0.25260225846533485</v>
      </c>
      <c r="L290" s="6">
        <v>6.8435562270986294E-2</v>
      </c>
      <c r="M290" s="6">
        <v>4.2939581012512058E-2</v>
      </c>
      <c r="N290" s="6">
        <v>0.12571052090834217</v>
      </c>
      <c r="O290" s="6">
        <v>9.6154927335401319E-2</v>
      </c>
      <c r="P290" s="6">
        <v>1.7500195182680162E-2</v>
      </c>
      <c r="Q290" s="6">
        <v>0.11351640359180919</v>
      </c>
      <c r="S290" s="6">
        <f t="shared" si="0"/>
        <v>6.0476094679596019E-2</v>
      </c>
      <c r="T290" s="6">
        <f t="shared" si="1"/>
        <v>9.490751444514875E-2</v>
      </c>
      <c r="U290" s="6">
        <f t="shared" si="2"/>
        <v>5.5075358954759158E-2</v>
      </c>
      <c r="V290" s="6">
        <f t="shared" si="3"/>
        <v>4.3532892789331847E-2</v>
      </c>
      <c r="W290" s="6">
        <f t="shared" si="4"/>
        <v>4.4212003685929493E-2</v>
      </c>
      <c r="X290" s="6">
        <f t="shared" si="5"/>
        <v>0.10843550189431846</v>
      </c>
      <c r="Y290" s="6">
        <f t="shared" si="6"/>
        <v>2.1450248441161203E-2</v>
      </c>
      <c r="Z290" s="6">
        <f t="shared" si="7"/>
        <v>-0.24446337692950465</v>
      </c>
      <c r="AA290" s="6">
        <f t="shared" si="8"/>
        <v>6.3166876928453339E-2</v>
      </c>
      <c r="AB290" s="6">
        <f t="shared" si="9"/>
        <v>4.0685457641271613E-2</v>
      </c>
      <c r="AC290" s="6">
        <f t="shared" si="10"/>
        <v>0.12155176714849678</v>
      </c>
      <c r="AD290" s="6">
        <f t="shared" si="11"/>
        <v>8.3877575657960238E-2</v>
      </c>
      <c r="AE290" s="6">
        <f t="shared" si="12"/>
        <v>2.057126183100642E-2</v>
      </c>
      <c r="AF290" s="6">
        <f t="shared" si="13"/>
        <v>0.11704410491625473</v>
      </c>
    </row>
    <row r="291" spans="4:32" x14ac:dyDescent="0.3">
      <c r="D291" s="6">
        <v>5.5920313410769175E-2</v>
      </c>
      <c r="E291" s="6">
        <v>0.10351438598472165</v>
      </c>
      <c r="F291" s="6">
        <v>-2.6152665227702435E-2</v>
      </c>
      <c r="G291" s="6">
        <v>-4.9042346661886393E-2</v>
      </c>
      <c r="H291" s="6">
        <v>6.3593754896924801E-2</v>
      </c>
      <c r="I291" s="6">
        <v>-0.143107290449664</v>
      </c>
      <c r="J291" s="6">
        <v>-0.27047335628325014</v>
      </c>
      <c r="K291" s="6">
        <v>0.26157092844809521</v>
      </c>
      <c r="L291" s="6">
        <v>4.5824812652716998E-2</v>
      </c>
      <c r="M291" s="6">
        <v>8.2242062644521066E-2</v>
      </c>
      <c r="N291" s="6">
        <v>-1.8732536236335327E-2</v>
      </c>
      <c r="O291" s="6">
        <v>4.1352613668760842E-2</v>
      </c>
      <c r="P291" s="6">
        <v>8.4099197871135359E-2</v>
      </c>
      <c r="Q291" s="6">
        <v>3.9111468437885565E-2</v>
      </c>
      <c r="S291" s="6">
        <f t="shared" si="0"/>
        <v>5.4132295422959241E-2</v>
      </c>
      <c r="T291" s="6">
        <f t="shared" si="1"/>
        <v>9.3684909488277152E-2</v>
      </c>
      <c r="U291" s="6">
        <f t="shared" si="2"/>
        <v>-2.8712019373912163E-2</v>
      </c>
      <c r="V291" s="6">
        <f t="shared" si="3"/>
        <v>-5.1751694997357503E-2</v>
      </c>
      <c r="W291" s="6">
        <f t="shared" si="4"/>
        <v>6.2736977084314013E-2</v>
      </c>
      <c r="X291" s="6">
        <f t="shared" si="5"/>
        <v>-0.14458693017089363</v>
      </c>
      <c r="Y291" s="6">
        <f t="shared" si="6"/>
        <v>-0.27433894359344607</v>
      </c>
      <c r="Z291" s="6">
        <f t="shared" si="7"/>
        <v>0.26970980998392541</v>
      </c>
      <c r="AA291" s="6">
        <f t="shared" si="8"/>
        <v>4.0556127310184042E-2</v>
      </c>
      <c r="AB291" s="6">
        <f t="shared" si="9"/>
        <v>7.9987939273280614E-2</v>
      </c>
      <c r="AC291" s="6">
        <f t="shared" si="10"/>
        <v>-2.289128999618072E-2</v>
      </c>
      <c r="AD291" s="6">
        <f t="shared" si="11"/>
        <v>2.9075261991319764E-2</v>
      </c>
      <c r="AE291" s="6">
        <f t="shared" si="12"/>
        <v>8.717026451946161E-2</v>
      </c>
      <c r="AF291" s="6">
        <f t="shared" si="13"/>
        <v>4.2639169762331119E-2</v>
      </c>
    </row>
    <row r="292" spans="4:32" x14ac:dyDescent="0.3">
      <c r="D292" s="6">
        <v>-0.11818442607817516</v>
      </c>
      <c r="E292" s="6">
        <v>2.3580942588906879E-2</v>
      </c>
      <c r="F292" s="6">
        <v>-6.3354953659650548E-2</v>
      </c>
      <c r="G292" s="6">
        <v>-0.10629562923835821</v>
      </c>
      <c r="H292" s="6">
        <v>-9.6636982951213632E-2</v>
      </c>
      <c r="I292" s="6">
        <v>-0.12806196705502559</v>
      </c>
      <c r="J292" s="6">
        <v>-8.8588866907161223E-2</v>
      </c>
      <c r="K292" s="6">
        <v>-9.7892877177163926E-2</v>
      </c>
      <c r="L292" s="6">
        <v>-0.24914315880533267</v>
      </c>
      <c r="M292" s="6">
        <v>-0.20315593581050065</v>
      </c>
      <c r="N292" s="6">
        <v>3.1850965812354221E-2</v>
      </c>
      <c r="O292" s="6">
        <v>-8.5749547169207768E-2</v>
      </c>
      <c r="P292" s="6">
        <v>-9.5328511778037181E-2</v>
      </c>
      <c r="Q292" s="6">
        <v>-8.3552004955294717E-2</v>
      </c>
      <c r="S292" s="6">
        <f t="shared" si="0"/>
        <v>-0.11997244406598509</v>
      </c>
      <c r="T292" s="6">
        <f t="shared" si="1"/>
        <v>1.3751466092462382E-2</v>
      </c>
      <c r="U292" s="6">
        <f t="shared" si="2"/>
        <v>-6.5914307805860273E-2</v>
      </c>
      <c r="V292" s="6">
        <f t="shared" si="3"/>
        <v>-0.10900497757382932</v>
      </c>
      <c r="W292" s="6">
        <f t="shared" si="4"/>
        <v>-9.7493760763824419E-2</v>
      </c>
      <c r="X292" s="6">
        <f t="shared" si="5"/>
        <v>-0.12954160677625523</v>
      </c>
      <c r="Y292" s="6">
        <f t="shared" si="6"/>
        <v>-9.2454454217357152E-2</v>
      </c>
      <c r="Z292" s="6">
        <f t="shared" si="7"/>
        <v>-8.9753995641333725E-2</v>
      </c>
      <c r="AA292" s="6">
        <f t="shared" si="8"/>
        <v>-0.25441184414786561</v>
      </c>
      <c r="AB292" s="6">
        <f t="shared" si="9"/>
        <v>-0.2054100591817411</v>
      </c>
      <c r="AC292" s="6">
        <f t="shared" si="10"/>
        <v>2.7692212052508828E-2</v>
      </c>
      <c r="AD292" s="6">
        <f t="shared" si="11"/>
        <v>-9.8026898846648849E-2</v>
      </c>
      <c r="AE292" s="6">
        <f t="shared" si="12"/>
        <v>-9.225744512971093E-2</v>
      </c>
      <c r="AF292" s="6">
        <f t="shared" si="13"/>
        <v>-8.002430363084917E-2</v>
      </c>
    </row>
    <row r="293" spans="4:32" x14ac:dyDescent="0.3">
      <c r="D293" s="6">
        <v>7.8629767354917654E-2</v>
      </c>
      <c r="E293" s="6">
        <v>0.14258281871679993</v>
      </c>
      <c r="F293" s="6">
        <v>0.10990772948513354</v>
      </c>
      <c r="G293" s="6">
        <v>0.10754108866245456</v>
      </c>
      <c r="H293" s="6">
        <v>-5.7025164614085334E-2</v>
      </c>
      <c r="I293" s="6">
        <v>0.10239944222492851</v>
      </c>
      <c r="J293" s="6">
        <v>0.21901564681803126</v>
      </c>
      <c r="K293" s="6">
        <v>0.23661908667879053</v>
      </c>
      <c r="L293" s="6">
        <v>0.11509659705860678</v>
      </c>
      <c r="M293" s="6">
        <v>-2.3392879574705462E-2</v>
      </c>
      <c r="N293" s="6">
        <v>2.6417942311621426E-2</v>
      </c>
      <c r="O293" s="6">
        <v>5.8768438338100214E-2</v>
      </c>
      <c r="P293" s="6">
        <v>0.21199064244112314</v>
      </c>
      <c r="Q293" s="6">
        <v>0.13120490844217911</v>
      </c>
      <c r="S293" s="6">
        <f t="shared" si="0"/>
        <v>7.684174936710772E-2</v>
      </c>
      <c r="T293" s="6">
        <f t="shared" si="1"/>
        <v>0.13275334222035542</v>
      </c>
      <c r="U293" s="6">
        <f t="shared" si="2"/>
        <v>0.10734837533892382</v>
      </c>
      <c r="V293" s="6">
        <f t="shared" si="3"/>
        <v>0.10483174032698345</v>
      </c>
      <c r="W293" s="6">
        <f t="shared" si="4"/>
        <v>-5.7881942426696122E-2</v>
      </c>
      <c r="X293" s="6">
        <f t="shared" si="5"/>
        <v>0.10091980250369888</v>
      </c>
      <c r="Y293" s="6">
        <f t="shared" si="6"/>
        <v>0.21515005950783533</v>
      </c>
      <c r="Z293" s="6">
        <f t="shared" si="7"/>
        <v>0.24475796821462073</v>
      </c>
      <c r="AA293" s="6">
        <f t="shared" si="8"/>
        <v>0.10982791171607383</v>
      </c>
      <c r="AB293" s="6">
        <f t="shared" si="9"/>
        <v>-2.5647002945945907E-2</v>
      </c>
      <c r="AC293" s="6">
        <f t="shared" si="10"/>
        <v>2.2259188551776034E-2</v>
      </c>
      <c r="AD293" s="6">
        <f t="shared" si="11"/>
        <v>4.6491086660659139E-2</v>
      </c>
      <c r="AE293" s="6">
        <f t="shared" si="12"/>
        <v>0.21506170908944941</v>
      </c>
      <c r="AF293" s="6">
        <f t="shared" si="13"/>
        <v>0.13473260976662466</v>
      </c>
    </row>
    <row r="294" spans="4:32" x14ac:dyDescent="0.3">
      <c r="D294" s="6">
        <v>1.0565233331160884E-2</v>
      </c>
      <c r="E294" s="6">
        <v>-5.7987257650349282E-2</v>
      </c>
      <c r="F294" s="6">
        <v>-2.412420146617025E-2</v>
      </c>
      <c r="G294" s="6">
        <v>1.0524240760960951E-2</v>
      </c>
      <c r="H294" s="6">
        <v>-8.3949736552239945E-2</v>
      </c>
      <c r="I294" s="6">
        <v>-6.8256108393790413E-2</v>
      </c>
      <c r="J294" s="6">
        <v>-8.6195939547612441E-3</v>
      </c>
      <c r="K294" s="6">
        <v>-9.6001264835285413E-2</v>
      </c>
      <c r="L294" s="6">
        <v>-2.9281451103796999E-2</v>
      </c>
      <c r="M294" s="6">
        <v>-0.23866541334575225</v>
      </c>
      <c r="N294" s="6">
        <v>-6.5393452789857262E-3</v>
      </c>
      <c r="O294" s="6">
        <v>-0.12929373902474633</v>
      </c>
      <c r="P294" s="6">
        <v>-9.6697765220611909E-2</v>
      </c>
      <c r="Q294" s="6">
        <v>-7.8647244587141049E-2</v>
      </c>
      <c r="S294" s="6">
        <f t="shared" si="0"/>
        <v>8.7772153433509498E-3</v>
      </c>
      <c r="T294" s="6">
        <f t="shared" si="1"/>
        <v>-6.7816734146793775E-2</v>
      </c>
      <c r="U294" s="6">
        <f t="shared" si="2"/>
        <v>-2.6683555612379978E-2</v>
      </c>
      <c r="V294" s="6">
        <f t="shared" si="3"/>
        <v>7.8148924254898451E-3</v>
      </c>
      <c r="W294" s="6">
        <f t="shared" si="4"/>
        <v>-8.4806514364850732E-2</v>
      </c>
      <c r="X294" s="6">
        <f t="shared" si="5"/>
        <v>-6.9735748115020049E-2</v>
      </c>
      <c r="Y294" s="6">
        <f t="shared" si="6"/>
        <v>-1.2485181264957174E-2</v>
      </c>
      <c r="Z294" s="6">
        <f t="shared" si="7"/>
        <v>-8.7862383299455213E-2</v>
      </c>
      <c r="AA294" s="6">
        <f t="shared" si="8"/>
        <v>-3.4550136446329954E-2</v>
      </c>
      <c r="AB294" s="6">
        <f t="shared" si="9"/>
        <v>-0.2409195367169927</v>
      </c>
      <c r="AC294" s="6">
        <f t="shared" si="10"/>
        <v>-1.069809903883112E-2</v>
      </c>
      <c r="AD294" s="6">
        <f t="shared" si="11"/>
        <v>-0.1415710907021874</v>
      </c>
      <c r="AE294" s="6">
        <f t="shared" si="12"/>
        <v>-9.3626698572285658E-2</v>
      </c>
      <c r="AF294" s="6">
        <f t="shared" si="13"/>
        <v>-7.5119543262695501E-2</v>
      </c>
    </row>
    <row r="295" spans="4:32" x14ac:dyDescent="0.3">
      <c r="D295" s="6">
        <v>-2.1243283817862266E-2</v>
      </c>
      <c r="E295" s="6">
        <v>5.4306271898921975E-2</v>
      </c>
      <c r="F295" s="6">
        <v>2.5660796996978985E-2</v>
      </c>
      <c r="G295" s="6">
        <v>3.0786597811011633E-4</v>
      </c>
      <c r="H295" s="6">
        <v>1.4708982997557749E-2</v>
      </c>
      <c r="I295" s="6">
        <v>-7.7846300882388883E-3</v>
      </c>
      <c r="J295" s="6">
        <v>-5.7281101757108216E-3</v>
      </c>
      <c r="K295" s="6">
        <v>-3.2853196187187114E-2</v>
      </c>
      <c r="L295" s="6">
        <v>7.597513609450845E-3</v>
      </c>
      <c r="M295" s="6">
        <v>-2.1890532364955126E-2</v>
      </c>
      <c r="N295" s="6">
        <v>-1.6011480242910804E-2</v>
      </c>
      <c r="O295" s="6">
        <v>-1.4996872751515691E-2</v>
      </c>
      <c r="P295" s="6">
        <v>7.6971650047807484E-3</v>
      </c>
      <c r="Q295" s="6">
        <v>-7.9512062927733634E-2</v>
      </c>
      <c r="S295" s="6">
        <f t="shared" si="0"/>
        <v>-2.30313018056722E-2</v>
      </c>
      <c r="T295" s="6">
        <f t="shared" si="1"/>
        <v>4.4476795402477481E-2</v>
      </c>
      <c r="U295" s="6">
        <f t="shared" si="2"/>
        <v>2.3101442850769257E-2</v>
      </c>
      <c r="V295" s="6">
        <f t="shared" si="3"/>
        <v>-2.4014823573609901E-3</v>
      </c>
      <c r="W295" s="6">
        <f t="shared" si="4"/>
        <v>1.385220518494696E-2</v>
      </c>
      <c r="X295" s="6">
        <f t="shared" si="5"/>
        <v>-9.2642698094685203E-3</v>
      </c>
      <c r="Y295" s="6">
        <f t="shared" si="6"/>
        <v>-9.5936974859067506E-3</v>
      </c>
      <c r="Z295" s="6">
        <f t="shared" si="7"/>
        <v>-2.4714314651356917E-2</v>
      </c>
      <c r="AA295" s="6">
        <f t="shared" si="8"/>
        <v>2.3288282669178912E-3</v>
      </c>
      <c r="AB295" s="6">
        <f t="shared" si="9"/>
        <v>-2.4144655736195571E-2</v>
      </c>
      <c r="AC295" s="6">
        <f t="shared" si="10"/>
        <v>-2.0170234002756197E-2</v>
      </c>
      <c r="AD295" s="6">
        <f t="shared" si="11"/>
        <v>-2.7274224428956769E-2</v>
      </c>
      <c r="AE295" s="6">
        <f t="shared" si="12"/>
        <v>1.0768231653107006E-2</v>
      </c>
      <c r="AF295" s="6">
        <f t="shared" si="13"/>
        <v>-7.5984361603288086E-2</v>
      </c>
    </row>
    <row r="296" spans="4:32" x14ac:dyDescent="0.3">
      <c r="D296" s="6">
        <v>-2.0275757148998643E-3</v>
      </c>
      <c r="E296" s="6">
        <v>3.680656793686464E-2</v>
      </c>
      <c r="F296" s="6">
        <v>2.9971796303320166E-2</v>
      </c>
      <c r="G296" s="6">
        <v>3.0118496874024226E-2</v>
      </c>
      <c r="H296" s="6">
        <v>6.3560519260914577E-2</v>
      </c>
      <c r="I296" s="6">
        <v>7.6783996743714535E-3</v>
      </c>
      <c r="J296" s="6">
        <v>0.10294309105850585</v>
      </c>
      <c r="K296" s="6">
        <v>3.0950246041101061E-2</v>
      </c>
      <c r="L296" s="6">
        <v>-0.12171793610108074</v>
      </c>
      <c r="M296" s="6">
        <v>7.3769161376298117E-2</v>
      </c>
      <c r="N296" s="6">
        <v>8.7336799687546315E-3</v>
      </c>
      <c r="O296" s="6">
        <v>5.0881121543905367E-2</v>
      </c>
      <c r="P296" s="6">
        <v>7.9658567183149315E-2</v>
      </c>
      <c r="Q296" s="6">
        <v>-1.4561742844532577E-2</v>
      </c>
      <c r="S296" s="6">
        <f t="shared" si="0"/>
        <v>-3.8155937027097983E-3</v>
      </c>
      <c r="T296" s="6">
        <f t="shared" si="1"/>
        <v>2.6977091440420143E-2</v>
      </c>
      <c r="U296" s="6">
        <f t="shared" si="2"/>
        <v>2.7412442157110438E-2</v>
      </c>
      <c r="V296" s="6">
        <f t="shared" si="3"/>
        <v>2.740914853855312E-2</v>
      </c>
      <c r="W296" s="6">
        <f t="shared" si="4"/>
        <v>6.270374144830379E-2</v>
      </c>
      <c r="X296" s="6">
        <f t="shared" si="5"/>
        <v>6.1987599531418214E-3</v>
      </c>
      <c r="Y296" s="6">
        <f t="shared" si="6"/>
        <v>9.9077503748309925E-2</v>
      </c>
      <c r="Z296" s="6">
        <f t="shared" si="7"/>
        <v>3.9089127576931254E-2</v>
      </c>
      <c r="AA296" s="6">
        <f t="shared" si="8"/>
        <v>-0.1269866214436137</v>
      </c>
      <c r="AB296" s="6">
        <f t="shared" si="9"/>
        <v>7.1515038005057666E-2</v>
      </c>
      <c r="AC296" s="6">
        <f t="shared" si="10"/>
        <v>4.574926208909238E-3</v>
      </c>
      <c r="AD296" s="6">
        <f t="shared" si="11"/>
        <v>3.8603769866464285E-2</v>
      </c>
      <c r="AE296" s="6">
        <f t="shared" si="12"/>
        <v>8.2729633831475566E-2</v>
      </c>
      <c r="AF296" s="6">
        <f t="shared" si="13"/>
        <v>-1.1034041520087025E-2</v>
      </c>
    </row>
    <row r="297" spans="4:32" x14ac:dyDescent="0.3">
      <c r="D297" s="6">
        <v>-3.8974481377585586E-2</v>
      </c>
      <c r="E297" s="6">
        <v>7.0838548884050419E-3</v>
      </c>
      <c r="F297" s="6">
        <v>-3.8370944906994185E-2</v>
      </c>
      <c r="G297" s="6">
        <v>-7.8790670877543018E-2</v>
      </c>
      <c r="H297" s="6">
        <v>-8.4616255552753511E-2</v>
      </c>
      <c r="I297" s="6">
        <v>-5.5029710826576372E-2</v>
      </c>
      <c r="J297" s="6">
        <v>-6.3432430784024926E-2</v>
      </c>
      <c r="K297" s="6">
        <v>-0.10536051565782641</v>
      </c>
      <c r="L297" s="6">
        <v>-7.4654026921689667E-2</v>
      </c>
      <c r="M297" s="6">
        <v>-0.16944074342525048</v>
      </c>
      <c r="N297" s="6">
        <v>-7.9608019555411635E-2</v>
      </c>
      <c r="O297" s="6">
        <v>-7.4509739937350397E-2</v>
      </c>
      <c r="P297" s="6">
        <v>-0.16020663315160077</v>
      </c>
      <c r="Q297" s="6">
        <v>-2.9359656415009736E-2</v>
      </c>
      <c r="S297" s="6">
        <f t="shared" si="0"/>
        <v>-4.076249936539552E-2</v>
      </c>
      <c r="T297" s="6">
        <f t="shared" si="1"/>
        <v>-2.7456216080394549E-3</v>
      </c>
      <c r="U297" s="6">
        <f t="shared" si="2"/>
        <v>-4.093029905320391E-2</v>
      </c>
      <c r="V297" s="6">
        <f t="shared" si="3"/>
        <v>-8.1500019213014127E-2</v>
      </c>
      <c r="W297" s="6">
        <f t="shared" si="4"/>
        <v>-8.5473033365364298E-2</v>
      </c>
      <c r="X297" s="6">
        <f t="shared" si="5"/>
        <v>-5.6509350547806002E-2</v>
      </c>
      <c r="Y297" s="6">
        <f t="shared" si="6"/>
        <v>-6.7298018094220854E-2</v>
      </c>
      <c r="Z297" s="6">
        <f t="shared" si="7"/>
        <v>-9.7221634121996206E-2</v>
      </c>
      <c r="AA297" s="6">
        <f t="shared" si="8"/>
        <v>-7.9922712264222623E-2</v>
      </c>
      <c r="AB297" s="6">
        <f t="shared" si="9"/>
        <v>-0.17169486679649093</v>
      </c>
      <c r="AC297" s="6">
        <f t="shared" si="10"/>
        <v>-8.3766773315257032E-2</v>
      </c>
      <c r="AD297" s="6">
        <f t="shared" si="11"/>
        <v>-8.6787091614791478E-2</v>
      </c>
      <c r="AE297" s="6">
        <f t="shared" si="12"/>
        <v>-0.15713556650327451</v>
      </c>
      <c r="AF297" s="6">
        <f t="shared" si="13"/>
        <v>-2.5831955090564185E-2</v>
      </c>
    </row>
    <row r="298" spans="4:32" x14ac:dyDescent="0.3">
      <c r="D298" s="6">
        <v>-5.5314638125905792E-2</v>
      </c>
      <c r="E298" s="6">
        <v>-2.5619512617744512E-2</v>
      </c>
      <c r="F298" s="6">
        <v>-2.9789253018084071E-3</v>
      </c>
      <c r="G298" s="6">
        <v>-2.8075469012986014E-2</v>
      </c>
      <c r="H298" s="6">
        <v>-0.17549764337010959</v>
      </c>
      <c r="I298" s="6">
        <v>-1.39024561849189E-2</v>
      </c>
      <c r="J298" s="6">
        <v>3.0002675334629404E-2</v>
      </c>
      <c r="K298" s="6">
        <v>-0.10948423284168815</v>
      </c>
      <c r="L298" s="6">
        <v>-3.1602947783173733E-2</v>
      </c>
      <c r="M298" s="6">
        <v>-9.4813285384163185E-2</v>
      </c>
      <c r="N298" s="6">
        <v>-2.2087722013290813E-2</v>
      </c>
      <c r="O298" s="6">
        <v>-2.9980832211935784E-2</v>
      </c>
      <c r="P298" s="6">
        <v>-0.12085597805540918</v>
      </c>
      <c r="Q298" s="6">
        <v>-3.2392636375682293E-2</v>
      </c>
      <c r="S298" s="6">
        <f t="shared" si="0"/>
        <v>-5.7102656113715726E-2</v>
      </c>
      <c r="T298" s="6">
        <f t="shared" si="1"/>
        <v>-3.5448989114189006E-2</v>
      </c>
      <c r="U298" s="6">
        <f t="shared" si="2"/>
        <v>-5.538279448018134E-3</v>
      </c>
      <c r="V298" s="6">
        <f t="shared" si="3"/>
        <v>-3.078481734845712E-2</v>
      </c>
      <c r="W298" s="6">
        <f t="shared" si="4"/>
        <v>-0.17635442118272038</v>
      </c>
      <c r="X298" s="6">
        <f t="shared" si="5"/>
        <v>-1.5382095906148533E-2</v>
      </c>
      <c r="Y298" s="6">
        <f t="shared" si="6"/>
        <v>2.6137088024433475E-2</v>
      </c>
      <c r="Z298" s="6">
        <f t="shared" si="7"/>
        <v>-0.10134535130585795</v>
      </c>
      <c r="AA298" s="6">
        <f t="shared" si="8"/>
        <v>-3.6871633125706689E-2</v>
      </c>
      <c r="AB298" s="6">
        <f t="shared" si="9"/>
        <v>-9.7067408755403636E-2</v>
      </c>
      <c r="AC298" s="6">
        <f t="shared" si="10"/>
        <v>-2.6246475773136206E-2</v>
      </c>
      <c r="AD298" s="6">
        <f t="shared" si="11"/>
        <v>-4.2258183889376862E-2</v>
      </c>
      <c r="AE298" s="6">
        <f t="shared" si="12"/>
        <v>-0.11778491140708293</v>
      </c>
      <c r="AF298" s="6">
        <f t="shared" si="13"/>
        <v>-2.8864935051236742E-2</v>
      </c>
    </row>
    <row r="299" spans="4:32" x14ac:dyDescent="0.3">
      <c r="D299" s="6">
        <v>-1.9897792035336447E-2</v>
      </c>
      <c r="E299" s="6">
        <v>-8.564072516726999E-2</v>
      </c>
      <c r="F299" s="6">
        <v>-2.4658897028133189E-2</v>
      </c>
      <c r="G299" s="6">
        <v>-1.1477088486795095E-2</v>
      </c>
      <c r="H299" s="6">
        <v>-0.1987643285077853</v>
      </c>
      <c r="I299" s="6">
        <v>-3.0156522384007286E-2</v>
      </c>
      <c r="J299" s="6">
        <v>-1.1706875605596892E-2</v>
      </c>
      <c r="K299" s="6">
        <v>1.2903404835907782E-2</v>
      </c>
      <c r="L299" s="6">
        <v>-8.914982163774679E-2</v>
      </c>
      <c r="M299" s="6">
        <v>-3.0797273748915419E-2</v>
      </c>
      <c r="N299" s="6">
        <v>-5.2570887009337937E-2</v>
      </c>
      <c r="O299" s="6">
        <v>-9.2560340890864637E-2</v>
      </c>
      <c r="P299" s="6">
        <v>-0.10330277723277349</v>
      </c>
      <c r="Q299" s="6">
        <v>-5.850655445295732E-2</v>
      </c>
      <c r="S299" s="6">
        <f t="shared" si="0"/>
        <v>-2.168581002314638E-2</v>
      </c>
      <c r="T299" s="6">
        <f t="shared" si="1"/>
        <v>-9.5470201663714491E-2</v>
      </c>
      <c r="U299" s="6">
        <f t="shared" si="2"/>
        <v>-2.7218251174342917E-2</v>
      </c>
      <c r="V299" s="6">
        <f t="shared" si="3"/>
        <v>-1.4186436822266201E-2</v>
      </c>
      <c r="W299" s="6">
        <f t="shared" si="4"/>
        <v>-0.19962110632039609</v>
      </c>
      <c r="X299" s="6">
        <f t="shared" si="5"/>
        <v>-3.1636162105236919E-2</v>
      </c>
      <c r="Y299" s="6">
        <f t="shared" si="6"/>
        <v>-1.5572462915792822E-2</v>
      </c>
      <c r="Z299" s="6">
        <f t="shared" si="7"/>
        <v>2.1042286371737981E-2</v>
      </c>
      <c r="AA299" s="6">
        <f t="shared" si="8"/>
        <v>-9.4418506980279746E-2</v>
      </c>
      <c r="AB299" s="6">
        <f t="shared" si="9"/>
        <v>-3.3051397120155868E-2</v>
      </c>
      <c r="AC299" s="6">
        <f t="shared" si="10"/>
        <v>-5.6729640769183333E-2</v>
      </c>
      <c r="AD299" s="6">
        <f t="shared" si="11"/>
        <v>-0.10483769256830572</v>
      </c>
      <c r="AE299" s="6">
        <f t="shared" si="12"/>
        <v>-0.10023171058444724</v>
      </c>
      <c r="AF299" s="6">
        <f t="shared" si="13"/>
        <v>-5.4978853128511765E-2</v>
      </c>
    </row>
    <row r="300" spans="4:32" x14ac:dyDescent="0.3">
      <c r="D300" s="6">
        <v>-1.474490979050863E-2</v>
      </c>
      <c r="E300" s="6">
        <v>-4.0246880508593465E-2</v>
      </c>
      <c r="F300" s="6">
        <v>4.5554357328271037E-3</v>
      </c>
      <c r="G300" s="6">
        <v>-1.1270264678046734E-2</v>
      </c>
      <c r="H300" s="6">
        <v>2.4357569235037939E-4</v>
      </c>
      <c r="I300" s="6">
        <v>-1.4771317320312543E-2</v>
      </c>
      <c r="J300" s="6">
        <v>1.9297519717467102E-2</v>
      </c>
      <c r="K300" s="6">
        <v>4.2219618786893023E-2</v>
      </c>
      <c r="L300" s="6">
        <v>3.1843678606241321E-2</v>
      </c>
      <c r="M300" s="6">
        <v>-2.8216723010330868E-3</v>
      </c>
      <c r="N300" s="6">
        <v>3.6459428680057858E-3</v>
      </c>
      <c r="O300" s="6">
        <v>2.0457046989520583E-2</v>
      </c>
      <c r="P300" s="6">
        <v>-1.5844329021151019E-2</v>
      </c>
      <c r="Q300" s="6">
        <v>2.7690162463897036E-2</v>
      </c>
      <c r="S300" s="6">
        <f t="shared" si="0"/>
        <v>-1.6532927778318562E-2</v>
      </c>
      <c r="T300" s="6">
        <f t="shared" si="1"/>
        <v>-5.0076357005037958E-2</v>
      </c>
      <c r="U300" s="6">
        <f t="shared" si="2"/>
        <v>1.9960815866173769E-3</v>
      </c>
      <c r="V300" s="6">
        <f t="shared" si="3"/>
        <v>-1.397961301351784E-2</v>
      </c>
      <c r="W300" s="6">
        <f t="shared" si="4"/>
        <v>-6.1320212026041011E-4</v>
      </c>
      <c r="X300" s="6">
        <f t="shared" si="5"/>
        <v>-1.6250957041542176E-2</v>
      </c>
      <c r="Y300" s="6">
        <f t="shared" si="6"/>
        <v>1.5431932407271172E-2</v>
      </c>
      <c r="Z300" s="6">
        <f t="shared" si="7"/>
        <v>5.0358500322723224E-2</v>
      </c>
      <c r="AA300" s="6">
        <f t="shared" si="8"/>
        <v>2.6574993263708366E-2</v>
      </c>
      <c r="AB300" s="6">
        <f t="shared" si="9"/>
        <v>-5.075795672273533E-3</v>
      </c>
      <c r="AC300" s="6">
        <f t="shared" si="10"/>
        <v>-5.1281089183960763E-4</v>
      </c>
      <c r="AD300" s="6">
        <f t="shared" si="11"/>
        <v>8.1796953120795053E-3</v>
      </c>
      <c r="AE300" s="6">
        <f t="shared" si="12"/>
        <v>-1.2773262372824761E-2</v>
      </c>
      <c r="AF300" s="6">
        <f t="shared" si="13"/>
        <v>3.1217863788342588E-2</v>
      </c>
    </row>
    <row r="301" spans="4:32" x14ac:dyDescent="0.3">
      <c r="D301" s="6">
        <v>-2.3887508950750916E-3</v>
      </c>
      <c r="E301" s="6">
        <v>1.6966813527005006E-2</v>
      </c>
      <c r="F301" s="6">
        <v>-6.4099399263079671E-2</v>
      </c>
      <c r="G301" s="6">
        <v>-1.0138493176598472E-2</v>
      </c>
      <c r="H301" s="6">
        <v>-8.5728049011752461E-2</v>
      </c>
      <c r="I301" s="6">
        <v>2.4460297570160671E-2</v>
      </c>
      <c r="J301" s="6">
        <v>7.7367214984117111E-2</v>
      </c>
      <c r="K301" s="6">
        <v>2.9721505281738586E-2</v>
      </c>
      <c r="L301" s="6">
        <v>-0.10579327673297252</v>
      </c>
      <c r="M301" s="6">
        <v>-6.207382059259043E-2</v>
      </c>
      <c r="N301" s="6">
        <v>6.5346928618945505E-2</v>
      </c>
      <c r="O301" s="6">
        <v>-3.1201273362435225E-3</v>
      </c>
      <c r="P301" s="6">
        <v>6.8829057906439312E-2</v>
      </c>
      <c r="Q301" s="6">
        <v>2.5793779722769132E-2</v>
      </c>
      <c r="S301" s="6">
        <f t="shared" si="0"/>
        <v>-4.1767688828850255E-3</v>
      </c>
      <c r="T301" s="6">
        <f t="shared" si="1"/>
        <v>7.1373370305605095E-3</v>
      </c>
      <c r="U301" s="6">
        <f t="shared" si="2"/>
        <v>-6.6658753409289395E-2</v>
      </c>
      <c r="V301" s="6">
        <f t="shared" si="3"/>
        <v>-1.2847841512069578E-2</v>
      </c>
      <c r="W301" s="6">
        <f t="shared" si="4"/>
        <v>-8.6584826824363248E-2</v>
      </c>
      <c r="X301" s="6">
        <f t="shared" si="5"/>
        <v>2.2980657848931038E-2</v>
      </c>
      <c r="Y301" s="6">
        <f t="shared" si="6"/>
        <v>7.3501627673921183E-2</v>
      </c>
      <c r="Z301" s="6">
        <f t="shared" si="7"/>
        <v>3.7860386817568786E-2</v>
      </c>
      <c r="AA301" s="6">
        <f t="shared" si="8"/>
        <v>-0.11106196207550548</v>
      </c>
      <c r="AB301" s="6">
        <f t="shared" si="9"/>
        <v>-6.4327943963830875E-2</v>
      </c>
      <c r="AC301" s="6">
        <f t="shared" si="10"/>
        <v>6.1188174859100108E-2</v>
      </c>
      <c r="AD301" s="6">
        <f t="shared" si="11"/>
        <v>-1.5397479013684601E-2</v>
      </c>
      <c r="AE301" s="6">
        <f t="shared" si="12"/>
        <v>7.1900124554765563E-2</v>
      </c>
      <c r="AF301" s="6">
        <f t="shared" si="13"/>
        <v>2.9321481047214683E-2</v>
      </c>
    </row>
    <row r="302" spans="4:32" x14ac:dyDescent="0.3">
      <c r="D302" s="6">
        <v>3.8888325538782118E-2</v>
      </c>
      <c r="E302" s="6">
        <v>0.12864058263941455</v>
      </c>
      <c r="F302" s="6">
        <v>6.1636189584282457E-2</v>
      </c>
      <c r="G302" s="6">
        <v>5.3283526895069606E-2</v>
      </c>
      <c r="H302" s="6">
        <v>7.9375718831081049E-2</v>
      </c>
      <c r="I302" s="6">
        <v>0.13091412297681432</v>
      </c>
      <c r="J302" s="6">
        <v>5.2146644993436325E-2</v>
      </c>
      <c r="K302" s="6">
        <v>6.1007348108023766E-2</v>
      </c>
      <c r="L302" s="6">
        <v>4.9533935122276627E-2</v>
      </c>
      <c r="M302" s="6">
        <v>0.40726745164202471</v>
      </c>
      <c r="N302" s="6">
        <v>0.10899028370840508</v>
      </c>
      <c r="O302" s="6">
        <v>8.3881483980702026E-2</v>
      </c>
      <c r="P302" s="6">
        <v>0.1532328275370293</v>
      </c>
      <c r="Q302" s="6">
        <v>-2.8776978615869891E-4</v>
      </c>
      <c r="S302" s="6">
        <f t="shared" si="0"/>
        <v>3.7100307550972184E-2</v>
      </c>
      <c r="T302" s="6">
        <f t="shared" si="1"/>
        <v>0.11881110614297005</v>
      </c>
      <c r="U302" s="6">
        <f t="shared" si="2"/>
        <v>5.9076835438072732E-2</v>
      </c>
      <c r="V302" s="6">
        <f t="shared" si="3"/>
        <v>5.0574178559598497E-2</v>
      </c>
      <c r="W302" s="6">
        <f t="shared" si="4"/>
        <v>7.8518941018470262E-2</v>
      </c>
      <c r="X302" s="6">
        <f t="shared" si="5"/>
        <v>0.12943448325558468</v>
      </c>
      <c r="Y302" s="6">
        <f t="shared" si="6"/>
        <v>4.8281057683240397E-2</v>
      </c>
      <c r="Z302" s="6">
        <f t="shared" si="7"/>
        <v>6.914622964385396E-2</v>
      </c>
      <c r="AA302" s="6">
        <f t="shared" si="8"/>
        <v>4.4265249779743672E-2</v>
      </c>
      <c r="AB302" s="6">
        <f t="shared" si="9"/>
        <v>0.40501332827078429</v>
      </c>
      <c r="AC302" s="6">
        <f t="shared" si="10"/>
        <v>0.10483152994855968</v>
      </c>
      <c r="AD302" s="6">
        <f t="shared" si="11"/>
        <v>7.1604132303260945E-2</v>
      </c>
      <c r="AE302" s="6">
        <f t="shared" si="12"/>
        <v>0.15630389418535556</v>
      </c>
      <c r="AF302" s="6">
        <f t="shared" si="13"/>
        <v>3.2399315382868532E-3</v>
      </c>
    </row>
    <row r="303" spans="4:32" x14ac:dyDescent="0.3">
      <c r="D303" s="6">
        <v>2.2815793645185652E-2</v>
      </c>
      <c r="E303" s="6">
        <v>5.4129505222835508E-2</v>
      </c>
      <c r="F303" s="6">
        <v>4.1297378538543896E-3</v>
      </c>
      <c r="G303" s="6">
        <v>6.2079464528916953E-2</v>
      </c>
      <c r="H303" s="6">
        <v>8.6207677203143568E-2</v>
      </c>
      <c r="I303" s="6">
        <v>-8.9062368917329719E-3</v>
      </c>
      <c r="J303" s="6">
        <v>1.7297337361659271E-2</v>
      </c>
      <c r="K303" s="6">
        <v>1.9202206983935818E-2</v>
      </c>
      <c r="L303" s="6">
        <v>3.8242562938911366E-2</v>
      </c>
      <c r="M303" s="6">
        <v>9.8615127518294807E-2</v>
      </c>
      <c r="N303" s="6">
        <v>3.0771658666753687E-2</v>
      </c>
      <c r="O303" s="6">
        <v>8.583743691391435E-3</v>
      </c>
      <c r="P303" s="6">
        <v>3.0425755528110342E-2</v>
      </c>
      <c r="Q303" s="6">
        <v>1.4389524451046968E-4</v>
      </c>
      <c r="S303" s="6">
        <f t="shared" si="0"/>
        <v>2.1027775657375718E-2</v>
      </c>
      <c r="T303" s="6">
        <f t="shared" si="1"/>
        <v>4.4300028726391008E-2</v>
      </c>
      <c r="U303" s="6">
        <f t="shared" si="2"/>
        <v>1.5703837076446628E-3</v>
      </c>
      <c r="V303" s="6">
        <f t="shared" si="3"/>
        <v>5.9370116193445843E-2</v>
      </c>
      <c r="W303" s="6">
        <f t="shared" si="4"/>
        <v>8.5350899390532781E-2</v>
      </c>
      <c r="X303" s="6">
        <f t="shared" si="5"/>
        <v>-1.0385876612962603E-2</v>
      </c>
      <c r="Y303" s="6">
        <f t="shared" si="6"/>
        <v>1.3431750051463342E-2</v>
      </c>
      <c r="Z303" s="6">
        <f t="shared" si="7"/>
        <v>2.7341088519766014E-2</v>
      </c>
      <c r="AA303" s="6">
        <f t="shared" si="8"/>
        <v>3.2973877596378411E-2</v>
      </c>
      <c r="AB303" s="6">
        <f t="shared" si="9"/>
        <v>9.6361004147054355E-2</v>
      </c>
      <c r="AC303" s="6">
        <f t="shared" si="10"/>
        <v>2.6612904906908295E-2</v>
      </c>
      <c r="AD303" s="6">
        <f t="shared" si="11"/>
        <v>-3.6936079860496428E-3</v>
      </c>
      <c r="AE303" s="6">
        <f t="shared" si="12"/>
        <v>3.3496822176436597E-2</v>
      </c>
      <c r="AF303" s="6">
        <f t="shared" si="13"/>
        <v>3.6715965689560217E-3</v>
      </c>
    </row>
    <row r="304" spans="4:32" x14ac:dyDescent="0.3">
      <c r="D304" s="6">
        <v>5.6815842496116861E-2</v>
      </c>
      <c r="E304" s="6">
        <v>0.13212906453045875</v>
      </c>
      <c r="F304" s="6">
        <v>3.2518529301884452E-2</v>
      </c>
      <c r="G304" s="6">
        <v>1.3678717761870626E-2</v>
      </c>
      <c r="H304" s="6">
        <v>0.28771954739042016</v>
      </c>
      <c r="I304" s="6">
        <v>5.0038008130668971E-2</v>
      </c>
      <c r="J304" s="6">
        <v>8.5036262778510632E-2</v>
      </c>
      <c r="K304" s="6">
        <v>8.809520718451723E-2</v>
      </c>
      <c r="L304" s="6">
        <v>9.0489643263259416E-3</v>
      </c>
      <c r="M304" s="6">
        <v>0.10668306347590452</v>
      </c>
      <c r="N304" s="6">
        <v>0</v>
      </c>
      <c r="O304" s="6">
        <v>7.2784345223213615E-2</v>
      </c>
      <c r="P304" s="6">
        <v>6.7349988048677811E-2</v>
      </c>
      <c r="Q304" s="6">
        <v>6.4763316013194766E-2</v>
      </c>
      <c r="S304" s="6">
        <f t="shared" si="0"/>
        <v>5.5027824508306927E-2</v>
      </c>
      <c r="T304" s="6">
        <f t="shared" si="1"/>
        <v>0.12229958803401425</v>
      </c>
      <c r="U304" s="6">
        <f t="shared" si="2"/>
        <v>2.9959175155674724E-2</v>
      </c>
      <c r="V304" s="6">
        <f t="shared" si="3"/>
        <v>1.096936942639952E-2</v>
      </c>
      <c r="W304" s="6">
        <f t="shared" si="4"/>
        <v>0.28686276957780937</v>
      </c>
      <c r="X304" s="6">
        <f t="shared" si="5"/>
        <v>4.8558368409439341E-2</v>
      </c>
      <c r="Y304" s="6">
        <f t="shared" si="6"/>
        <v>8.1170675468314704E-2</v>
      </c>
      <c r="Z304" s="6">
        <f t="shared" si="7"/>
        <v>9.623408872034743E-2</v>
      </c>
      <c r="AA304" s="6">
        <f t="shared" si="8"/>
        <v>3.7802789837929878E-3</v>
      </c>
      <c r="AB304" s="6">
        <f t="shared" si="9"/>
        <v>0.10442894010466407</v>
      </c>
      <c r="AC304" s="6">
        <f t="shared" si="10"/>
        <v>-4.1587537598453935E-3</v>
      </c>
      <c r="AD304" s="6">
        <f t="shared" si="11"/>
        <v>6.0506993545772533E-2</v>
      </c>
      <c r="AE304" s="6">
        <f t="shared" si="12"/>
        <v>7.0421054697004062E-2</v>
      </c>
      <c r="AF304" s="6">
        <f t="shared" si="13"/>
        <v>6.8291017337640314E-2</v>
      </c>
    </row>
    <row r="305" spans="4:32" x14ac:dyDescent="0.3">
      <c r="D305" s="6">
        <v>5.7067041658145766E-2</v>
      </c>
      <c r="E305" s="6">
        <v>3.5700848799698925E-2</v>
      </c>
      <c r="F305" s="6">
        <v>4.0241555304965045E-2</v>
      </c>
      <c r="G305" s="6">
        <v>5.301265673680166E-2</v>
      </c>
      <c r="H305" s="6">
        <v>6.5697208790246764E-2</v>
      </c>
      <c r="I305" s="6">
        <v>1.1185254969377046E-2</v>
      </c>
      <c r="J305" s="6">
        <v>0.20642355414654248</v>
      </c>
      <c r="K305" s="6">
        <v>8.2154729533910932E-3</v>
      </c>
      <c r="L305" s="6">
        <v>8.4580698081560671E-2</v>
      </c>
      <c r="M305" s="6">
        <v>0.19562145474229037</v>
      </c>
      <c r="N305" s="6">
        <v>8.6105169406091656E-2</v>
      </c>
      <c r="O305" s="6">
        <v>0.10787391072392331</v>
      </c>
      <c r="P305" s="6">
        <v>0.11452609191861425</v>
      </c>
      <c r="Q305" s="6">
        <v>7.0169971195603378E-2</v>
      </c>
      <c r="S305" s="6">
        <f t="shared" si="0"/>
        <v>5.5279023670335832E-2</v>
      </c>
      <c r="T305" s="6">
        <f t="shared" si="1"/>
        <v>2.5871372303254429E-2</v>
      </c>
      <c r="U305" s="6">
        <f t="shared" si="2"/>
        <v>3.768220115875532E-2</v>
      </c>
      <c r="V305" s="6">
        <f t="shared" si="3"/>
        <v>5.030330840133055E-2</v>
      </c>
      <c r="W305" s="6">
        <f t="shared" si="4"/>
        <v>6.4840430977635977E-2</v>
      </c>
      <c r="X305" s="6">
        <f t="shared" si="5"/>
        <v>9.7056152481474131E-3</v>
      </c>
      <c r="Y305" s="6">
        <f t="shared" si="6"/>
        <v>0.20255796683634655</v>
      </c>
      <c r="Z305" s="6">
        <f t="shared" si="7"/>
        <v>1.635435448922129E-2</v>
      </c>
      <c r="AA305" s="6">
        <f t="shared" si="8"/>
        <v>7.9312012739027715E-2</v>
      </c>
      <c r="AB305" s="6">
        <f t="shared" si="9"/>
        <v>0.19336733137104992</v>
      </c>
      <c r="AC305" s="6">
        <f t="shared" si="10"/>
        <v>8.194641564624626E-2</v>
      </c>
      <c r="AD305" s="6">
        <f t="shared" si="11"/>
        <v>9.5596559046482232E-2</v>
      </c>
      <c r="AE305" s="6">
        <f t="shared" si="12"/>
        <v>0.1175971585669405</v>
      </c>
      <c r="AF305" s="6">
        <f t="shared" si="13"/>
        <v>7.3697672520048926E-2</v>
      </c>
    </row>
    <row r="306" spans="4:32" x14ac:dyDescent="0.3">
      <c r="D306" s="6">
        <v>-2.2848036550102476E-2</v>
      </c>
      <c r="E306" s="6">
        <v>7.5543324317811356E-3</v>
      </c>
      <c r="F306" s="6">
        <v>1.8218933313053354E-2</v>
      </c>
      <c r="G306" s="6">
        <v>-0.1025226129526529</v>
      </c>
      <c r="H306" s="6">
        <v>3.5726393691704751E-2</v>
      </c>
      <c r="I306" s="6">
        <v>-5.7528298411728004E-2</v>
      </c>
      <c r="J306" s="6">
        <v>-6.8675087244461044E-2</v>
      </c>
      <c r="K306" s="6">
        <v>-3.2335380642936347E-2</v>
      </c>
      <c r="L306" s="6">
        <v>-4.1350489203568257E-2</v>
      </c>
      <c r="M306" s="6">
        <v>-0.26791360116712815</v>
      </c>
      <c r="N306" s="6">
        <v>3.5914232238373214E-2</v>
      </c>
      <c r="O306" s="6">
        <v>-0.1131860082088133</v>
      </c>
      <c r="P306" s="6">
        <v>-0.13507846487193556</v>
      </c>
      <c r="Q306" s="6">
        <v>-6.93611277975026E-2</v>
      </c>
      <c r="S306" s="6">
        <f t="shared" si="0"/>
        <v>-2.463605453791241E-2</v>
      </c>
      <c r="T306" s="6">
        <f t="shared" si="1"/>
        <v>-2.2751440646633612E-3</v>
      </c>
      <c r="U306" s="6">
        <f t="shared" si="2"/>
        <v>1.5659579166843626E-2</v>
      </c>
      <c r="V306" s="6">
        <f t="shared" si="3"/>
        <v>-0.10523196128812401</v>
      </c>
      <c r="W306" s="6">
        <f t="shared" si="4"/>
        <v>3.4869615879093964E-2</v>
      </c>
      <c r="X306" s="6">
        <f t="shared" si="5"/>
        <v>-5.9007938132957634E-2</v>
      </c>
      <c r="Y306" s="6">
        <f t="shared" si="6"/>
        <v>-7.2540674554656973E-2</v>
      </c>
      <c r="Z306" s="6">
        <f t="shared" si="7"/>
        <v>-2.419649910710615E-2</v>
      </c>
      <c r="AA306" s="6">
        <f t="shared" si="8"/>
        <v>-4.6619174546101212E-2</v>
      </c>
      <c r="AB306" s="6">
        <f t="shared" si="9"/>
        <v>-0.27016772453836857</v>
      </c>
      <c r="AC306" s="6">
        <f t="shared" si="10"/>
        <v>3.1755478478527818E-2</v>
      </c>
      <c r="AD306" s="6">
        <f t="shared" si="11"/>
        <v>-0.12546335988625437</v>
      </c>
      <c r="AE306" s="6">
        <f t="shared" si="12"/>
        <v>-0.1320073982236093</v>
      </c>
      <c r="AF306" s="6">
        <f t="shared" si="13"/>
        <v>-6.5833426473057052E-2</v>
      </c>
    </row>
    <row r="307" spans="4:32" x14ac:dyDescent="0.3">
      <c r="D307" s="6">
        <v>1.0146351374981075E-2</v>
      </c>
      <c r="E307" s="6">
        <v>6.0961501805123306E-3</v>
      </c>
      <c r="F307" s="6">
        <v>-1.9342072022547188E-2</v>
      </c>
      <c r="G307" s="6">
        <v>-2.3290292128615754E-3</v>
      </c>
      <c r="H307" s="6">
        <v>5.6382157642082369E-2</v>
      </c>
      <c r="I307" s="6">
        <v>-4.2092357204802835E-3</v>
      </c>
      <c r="J307" s="6">
        <v>-7.3192846133796705E-3</v>
      </c>
      <c r="K307" s="6">
        <v>-2.7607655324097157E-2</v>
      </c>
      <c r="L307" s="6">
        <v>4.7408187373111844E-2</v>
      </c>
      <c r="M307" s="6">
        <v>0.13283049895643936</v>
      </c>
      <c r="N307" s="6">
        <v>1.3609591847875994E-2</v>
      </c>
      <c r="O307" s="6">
        <v>0.20296801827895128</v>
      </c>
      <c r="P307" s="6">
        <v>0.2650229101250336</v>
      </c>
      <c r="Q307" s="6">
        <v>2.5280750297258178E-2</v>
      </c>
      <c r="S307" s="6">
        <f t="shared" si="0"/>
        <v>8.3583333871711414E-3</v>
      </c>
      <c r="T307" s="6">
        <f t="shared" si="1"/>
        <v>-3.7333263159321662E-3</v>
      </c>
      <c r="U307" s="6">
        <f t="shared" si="2"/>
        <v>-2.1901426168756916E-2</v>
      </c>
      <c r="V307" s="6">
        <f t="shared" si="3"/>
        <v>-5.0383775483326815E-3</v>
      </c>
      <c r="W307" s="6">
        <f t="shared" si="4"/>
        <v>5.5525379829471581E-2</v>
      </c>
      <c r="X307" s="6">
        <f t="shared" si="5"/>
        <v>-5.6888754417099155E-3</v>
      </c>
      <c r="Y307" s="6">
        <f t="shared" si="6"/>
        <v>-1.11848719235756E-2</v>
      </c>
      <c r="Z307" s="6">
        <f t="shared" si="7"/>
        <v>-1.946877378826696E-2</v>
      </c>
      <c r="AA307" s="6">
        <f t="shared" si="8"/>
        <v>4.2139502030578889E-2</v>
      </c>
      <c r="AB307" s="6">
        <f t="shared" si="9"/>
        <v>0.13057637558519891</v>
      </c>
      <c r="AC307" s="6">
        <f t="shared" si="10"/>
        <v>9.4508380880305998E-3</v>
      </c>
      <c r="AD307" s="6">
        <f t="shared" si="11"/>
        <v>0.19069066660151021</v>
      </c>
      <c r="AE307" s="6">
        <f t="shared" si="12"/>
        <v>0.26809397677335983</v>
      </c>
      <c r="AF307" s="6">
        <f t="shared" si="13"/>
        <v>2.8808451621703729E-2</v>
      </c>
    </row>
    <row r="308" spans="4:32" x14ac:dyDescent="0.3">
      <c r="D308" s="6">
        <v>-3.9034562011126053E-2</v>
      </c>
      <c r="E308" s="6">
        <v>8.5100560801935343E-2</v>
      </c>
      <c r="F308" s="6">
        <v>-3.4856075508978498E-2</v>
      </c>
      <c r="G308" s="6">
        <v>-5.6915293671933237E-2</v>
      </c>
      <c r="H308" s="6">
        <v>-5.6432948713023026E-2</v>
      </c>
      <c r="I308" s="6">
        <v>-3.8809275171752096E-2</v>
      </c>
      <c r="J308" s="6">
        <v>-1.4507784971482763E-2</v>
      </c>
      <c r="K308" s="6">
        <v>-5.4549963254065234E-2</v>
      </c>
      <c r="L308" s="6">
        <v>2.617520836402722E-2</v>
      </c>
      <c r="M308" s="6">
        <v>-0.10945888205010861</v>
      </c>
      <c r="N308" s="6">
        <v>-4.0199046037115382E-2</v>
      </c>
      <c r="O308" s="6">
        <v>-0.1285747529845942</v>
      </c>
      <c r="P308" s="6">
        <v>-0.13297257729844117</v>
      </c>
      <c r="Q308" s="6">
        <v>-2.9060962710291422E-2</v>
      </c>
      <c r="S308" s="6">
        <f t="shared" si="0"/>
        <v>-4.0822579998935987E-2</v>
      </c>
      <c r="T308" s="6">
        <f t="shared" si="1"/>
        <v>7.5271084305490843E-2</v>
      </c>
      <c r="U308" s="6">
        <f t="shared" si="2"/>
        <v>-3.7415429655188223E-2</v>
      </c>
      <c r="V308" s="6">
        <f t="shared" si="3"/>
        <v>-5.9624642007404346E-2</v>
      </c>
      <c r="W308" s="6">
        <f t="shared" si="4"/>
        <v>-5.7289726525633813E-2</v>
      </c>
      <c r="X308" s="6">
        <f t="shared" si="5"/>
        <v>-4.0288914892981725E-2</v>
      </c>
      <c r="Y308" s="6">
        <f t="shared" si="6"/>
        <v>-1.8373372281678693E-2</v>
      </c>
      <c r="Z308" s="6">
        <f t="shared" si="7"/>
        <v>-4.6411081718235034E-2</v>
      </c>
      <c r="AA308" s="6">
        <f t="shared" si="8"/>
        <v>2.0906523021494268E-2</v>
      </c>
      <c r="AB308" s="6">
        <f t="shared" si="9"/>
        <v>-0.11171300542134906</v>
      </c>
      <c r="AC308" s="6">
        <f t="shared" si="10"/>
        <v>-4.4357799796960778E-2</v>
      </c>
      <c r="AD308" s="6">
        <f t="shared" si="11"/>
        <v>-0.14085210466203527</v>
      </c>
      <c r="AE308" s="6">
        <f t="shared" si="12"/>
        <v>-0.1299015106501149</v>
      </c>
      <c r="AF308" s="6">
        <f t="shared" si="13"/>
        <v>-2.5533261385845871E-2</v>
      </c>
    </row>
    <row r="309" spans="4:32" x14ac:dyDescent="0.3">
      <c r="D309" s="6">
        <v>2.9020643426697447E-2</v>
      </c>
      <c r="E309" s="6">
        <v>2.5435877441468496E-2</v>
      </c>
      <c r="F309" s="6">
        <v>2.4064113361180705E-2</v>
      </c>
      <c r="G309" s="6">
        <v>4.9468450747471665E-2</v>
      </c>
      <c r="H309" s="6">
        <v>4.6114557105174838E-3</v>
      </c>
      <c r="I309" s="6">
        <v>1.4862269321241012E-2</v>
      </c>
      <c r="J309" s="6">
        <v>8.3616336949048478E-2</v>
      </c>
      <c r="K309" s="6">
        <v>8.2157618578162478E-2</v>
      </c>
      <c r="L309" s="6">
        <v>7.2035078750732548E-2</v>
      </c>
      <c r="M309" s="6">
        <v>9.881966366165168E-2</v>
      </c>
      <c r="N309" s="6">
        <v>3.4430353950878415E-2</v>
      </c>
      <c r="O309" s="6">
        <v>2.9234725108351043E-2</v>
      </c>
      <c r="P309" s="6">
        <v>4.6316846190878287E-2</v>
      </c>
      <c r="Q309" s="6">
        <v>-4.3118465905326142E-2</v>
      </c>
      <c r="S309" s="6">
        <f t="shared" si="0"/>
        <v>2.7232625438887513E-2</v>
      </c>
      <c r="T309" s="6">
        <f t="shared" si="1"/>
        <v>1.5606400945023999E-2</v>
      </c>
      <c r="U309" s="6">
        <f t="shared" si="2"/>
        <v>2.1504759214970977E-2</v>
      </c>
      <c r="V309" s="6">
        <f t="shared" si="3"/>
        <v>4.6759102412000556E-2</v>
      </c>
      <c r="W309" s="6">
        <f t="shared" si="4"/>
        <v>3.7546778979066944E-3</v>
      </c>
      <c r="X309" s="6">
        <f t="shared" si="5"/>
        <v>1.3382629600011381E-2</v>
      </c>
      <c r="Y309" s="6">
        <f t="shared" si="6"/>
        <v>7.975074963885255E-2</v>
      </c>
      <c r="Z309" s="6">
        <f t="shared" si="7"/>
        <v>9.0296500113992678E-2</v>
      </c>
      <c r="AA309" s="6">
        <f t="shared" si="8"/>
        <v>6.6766393408199592E-2</v>
      </c>
      <c r="AB309" s="6">
        <f t="shared" si="9"/>
        <v>9.6565540290411228E-2</v>
      </c>
      <c r="AC309" s="6">
        <f t="shared" si="10"/>
        <v>3.0271600191033022E-2</v>
      </c>
      <c r="AD309" s="6">
        <f t="shared" si="11"/>
        <v>1.6957373430909965E-2</v>
      </c>
      <c r="AE309" s="6">
        <f t="shared" si="12"/>
        <v>4.9387912839204545E-2</v>
      </c>
      <c r="AF309" s="6">
        <f t="shared" si="13"/>
        <v>-3.9590764580880587E-2</v>
      </c>
    </row>
    <row r="310" spans="4:32" x14ac:dyDescent="0.3">
      <c r="D310" s="6">
        <v>-1.689353433549598E-2</v>
      </c>
      <c r="E310" s="6">
        <v>-3.9270944636711401E-2</v>
      </c>
      <c r="F310" s="6">
        <v>-2.6595200869813096E-2</v>
      </c>
      <c r="G310" s="6">
        <v>-3.2779144823407325E-2</v>
      </c>
      <c r="H310" s="6">
        <v>-0.13137414354203655</v>
      </c>
      <c r="I310" s="6">
        <v>-4.4935642434344697E-2</v>
      </c>
      <c r="J310" s="6">
        <v>-3.1475347493217565E-2</v>
      </c>
      <c r="K310" s="6">
        <v>-2.9540023075151044E-2</v>
      </c>
      <c r="L310" s="6">
        <v>-5.1443633904575688E-2</v>
      </c>
      <c r="M310" s="6">
        <v>-0.18826072131576013</v>
      </c>
      <c r="N310" s="6">
        <v>-0.10545694302398748</v>
      </c>
      <c r="O310" s="6">
        <v>-0.12516314295400605</v>
      </c>
      <c r="P310" s="6">
        <v>-8.9702645867953901E-2</v>
      </c>
      <c r="Q310" s="6">
        <v>-5.3518171504731864E-2</v>
      </c>
      <c r="S310" s="6">
        <f t="shared" si="0"/>
        <v>-1.8681552323305914E-2</v>
      </c>
      <c r="T310" s="6">
        <f t="shared" si="1"/>
        <v>-4.9100421133155894E-2</v>
      </c>
      <c r="U310" s="6">
        <f t="shared" si="2"/>
        <v>-2.9154555016022824E-2</v>
      </c>
      <c r="V310" s="6">
        <f t="shared" si="3"/>
        <v>-3.5488493158878434E-2</v>
      </c>
      <c r="W310" s="6">
        <f t="shared" si="4"/>
        <v>-0.13223092135464734</v>
      </c>
      <c r="X310" s="6">
        <f t="shared" si="5"/>
        <v>-4.6415282155574326E-2</v>
      </c>
      <c r="Y310" s="6">
        <f t="shared" si="6"/>
        <v>-3.5340934803413493E-2</v>
      </c>
      <c r="Z310" s="6">
        <f t="shared" si="7"/>
        <v>-2.1401141539320847E-2</v>
      </c>
      <c r="AA310" s="6">
        <f t="shared" si="8"/>
        <v>-5.6712319247108643E-2</v>
      </c>
      <c r="AB310" s="6">
        <f t="shared" si="9"/>
        <v>-0.19051484468700058</v>
      </c>
      <c r="AC310" s="6">
        <f t="shared" si="10"/>
        <v>-0.10961569678383287</v>
      </c>
      <c r="AD310" s="6">
        <f t="shared" si="11"/>
        <v>-0.13744049463144711</v>
      </c>
      <c r="AE310" s="6">
        <f t="shared" si="12"/>
        <v>-8.663157921962765E-2</v>
      </c>
      <c r="AF310" s="6">
        <f t="shared" si="13"/>
        <v>-4.9990470180286309E-2</v>
      </c>
    </row>
    <row r="311" spans="4:32" x14ac:dyDescent="0.3">
      <c r="D311" s="6">
        <v>4.2840158676492227E-2</v>
      </c>
      <c r="E311" s="6">
        <v>0.11346860959264606</v>
      </c>
      <c r="F311" s="6">
        <v>0.11694686099472941</v>
      </c>
      <c r="G311" s="6">
        <v>0.1144550820988957</v>
      </c>
      <c r="H311" s="6">
        <v>3.7847094184185602E-2</v>
      </c>
      <c r="I311" s="6">
        <v>8.6726608867037175E-2</v>
      </c>
      <c r="J311" s="6">
        <v>8.5891964355289424E-2</v>
      </c>
      <c r="K311" s="6">
        <v>3.4223872387577313E-2</v>
      </c>
      <c r="L311" s="6">
        <v>0.10609529408840038</v>
      </c>
      <c r="M311" s="6">
        <v>0.33866188207937581</v>
      </c>
      <c r="N311" s="6">
        <v>2.1307850199024279E-2</v>
      </c>
      <c r="O311" s="6">
        <v>6.9627590645042564E-2</v>
      </c>
      <c r="P311" s="6">
        <v>6.8448187973504424E-2</v>
      </c>
      <c r="Q311" s="6">
        <v>3.0374281351768926E-2</v>
      </c>
      <c r="S311" s="6">
        <f t="shared" si="0"/>
        <v>4.1052140688682293E-2</v>
      </c>
      <c r="T311" s="6">
        <f t="shared" si="1"/>
        <v>0.10363913309620156</v>
      </c>
      <c r="U311" s="6">
        <f t="shared" si="2"/>
        <v>0.11438750684851968</v>
      </c>
      <c r="V311" s="6">
        <f t="shared" si="3"/>
        <v>0.11174573376342459</v>
      </c>
      <c r="W311" s="6">
        <f t="shared" si="4"/>
        <v>3.6990316371574815E-2</v>
      </c>
      <c r="X311" s="6">
        <f t="shared" si="5"/>
        <v>8.5246969145807538E-2</v>
      </c>
      <c r="Y311" s="6">
        <f t="shared" si="6"/>
        <v>8.2026377045093496E-2</v>
      </c>
      <c r="Z311" s="6">
        <f t="shared" si="7"/>
        <v>4.2362753923407506E-2</v>
      </c>
      <c r="AA311" s="6">
        <f t="shared" si="8"/>
        <v>0.10082660874586742</v>
      </c>
      <c r="AB311" s="6">
        <f t="shared" si="9"/>
        <v>0.33640775870813538</v>
      </c>
      <c r="AC311" s="6">
        <f t="shared" si="10"/>
        <v>1.7149096439178887E-2</v>
      </c>
      <c r="AD311" s="6">
        <f t="shared" si="11"/>
        <v>5.7350238967601483E-2</v>
      </c>
      <c r="AE311" s="6">
        <f t="shared" si="12"/>
        <v>7.1519254621830675E-2</v>
      </c>
      <c r="AF311" s="6">
        <f t="shared" si="13"/>
        <v>3.3901982676214477E-2</v>
      </c>
    </row>
    <row r="312" spans="4:32" x14ac:dyDescent="0.3">
      <c r="D312" s="6">
        <v>3.3309978881532858E-2</v>
      </c>
      <c r="E312" s="6">
        <v>3.999771396937378E-2</v>
      </c>
      <c r="F312" s="6">
        <v>4.071434195622484E-3</v>
      </c>
      <c r="G312" s="6">
        <v>3.6901704588611098E-2</v>
      </c>
      <c r="H312" s="6">
        <v>5.5500829551021466E-2</v>
      </c>
      <c r="I312" s="6">
        <v>-8.3215418301725696E-3</v>
      </c>
      <c r="J312" s="6">
        <v>5.1801830262426504E-2</v>
      </c>
      <c r="K312" s="6">
        <v>7.7307121776370988E-2</v>
      </c>
      <c r="L312" s="6">
        <v>-1.193998919969365E-2</v>
      </c>
      <c r="M312" s="6">
        <v>-0.10021683634977792</v>
      </c>
      <c r="N312" s="6">
        <v>-3.2947166856043063E-2</v>
      </c>
      <c r="O312" s="6">
        <v>3.9806250400419574E-2</v>
      </c>
      <c r="P312" s="6">
        <v>-6.8281507416405471E-2</v>
      </c>
      <c r="Q312" s="6">
        <v>-2.1702967355470984E-3</v>
      </c>
      <c r="S312" s="6">
        <f t="shared" si="0"/>
        <v>3.1521960893722924E-2</v>
      </c>
      <c r="T312" s="6">
        <f t="shared" si="1"/>
        <v>3.0168237472929283E-2</v>
      </c>
      <c r="U312" s="6">
        <f t="shared" si="2"/>
        <v>1.5120800494127572E-3</v>
      </c>
      <c r="V312" s="6">
        <f t="shared" si="3"/>
        <v>3.4192356253139988E-2</v>
      </c>
      <c r="W312" s="6">
        <f t="shared" si="4"/>
        <v>5.4644051738410679E-2</v>
      </c>
      <c r="X312" s="6">
        <f t="shared" si="5"/>
        <v>-9.8011815514022008E-3</v>
      </c>
      <c r="Y312" s="6">
        <f t="shared" si="6"/>
        <v>4.7936242952230576E-2</v>
      </c>
      <c r="Z312" s="6">
        <f t="shared" si="7"/>
        <v>8.5446003312201188E-2</v>
      </c>
      <c r="AA312" s="6">
        <f t="shared" si="8"/>
        <v>-1.7208674542226604E-2</v>
      </c>
      <c r="AB312" s="6">
        <f t="shared" si="9"/>
        <v>-0.10247095972101837</v>
      </c>
      <c r="AC312" s="6">
        <f t="shared" si="10"/>
        <v>-3.7105920615888459E-2</v>
      </c>
      <c r="AD312" s="6">
        <f t="shared" si="11"/>
        <v>2.7528898722978496E-2</v>
      </c>
      <c r="AE312" s="6">
        <f t="shared" si="12"/>
        <v>-6.521044076807922E-2</v>
      </c>
      <c r="AF312" s="6">
        <f t="shared" si="13"/>
        <v>1.3574045888984534E-3</v>
      </c>
    </row>
    <row r="313" spans="4:32" x14ac:dyDescent="0.3">
      <c r="D313" s="6">
        <v>2.8604133764773904E-2</v>
      </c>
      <c r="E313" s="6">
        <v>3.6660997063171212E-2</v>
      </c>
      <c r="F313" s="6">
        <v>2.7178356447915747E-2</v>
      </c>
      <c r="G313" s="6">
        <v>-1.6350701310460358E-2</v>
      </c>
      <c r="H313" s="6">
        <v>8.5758908017193602E-2</v>
      </c>
      <c r="I313" s="6">
        <v>5.1247435800140018E-2</v>
      </c>
      <c r="J313" s="6">
        <v>2.8378504445995351E-2</v>
      </c>
      <c r="K313" s="6">
        <v>-3.0744626160162832E-2</v>
      </c>
      <c r="L313" s="6">
        <v>4.256594960728359E-2</v>
      </c>
      <c r="M313" s="6">
        <v>-3.8404773939049834E-3</v>
      </c>
      <c r="N313" s="6">
        <v>3.0426686630707935E-2</v>
      </c>
      <c r="O313" s="6">
        <v>3.0032287098875076E-2</v>
      </c>
      <c r="P313" s="6">
        <v>9.2579181293093171E-2</v>
      </c>
      <c r="Q313" s="6">
        <v>6.7214543419424247E-2</v>
      </c>
      <c r="S313" s="6">
        <f t="shared" si="0"/>
        <v>2.681611577696397E-2</v>
      </c>
      <c r="T313" s="6">
        <f t="shared" si="1"/>
        <v>2.6831520566726715E-2</v>
      </c>
      <c r="U313" s="6">
        <f t="shared" si="2"/>
        <v>2.4619002301706019E-2</v>
      </c>
      <c r="V313" s="6">
        <f t="shared" si="3"/>
        <v>-1.9060049645931464E-2</v>
      </c>
      <c r="W313" s="6">
        <f t="shared" si="4"/>
        <v>8.4902130204582815E-2</v>
      </c>
      <c r="X313" s="6">
        <f t="shared" si="5"/>
        <v>4.9767796078910388E-2</v>
      </c>
      <c r="Y313" s="6">
        <f t="shared" si="6"/>
        <v>2.4512917135799422E-2</v>
      </c>
      <c r="Z313" s="6">
        <f t="shared" si="7"/>
        <v>-2.2605744624332635E-2</v>
      </c>
      <c r="AA313" s="6">
        <f t="shared" si="8"/>
        <v>3.7297264264750635E-2</v>
      </c>
      <c r="AB313" s="6">
        <f t="shared" si="9"/>
        <v>-6.09460076514543E-3</v>
      </c>
      <c r="AC313" s="6">
        <f t="shared" si="10"/>
        <v>2.6267932870862543E-2</v>
      </c>
      <c r="AD313" s="6">
        <f t="shared" si="11"/>
        <v>1.7754935421433998E-2</v>
      </c>
      <c r="AE313" s="6">
        <f t="shared" si="12"/>
        <v>9.5650247941419422E-2</v>
      </c>
      <c r="AF313" s="6">
        <f t="shared" si="13"/>
        <v>7.0742244743869795E-2</v>
      </c>
    </row>
    <row r="314" spans="4:32" x14ac:dyDescent="0.3">
      <c r="D314" s="6">
        <v>-1.4564876952733591E-3</v>
      </c>
      <c r="E314" s="6">
        <v>-2.6999086151434488E-2</v>
      </c>
      <c r="F314" s="6">
        <v>1.1381395490146532E-2</v>
      </c>
      <c r="G314" s="6">
        <v>4.4221204388455421E-2</v>
      </c>
      <c r="H314" s="6">
        <v>-0.11425845318279786</v>
      </c>
      <c r="I314" s="6">
        <v>-1.1979690382716714E-2</v>
      </c>
      <c r="J314" s="6">
        <v>1.9438047766150261E-2</v>
      </c>
      <c r="K314" s="6">
        <v>-5.9732958805953196E-2</v>
      </c>
      <c r="L314" s="6">
        <v>-7.1253913258352897E-2</v>
      </c>
      <c r="M314" s="6">
        <v>-9.5103008724666482E-2</v>
      </c>
      <c r="N314" s="6">
        <v>-1.653981725360441E-2</v>
      </c>
      <c r="O314" s="6">
        <v>-4.3537710298682107E-2</v>
      </c>
      <c r="P314" s="6">
        <v>-2.6791440755090049E-2</v>
      </c>
      <c r="Q314" s="6">
        <v>-2.7319977669562866E-2</v>
      </c>
      <c r="S314" s="6">
        <f t="shared" si="0"/>
        <v>-3.244505683083293E-3</v>
      </c>
      <c r="T314" s="6">
        <f t="shared" si="1"/>
        <v>-3.6828562647878982E-2</v>
      </c>
      <c r="U314" s="6">
        <f t="shared" si="2"/>
        <v>8.8220413439368053E-3</v>
      </c>
      <c r="V314" s="6">
        <f t="shared" si="3"/>
        <v>4.1511856052984311E-2</v>
      </c>
      <c r="W314" s="6">
        <f t="shared" si="4"/>
        <v>-0.11511523099540864</v>
      </c>
      <c r="X314" s="6">
        <f t="shared" si="5"/>
        <v>-1.3459330103946347E-2</v>
      </c>
      <c r="Y314" s="6">
        <f t="shared" si="6"/>
        <v>1.5572460455954331E-2</v>
      </c>
      <c r="Z314" s="6">
        <f t="shared" si="7"/>
        <v>-5.1594077270122995E-2</v>
      </c>
      <c r="AA314" s="6">
        <f t="shared" si="8"/>
        <v>-7.6522598600885852E-2</v>
      </c>
      <c r="AB314" s="6">
        <f t="shared" si="9"/>
        <v>-9.7357132095906934E-2</v>
      </c>
      <c r="AC314" s="6">
        <f t="shared" si="10"/>
        <v>-2.0698571013449803E-2</v>
      </c>
      <c r="AD314" s="6">
        <f t="shared" si="11"/>
        <v>-5.5815061976123181E-2</v>
      </c>
      <c r="AE314" s="6">
        <f t="shared" si="12"/>
        <v>-2.3720374106763791E-2</v>
      </c>
      <c r="AF314" s="6">
        <f t="shared" si="13"/>
        <v>-2.3792276345117314E-2</v>
      </c>
    </row>
    <row r="315" spans="4:32" x14ac:dyDescent="0.3">
      <c r="D315" s="6">
        <v>3.3346500722198176E-3</v>
      </c>
      <c r="E315" s="6">
        <v>-1.0409015914735526E-2</v>
      </c>
      <c r="F315" s="6">
        <v>-1.8901798596315203E-2</v>
      </c>
      <c r="G315" s="6">
        <v>4.1419360608964534E-3</v>
      </c>
      <c r="H315" s="6">
        <v>-3.2427174255940426E-4</v>
      </c>
      <c r="I315" s="6">
        <v>4.3994791594848424E-3</v>
      </c>
      <c r="J315" s="6">
        <v>2.463617822634365E-2</v>
      </c>
      <c r="K315" s="6">
        <v>1.223544675883835E-2</v>
      </c>
      <c r="L315" s="6">
        <v>6.0339253390054304E-2</v>
      </c>
      <c r="M315" s="6">
        <v>0.12914761168447714</v>
      </c>
      <c r="N315" s="6">
        <v>9.5755599195721311E-3</v>
      </c>
      <c r="O315" s="6">
        <v>8.5258708877687939E-2</v>
      </c>
      <c r="P315" s="6">
        <v>-3.7524275265143667E-2</v>
      </c>
      <c r="Q315" s="6">
        <v>-3.3253859954287368E-2</v>
      </c>
      <c r="S315" s="6">
        <f t="shared" ref="S315:S378" si="14">IFERROR(D315-D$448,"NA")</f>
        <v>1.5466320844098839E-3</v>
      </c>
      <c r="T315" s="6">
        <f t="shared" ref="T315:T378" si="15">IFERROR(E315-E$448,"NA")</f>
        <v>-2.0238492411180024E-2</v>
      </c>
      <c r="U315" s="6">
        <f t="shared" ref="U315:U378" si="16">IFERROR(F315-F$448,"NA")</f>
        <v>-2.1461152742524931E-2</v>
      </c>
      <c r="V315" s="6">
        <f t="shared" ref="V315:V378" si="17">IFERROR(G315-G$448,"NA")</f>
        <v>1.4325877254253469E-3</v>
      </c>
      <c r="W315" s="6">
        <f t="shared" ref="W315:W378" si="18">IFERROR(H315-H$448,"NA")</f>
        <v>-1.1810495551701937E-3</v>
      </c>
      <c r="X315" s="6">
        <f t="shared" ref="X315:X378" si="19">IFERROR(I315-I$448,"NA")</f>
        <v>2.9198394382552104E-3</v>
      </c>
      <c r="Y315" s="6">
        <f t="shared" ref="Y315:Y378" si="20">IFERROR(J315-J$448,"NA")</f>
        <v>2.0770590916147722E-2</v>
      </c>
      <c r="Z315" s="6">
        <f t="shared" ref="Z315:Z378" si="21">IFERROR(K315-K$448,"NA")</f>
        <v>2.0374328294668547E-2</v>
      </c>
      <c r="AA315" s="6">
        <f t="shared" ref="AA315:AA378" si="22">IFERROR(L315-L$448,"NA")</f>
        <v>5.5070568047521348E-2</v>
      </c>
      <c r="AB315" s="6">
        <f t="shared" ref="AB315:AB378" si="23">IFERROR(M315-M$448,"NA")</f>
        <v>0.12689348831323669</v>
      </c>
      <c r="AC315" s="6">
        <f t="shared" ref="AC315:AC378" si="24">IFERROR(N315-N$448,"NA")</f>
        <v>5.4168061597267376E-3</v>
      </c>
      <c r="AD315" s="6">
        <f t="shared" ref="AD315:AD378" si="25">IFERROR(O315-O$448,"NA")</f>
        <v>7.2981357200246857E-2</v>
      </c>
      <c r="AE315" s="6">
        <f t="shared" ref="AE315:AE378" si="26">IFERROR(P315-P$448,"NA")</f>
        <v>-3.4453208616817409E-2</v>
      </c>
      <c r="AF315" s="6">
        <f t="shared" ref="AF315:AF378" si="27">IFERROR(Q315-Q$448,"NA")</f>
        <v>-2.9726158629841817E-2</v>
      </c>
    </row>
    <row r="316" spans="4:32" x14ac:dyDescent="0.3">
      <c r="D316" s="6">
        <v>-1.1507132663026195E-3</v>
      </c>
      <c r="E316" s="6">
        <v>1.3363227812167158E-2</v>
      </c>
      <c r="F316" s="6">
        <v>-1.328903850053752E-3</v>
      </c>
      <c r="G316" s="6">
        <v>-3.2297001625990855E-2</v>
      </c>
      <c r="H316" s="6">
        <v>-0.11392562019394366</v>
      </c>
      <c r="I316" s="6">
        <v>4.2494577998377372E-2</v>
      </c>
      <c r="J316" s="6">
        <v>-3.9601841351536909E-2</v>
      </c>
      <c r="K316" s="6">
        <v>-6.5724131709824635E-2</v>
      </c>
      <c r="L316" s="6">
        <v>-2.6268206873781192E-2</v>
      </c>
      <c r="M316" s="6">
        <v>-0.16899352023167666</v>
      </c>
      <c r="N316" s="6">
        <v>-2.0864181651143506E-2</v>
      </c>
      <c r="O316" s="6">
        <v>-7.4195289333432543E-2</v>
      </c>
      <c r="P316" s="6">
        <v>-6.1303319351059656E-2</v>
      </c>
      <c r="Q316" s="6">
        <v>-8.275621804937458E-2</v>
      </c>
      <c r="S316" s="6">
        <f t="shared" si="14"/>
        <v>-2.938731254112553E-3</v>
      </c>
      <c r="T316" s="6">
        <f t="shared" si="15"/>
        <v>3.5337513157226615E-3</v>
      </c>
      <c r="U316" s="6">
        <f t="shared" si="16"/>
        <v>-3.8882579962634788E-3</v>
      </c>
      <c r="V316" s="6">
        <f t="shared" si="17"/>
        <v>-3.5006349961461965E-2</v>
      </c>
      <c r="W316" s="6">
        <f t="shared" si="18"/>
        <v>-0.11478239800655445</v>
      </c>
      <c r="X316" s="6">
        <f t="shared" si="19"/>
        <v>4.1014938277147743E-2</v>
      </c>
      <c r="Y316" s="6">
        <f t="shared" si="20"/>
        <v>-4.3467428661732838E-2</v>
      </c>
      <c r="Z316" s="6">
        <f t="shared" si="21"/>
        <v>-5.7585250173994434E-2</v>
      </c>
      <c r="AA316" s="6">
        <f t="shared" si="22"/>
        <v>-3.1536892216314144E-2</v>
      </c>
      <c r="AB316" s="6">
        <f t="shared" si="23"/>
        <v>-0.17124764360291711</v>
      </c>
      <c r="AC316" s="6">
        <f t="shared" si="24"/>
        <v>-2.5022935410988899E-2</v>
      </c>
      <c r="AD316" s="6">
        <f t="shared" si="25"/>
        <v>-8.6472641010873624E-2</v>
      </c>
      <c r="AE316" s="6">
        <f t="shared" si="26"/>
        <v>-5.8232252702733397E-2</v>
      </c>
      <c r="AF316" s="6">
        <f t="shared" si="27"/>
        <v>-7.9228516724929032E-2</v>
      </c>
    </row>
    <row r="317" spans="4:32" x14ac:dyDescent="0.3">
      <c r="D317" s="6">
        <v>2.7847631580229827E-2</v>
      </c>
      <c r="E317" s="6">
        <v>2.2964377120248649E-2</v>
      </c>
      <c r="F317" s="6">
        <v>7.2541997014379772E-2</v>
      </c>
      <c r="G317" s="6">
        <v>1.8143858481585135E-2</v>
      </c>
      <c r="H317" s="6">
        <v>-4.6753174206414618E-3</v>
      </c>
      <c r="I317" s="6">
        <v>-1.4218025868904076E-2</v>
      </c>
      <c r="J317" s="6">
        <v>0.1211957681881229</v>
      </c>
      <c r="K317" s="6">
        <v>-0.13911280246271771</v>
      </c>
      <c r="L317" s="6">
        <v>-9.678574807114658E-2</v>
      </c>
      <c r="M317" s="6">
        <v>-9.3127604007065795E-2</v>
      </c>
      <c r="N317" s="6">
        <v>7.1105664814289692E-3</v>
      </c>
      <c r="O317" s="6">
        <v>-5.3999307249400053E-2</v>
      </c>
      <c r="P317" s="6">
        <v>-3.2210031129916841E-2</v>
      </c>
      <c r="Q317" s="6">
        <v>-4.0672219345535873E-2</v>
      </c>
      <c r="S317" s="6">
        <f t="shared" si="14"/>
        <v>2.6059613592419893E-2</v>
      </c>
      <c r="T317" s="6">
        <f t="shared" si="15"/>
        <v>1.3134900623804152E-2</v>
      </c>
      <c r="U317" s="6">
        <f t="shared" si="16"/>
        <v>6.9982642868170047E-2</v>
      </c>
      <c r="V317" s="6">
        <f t="shared" si="17"/>
        <v>1.5434510146114029E-2</v>
      </c>
      <c r="W317" s="6">
        <f t="shared" si="18"/>
        <v>-5.5320952332522516E-3</v>
      </c>
      <c r="X317" s="6">
        <f t="shared" si="19"/>
        <v>-1.5697665590133709E-2</v>
      </c>
      <c r="Y317" s="6">
        <f t="shared" si="20"/>
        <v>0.11733018087792697</v>
      </c>
      <c r="Z317" s="6">
        <f t="shared" si="21"/>
        <v>-0.1309739209268875</v>
      </c>
      <c r="AA317" s="6">
        <f t="shared" si="22"/>
        <v>-0.10205443341367954</v>
      </c>
      <c r="AB317" s="6">
        <f t="shared" si="23"/>
        <v>-9.5381727378306247E-2</v>
      </c>
      <c r="AC317" s="6">
        <f t="shared" si="24"/>
        <v>2.9518127215835757E-3</v>
      </c>
      <c r="AD317" s="6">
        <f t="shared" si="25"/>
        <v>-6.6276658926841134E-2</v>
      </c>
      <c r="AE317" s="6">
        <f t="shared" si="26"/>
        <v>-2.9138964481590583E-2</v>
      </c>
      <c r="AF317" s="6">
        <f t="shared" si="27"/>
        <v>-3.7144518021090318E-2</v>
      </c>
    </row>
    <row r="318" spans="4:32" x14ac:dyDescent="0.3">
      <c r="D318" s="6">
        <v>2.2666665976363163E-2</v>
      </c>
      <c r="E318" s="6">
        <v>3.2964175538975973E-2</v>
      </c>
      <c r="F318" s="6">
        <v>1.0972581807188825E-2</v>
      </c>
      <c r="G318" s="6">
        <v>-1.6627126747079463E-2</v>
      </c>
      <c r="H318" s="6">
        <v>3.4396428493906873E-2</v>
      </c>
      <c r="I318" s="6">
        <v>1.8948371372820376E-3</v>
      </c>
      <c r="J318" s="6">
        <v>-3.1877567061939595E-2</v>
      </c>
      <c r="K318" s="6">
        <v>-5.6685776175433022E-2</v>
      </c>
      <c r="L318" s="6">
        <v>1.9794460730914527E-2</v>
      </c>
      <c r="M318" s="6">
        <v>7.9484827603279434E-2</v>
      </c>
      <c r="N318" s="6">
        <v>0.19538666731554599</v>
      </c>
      <c r="O318" s="6">
        <v>-4.4862404057260059E-2</v>
      </c>
      <c r="P318" s="6">
        <v>-2.2307095141414629E-2</v>
      </c>
      <c r="Q318" s="6">
        <v>3.1565546267344084E-2</v>
      </c>
      <c r="S318" s="6">
        <f t="shared" si="14"/>
        <v>2.0878647988553229E-2</v>
      </c>
      <c r="T318" s="6">
        <f t="shared" si="15"/>
        <v>2.3134699042531476E-2</v>
      </c>
      <c r="U318" s="6">
        <f t="shared" si="16"/>
        <v>8.4132276609790984E-3</v>
      </c>
      <c r="V318" s="6">
        <f t="shared" si="17"/>
        <v>-1.9336475082550569E-2</v>
      </c>
      <c r="W318" s="6">
        <f t="shared" si="18"/>
        <v>3.3539650681296086E-2</v>
      </c>
      <c r="X318" s="6">
        <f t="shared" si="19"/>
        <v>4.151974160524056E-4</v>
      </c>
      <c r="Y318" s="6">
        <f t="shared" si="20"/>
        <v>-3.5743154372135523E-2</v>
      </c>
      <c r="Z318" s="6">
        <f t="shared" si="21"/>
        <v>-4.8546894639602822E-2</v>
      </c>
      <c r="AA318" s="6">
        <f t="shared" si="22"/>
        <v>1.4525775388381573E-2</v>
      </c>
      <c r="AB318" s="6">
        <f t="shared" si="23"/>
        <v>7.7230704232038982E-2</v>
      </c>
      <c r="AC318" s="6">
        <f t="shared" si="24"/>
        <v>0.1912279135557006</v>
      </c>
      <c r="AD318" s="6">
        <f t="shared" si="25"/>
        <v>-5.7139755734701134E-2</v>
      </c>
      <c r="AE318" s="6">
        <f t="shared" si="26"/>
        <v>-1.9236028493088371E-2</v>
      </c>
      <c r="AF318" s="6">
        <f t="shared" si="27"/>
        <v>3.5093247591789639E-2</v>
      </c>
    </row>
    <row r="319" spans="4:32" x14ac:dyDescent="0.3">
      <c r="D319" s="6">
        <v>-5.778024973302702E-3</v>
      </c>
      <c r="E319" s="6">
        <v>-1.1925781468885179E-2</v>
      </c>
      <c r="F319" s="6">
        <v>-5.4226917038825827E-3</v>
      </c>
      <c r="G319" s="6">
        <v>0.10714919634424622</v>
      </c>
      <c r="H319" s="6">
        <v>-1.2306391260165469E-2</v>
      </c>
      <c r="I319" s="6">
        <v>4.2709469099471785E-2</v>
      </c>
      <c r="J319" s="6">
        <v>4.4150182091166933E-3</v>
      </c>
      <c r="K319" s="6">
        <v>3.8145268259690501E-2</v>
      </c>
      <c r="L319" s="6">
        <v>6.1599334581434996E-2</v>
      </c>
      <c r="M319" s="6">
        <v>-1.5573943433206698E-2</v>
      </c>
      <c r="N319" s="6">
        <v>1.8373220256619322E-2</v>
      </c>
      <c r="O319" s="6">
        <v>0.24846135929849955</v>
      </c>
      <c r="P319" s="6">
        <v>-2.2816077131838974E-2</v>
      </c>
      <c r="Q319" s="6">
        <v>4.5637029400941954E-3</v>
      </c>
      <c r="S319" s="6">
        <f t="shared" si="14"/>
        <v>-7.5660429611126359E-3</v>
      </c>
      <c r="T319" s="6">
        <f t="shared" si="15"/>
        <v>-2.1755257965329677E-2</v>
      </c>
      <c r="U319" s="6">
        <f t="shared" si="16"/>
        <v>-7.9820458500923092E-3</v>
      </c>
      <c r="V319" s="6">
        <f t="shared" si="17"/>
        <v>0.10443984800877511</v>
      </c>
      <c r="W319" s="6">
        <f t="shared" si="18"/>
        <v>-1.3163169072776258E-2</v>
      </c>
      <c r="X319" s="6">
        <f t="shared" si="19"/>
        <v>4.1229829378242155E-2</v>
      </c>
      <c r="Y319" s="6">
        <f t="shared" si="20"/>
        <v>5.4943089892076384E-4</v>
      </c>
      <c r="Z319" s="6">
        <f t="shared" si="21"/>
        <v>4.6284149795520702E-2</v>
      </c>
      <c r="AA319" s="6">
        <f t="shared" si="22"/>
        <v>5.6330649238902041E-2</v>
      </c>
      <c r="AB319" s="6">
        <f t="shared" si="23"/>
        <v>-1.7828066804447144E-2</v>
      </c>
      <c r="AC319" s="6">
        <f t="shared" si="24"/>
        <v>1.421446649677393E-2</v>
      </c>
      <c r="AD319" s="6">
        <f t="shared" si="25"/>
        <v>0.23618400762105848</v>
      </c>
      <c r="AE319" s="6">
        <f t="shared" si="26"/>
        <v>-1.9745010483512716E-2</v>
      </c>
      <c r="AF319" s="6">
        <f t="shared" si="27"/>
        <v>8.0914042645397477E-3</v>
      </c>
    </row>
    <row r="320" spans="4:32" x14ac:dyDescent="0.3">
      <c r="D320" s="6">
        <v>1.4896890673710132E-2</v>
      </c>
      <c r="E320" s="6">
        <v>9.8065090730796278E-2</v>
      </c>
      <c r="F320" s="6">
        <v>2.987580919588809E-2</v>
      </c>
      <c r="G320" s="6">
        <v>4.3707793405685848E-2</v>
      </c>
      <c r="H320" s="6">
        <v>6.9889401658115732E-2</v>
      </c>
      <c r="I320" s="6">
        <v>5.2901831305928147E-2</v>
      </c>
      <c r="J320" s="6">
        <v>4.9358229738251366E-2</v>
      </c>
      <c r="K320" s="6">
        <v>0.12825433552367885</v>
      </c>
      <c r="L320" s="6">
        <v>0.1054987231074279</v>
      </c>
      <c r="M320" s="6">
        <v>-9.8143094103986736E-3</v>
      </c>
      <c r="N320" s="6">
        <v>1.8807716564741551E-2</v>
      </c>
      <c r="O320" s="6">
        <v>0.20915137900313091</v>
      </c>
      <c r="P320" s="6">
        <v>-2.1065288998014201E-2</v>
      </c>
      <c r="Q320" s="6">
        <v>8.5426933013935558E-2</v>
      </c>
      <c r="S320" s="6">
        <f t="shared" si="14"/>
        <v>1.3108872685900198E-2</v>
      </c>
      <c r="T320" s="6">
        <f t="shared" si="15"/>
        <v>8.8235614234351778E-2</v>
      </c>
      <c r="U320" s="6">
        <f t="shared" si="16"/>
        <v>2.7316455049678362E-2</v>
      </c>
      <c r="V320" s="6">
        <f t="shared" si="17"/>
        <v>4.0998445070214738E-2</v>
      </c>
      <c r="W320" s="6">
        <f t="shared" si="18"/>
        <v>6.9032623845504945E-2</v>
      </c>
      <c r="X320" s="6">
        <f t="shared" si="19"/>
        <v>5.1422191584698518E-2</v>
      </c>
      <c r="Y320" s="6">
        <f t="shared" si="20"/>
        <v>4.5492642428055438E-2</v>
      </c>
      <c r="Z320" s="6">
        <f t="shared" si="21"/>
        <v>0.13639321705950905</v>
      </c>
      <c r="AA320" s="6">
        <f t="shared" si="22"/>
        <v>0.10023003776489495</v>
      </c>
      <c r="AB320" s="6">
        <f t="shared" si="23"/>
        <v>-1.206843278163912E-2</v>
      </c>
      <c r="AC320" s="6">
        <f t="shared" si="24"/>
        <v>1.4648962804896158E-2</v>
      </c>
      <c r="AD320" s="6">
        <f t="shared" si="25"/>
        <v>0.19687402732568984</v>
      </c>
      <c r="AE320" s="6">
        <f t="shared" si="26"/>
        <v>-1.7994222349687942E-2</v>
      </c>
      <c r="AF320" s="6">
        <f t="shared" si="27"/>
        <v>8.8954634338381106E-2</v>
      </c>
    </row>
    <row r="321" spans="4:32" x14ac:dyDescent="0.3">
      <c r="D321" s="6">
        <v>1.5402610078958693E-3</v>
      </c>
      <c r="E321" s="6">
        <v>0.21993944732342677</v>
      </c>
      <c r="F321" s="6">
        <v>4.4692111077323564E-2</v>
      </c>
      <c r="G321" s="6">
        <v>1.4957630203240695E-2</v>
      </c>
      <c r="H321" s="6">
        <v>6.9836303862605156E-2</v>
      </c>
      <c r="I321" s="6">
        <v>3.2664945098933147E-2</v>
      </c>
      <c r="J321" s="6">
        <v>6.4630114402477318E-2</v>
      </c>
      <c r="K321" s="6">
        <v>5.6014641554671306E-2</v>
      </c>
      <c r="L321" s="6">
        <v>6.2930678670917228E-2</v>
      </c>
      <c r="M321" s="6">
        <v>2.4626221768264517E-3</v>
      </c>
      <c r="N321" s="6">
        <v>-1.8807716564741676E-2</v>
      </c>
      <c r="O321" s="6">
        <v>0.15329634402134265</v>
      </c>
      <c r="P321" s="6">
        <v>6.3337933775453104E-2</v>
      </c>
      <c r="Q321" s="6">
        <v>-4.5717191297074605E-2</v>
      </c>
      <c r="S321" s="6">
        <f t="shared" si="14"/>
        <v>-2.4775697991406441E-4</v>
      </c>
      <c r="T321" s="6">
        <f t="shared" si="15"/>
        <v>0.21010997082698227</v>
      </c>
      <c r="U321" s="6">
        <f t="shared" si="16"/>
        <v>4.2132756931113839E-2</v>
      </c>
      <c r="V321" s="6">
        <f t="shared" si="17"/>
        <v>1.2248281867769589E-2</v>
      </c>
      <c r="W321" s="6">
        <f t="shared" si="18"/>
        <v>6.8979526049994369E-2</v>
      </c>
      <c r="X321" s="6">
        <f t="shared" si="19"/>
        <v>3.1185305377703514E-2</v>
      </c>
      <c r="Y321" s="6">
        <f t="shared" si="20"/>
        <v>6.076452709228139E-2</v>
      </c>
      <c r="Z321" s="6">
        <f t="shared" si="21"/>
        <v>6.4153523090501499E-2</v>
      </c>
      <c r="AA321" s="6">
        <f t="shared" si="22"/>
        <v>5.7661993328384273E-2</v>
      </c>
      <c r="AB321" s="6">
        <f t="shared" si="23"/>
        <v>2.0849880558600513E-4</v>
      </c>
      <c r="AC321" s="6">
        <f t="shared" si="24"/>
        <v>-2.2966470324587068E-2</v>
      </c>
      <c r="AD321" s="6">
        <f t="shared" si="25"/>
        <v>0.14101899234390158</v>
      </c>
      <c r="AE321" s="6">
        <f t="shared" si="26"/>
        <v>6.6409000423779355E-2</v>
      </c>
      <c r="AF321" s="6">
        <f t="shared" si="27"/>
        <v>-4.218948997262905E-2</v>
      </c>
    </row>
    <row r="322" spans="4:32" x14ac:dyDescent="0.3">
      <c r="D322" s="6">
        <v>3.0980647068657906E-2</v>
      </c>
      <c r="E322" s="6">
        <v>9.7088141269606847E-3</v>
      </c>
      <c r="F322" s="6">
        <v>7.5117443100765355E-3</v>
      </c>
      <c r="G322" s="6">
        <v>4.8138640210735771E-4</v>
      </c>
      <c r="H322" s="6">
        <v>0.10226518806065771</v>
      </c>
      <c r="I322" s="6">
        <v>3.3887675410339151E-2</v>
      </c>
      <c r="J322" s="6">
        <v>3.9545038511689605E-2</v>
      </c>
      <c r="K322" s="6">
        <v>1.2566622599858641E-2</v>
      </c>
      <c r="L322" s="6">
        <v>-1.8334719993128447E-2</v>
      </c>
      <c r="M322" s="6">
        <v>0.12579334407099982</v>
      </c>
      <c r="N322" s="6">
        <v>3.2747873874854519E-2</v>
      </c>
      <c r="O322" s="6">
        <v>6.1787487765681284E-2</v>
      </c>
      <c r="P322" s="6">
        <v>7.0431028042214155E-2</v>
      </c>
      <c r="Q322" s="6">
        <v>1.2297695474661375E-2</v>
      </c>
      <c r="S322" s="6">
        <f t="shared" si="14"/>
        <v>2.9192629080847972E-2</v>
      </c>
      <c r="T322" s="6">
        <f t="shared" si="15"/>
        <v>-1.2066236948381215E-4</v>
      </c>
      <c r="U322" s="6">
        <f t="shared" si="16"/>
        <v>4.9523901638668082E-3</v>
      </c>
      <c r="V322" s="6">
        <f t="shared" si="17"/>
        <v>-2.2279619333637488E-3</v>
      </c>
      <c r="W322" s="6">
        <f t="shared" si="18"/>
        <v>0.10140841024804692</v>
      </c>
      <c r="X322" s="6">
        <f t="shared" si="19"/>
        <v>3.2408035689109521E-2</v>
      </c>
      <c r="Y322" s="6">
        <f t="shared" si="20"/>
        <v>3.5679451201493677E-2</v>
      </c>
      <c r="Z322" s="6">
        <f t="shared" si="21"/>
        <v>2.0705504135688838E-2</v>
      </c>
      <c r="AA322" s="6">
        <f t="shared" si="22"/>
        <v>-2.3603405335661402E-2</v>
      </c>
      <c r="AB322" s="6">
        <f t="shared" si="23"/>
        <v>0.12353922069975937</v>
      </c>
      <c r="AC322" s="6">
        <f t="shared" si="24"/>
        <v>2.8589120115009126E-2</v>
      </c>
      <c r="AD322" s="6">
        <f t="shared" si="25"/>
        <v>4.9510136088240203E-2</v>
      </c>
      <c r="AE322" s="6">
        <f t="shared" si="26"/>
        <v>7.3502094690540407E-2</v>
      </c>
      <c r="AF322" s="6">
        <f t="shared" si="27"/>
        <v>1.5825396799106928E-2</v>
      </c>
    </row>
    <row r="323" spans="4:32" x14ac:dyDescent="0.3">
      <c r="D323" s="6">
        <v>5.5262358059044708E-5</v>
      </c>
      <c r="E323" s="6">
        <v>-1.4340834760880323E-2</v>
      </c>
      <c r="F323" s="6">
        <v>-2.6006086626644491E-2</v>
      </c>
      <c r="G323" s="6">
        <v>-1.9765730567712206E-2</v>
      </c>
      <c r="H323" s="6">
        <v>0.13297040901858076</v>
      </c>
      <c r="I323" s="6">
        <v>-6.6214712209007008E-3</v>
      </c>
      <c r="J323" s="6">
        <v>-2.8501073436594363E-2</v>
      </c>
      <c r="K323" s="6">
        <v>-3.1222048261359988E-2</v>
      </c>
      <c r="L323" s="6">
        <v>-1.1899758169076138E-2</v>
      </c>
      <c r="M323" s="6">
        <v>-0.19187909106051773</v>
      </c>
      <c r="N323" s="6">
        <v>3.1221564689738794E-2</v>
      </c>
      <c r="O323" s="6">
        <v>3.3855636939338726E-2</v>
      </c>
      <c r="P323" s="6">
        <v>0.14436376381252131</v>
      </c>
      <c r="Q323" s="6">
        <v>7.4498997709222207E-4</v>
      </c>
      <c r="S323" s="6">
        <f t="shared" si="14"/>
        <v>-1.7327556297508889E-3</v>
      </c>
      <c r="T323" s="6">
        <f t="shared" si="15"/>
        <v>-2.4170311257324821E-2</v>
      </c>
      <c r="U323" s="6">
        <f t="shared" si="16"/>
        <v>-2.8565440772854219E-2</v>
      </c>
      <c r="V323" s="6">
        <f t="shared" si="17"/>
        <v>-2.2475078903183312E-2</v>
      </c>
      <c r="W323" s="6">
        <f t="shared" si="18"/>
        <v>0.13211363120596997</v>
      </c>
      <c r="X323" s="6">
        <f t="shared" si="19"/>
        <v>-8.1011109421303337E-3</v>
      </c>
      <c r="Y323" s="6">
        <f t="shared" si="20"/>
        <v>-3.2366660746790295E-2</v>
      </c>
      <c r="Z323" s="6">
        <f t="shared" si="21"/>
        <v>-2.3083166725529791E-2</v>
      </c>
      <c r="AA323" s="6">
        <f t="shared" si="22"/>
        <v>-1.7168443511609094E-2</v>
      </c>
      <c r="AB323" s="6">
        <f t="shared" si="23"/>
        <v>-0.19413321443175818</v>
      </c>
      <c r="AC323" s="6">
        <f t="shared" si="24"/>
        <v>2.7062810929893402E-2</v>
      </c>
      <c r="AD323" s="6">
        <f t="shared" si="25"/>
        <v>2.1578285261897649E-2</v>
      </c>
      <c r="AE323" s="6">
        <f t="shared" si="26"/>
        <v>0.14743483046084757</v>
      </c>
      <c r="AF323" s="6">
        <f t="shared" si="27"/>
        <v>4.2726913015377743E-3</v>
      </c>
    </row>
    <row r="324" spans="4:32" x14ac:dyDescent="0.3">
      <c r="D324" s="6">
        <v>2.1647286752214241E-2</v>
      </c>
      <c r="E324" s="6">
        <v>9.6317949087032798E-2</v>
      </c>
      <c r="F324" s="6">
        <v>4.6457421352234012E-2</v>
      </c>
      <c r="G324" s="6">
        <v>1.0579525759550863E-2</v>
      </c>
      <c r="H324" s="6">
        <v>6.3950172971977845E-2</v>
      </c>
      <c r="I324" s="6">
        <v>1.65518803663794E-2</v>
      </c>
      <c r="J324" s="6">
        <v>5.8813540394974745E-2</v>
      </c>
      <c r="K324" s="6">
        <v>5.6827999166531196E-2</v>
      </c>
      <c r="L324" s="6">
        <v>3.6830893466973054E-2</v>
      </c>
      <c r="M324" s="6">
        <v>4.2442302733244543E-2</v>
      </c>
      <c r="N324" s="6">
        <v>5.9892468031441E-2</v>
      </c>
      <c r="O324" s="6">
        <v>8.1782461476728088E-2</v>
      </c>
      <c r="P324" s="6">
        <v>1.7265178809958363E-2</v>
      </c>
      <c r="Q324" s="6">
        <v>4.2572026217452014E-2</v>
      </c>
      <c r="S324" s="6">
        <f t="shared" si="14"/>
        <v>1.9859268764404307E-2</v>
      </c>
      <c r="T324" s="6">
        <f t="shared" si="15"/>
        <v>8.6488472590588297E-2</v>
      </c>
      <c r="U324" s="6">
        <f t="shared" si="16"/>
        <v>4.3898067206024287E-2</v>
      </c>
      <c r="V324" s="6">
        <f t="shared" si="17"/>
        <v>7.8701774240797565E-3</v>
      </c>
      <c r="W324" s="6">
        <f t="shared" si="18"/>
        <v>6.3093395159367058E-2</v>
      </c>
      <c r="X324" s="6">
        <f t="shared" si="19"/>
        <v>1.5072240645149768E-2</v>
      </c>
      <c r="Y324" s="6">
        <f t="shared" si="20"/>
        <v>5.4947953084778817E-2</v>
      </c>
      <c r="Z324" s="6">
        <f t="shared" si="21"/>
        <v>6.4966880702361396E-2</v>
      </c>
      <c r="AA324" s="6">
        <f t="shared" si="22"/>
        <v>3.1562208124440098E-2</v>
      </c>
      <c r="AB324" s="6">
        <f t="shared" si="23"/>
        <v>4.0188179362004098E-2</v>
      </c>
      <c r="AC324" s="6">
        <f t="shared" si="24"/>
        <v>5.5733714271595604E-2</v>
      </c>
      <c r="AD324" s="6">
        <f t="shared" si="25"/>
        <v>6.9505109799287007E-2</v>
      </c>
      <c r="AE324" s="6">
        <f t="shared" si="26"/>
        <v>2.0336245458284621E-2</v>
      </c>
      <c r="AF324" s="6">
        <f t="shared" si="27"/>
        <v>4.6099727541897569E-2</v>
      </c>
    </row>
    <row r="325" spans="4:32" x14ac:dyDescent="0.3">
      <c r="D325" s="6">
        <v>9.4726219615903634E-3</v>
      </c>
      <c r="E325" s="6">
        <v>-1.1307540975463274E-2</v>
      </c>
      <c r="F325" s="6">
        <v>-2.1584952579157442E-2</v>
      </c>
      <c r="G325" s="6">
        <v>-9.679987734303579E-3</v>
      </c>
      <c r="H325" s="6">
        <v>-1.5237948087881963E-2</v>
      </c>
      <c r="I325" s="6">
        <v>3.0141203304936234E-2</v>
      </c>
      <c r="J325" s="6">
        <v>2.713732603412709E-2</v>
      </c>
      <c r="K325" s="6">
        <v>1.3023439886286823E-2</v>
      </c>
      <c r="L325" s="6">
        <v>-7.6948149637426813E-2</v>
      </c>
      <c r="M325" s="6">
        <v>0.10054592195353983</v>
      </c>
      <c r="N325" s="6">
        <v>-4.1446064394742082E-3</v>
      </c>
      <c r="O325" s="6">
        <v>-0.14996721369834717</v>
      </c>
      <c r="P325" s="6">
        <v>-0.12201819017259058</v>
      </c>
      <c r="Q325" s="6">
        <v>-5.0347185003807138E-2</v>
      </c>
      <c r="S325" s="6">
        <f t="shared" si="14"/>
        <v>7.6846039737804295E-3</v>
      </c>
      <c r="T325" s="6">
        <f t="shared" si="15"/>
        <v>-2.1137017471907771E-2</v>
      </c>
      <c r="U325" s="6">
        <f t="shared" si="16"/>
        <v>-2.414430672536717E-2</v>
      </c>
      <c r="V325" s="6">
        <f t="shared" si="17"/>
        <v>-1.2389336069774685E-2</v>
      </c>
      <c r="W325" s="6">
        <f t="shared" si="18"/>
        <v>-1.6094725900492754E-2</v>
      </c>
      <c r="X325" s="6">
        <f t="shared" si="19"/>
        <v>2.8661563583706601E-2</v>
      </c>
      <c r="Y325" s="6">
        <f t="shared" si="20"/>
        <v>2.3271738723931162E-2</v>
      </c>
      <c r="Z325" s="6">
        <f t="shared" si="21"/>
        <v>2.116232142211702E-2</v>
      </c>
      <c r="AA325" s="6">
        <f t="shared" si="22"/>
        <v>-8.2216834979959769E-2</v>
      </c>
      <c r="AB325" s="6">
        <f t="shared" si="23"/>
        <v>9.8291798582299375E-2</v>
      </c>
      <c r="AC325" s="6">
        <f t="shared" si="24"/>
        <v>-8.3033601993196017E-3</v>
      </c>
      <c r="AD325" s="6">
        <f t="shared" si="25"/>
        <v>-0.16224456537578824</v>
      </c>
      <c r="AE325" s="6">
        <f t="shared" si="26"/>
        <v>-0.11894712352426433</v>
      </c>
      <c r="AF325" s="6">
        <f t="shared" si="27"/>
        <v>-4.6819483679361583E-2</v>
      </c>
    </row>
    <row r="326" spans="4:32" x14ac:dyDescent="0.3">
      <c r="D326" s="6">
        <v>3.8307586848585352E-2</v>
      </c>
      <c r="E326" s="6">
        <v>2.129926257824849E-3</v>
      </c>
      <c r="F326" s="6">
        <v>1.6342361456957322E-2</v>
      </c>
      <c r="G326" s="6">
        <v>-2.1815441250491396E-2</v>
      </c>
      <c r="H326" s="6">
        <v>1.9947803437117884E-2</v>
      </c>
      <c r="I326" s="6">
        <v>7.9325765422078951E-3</v>
      </c>
      <c r="J326" s="6">
        <v>-6.0794684476122313E-3</v>
      </c>
      <c r="K326" s="6">
        <v>9.0087356037524033E-2</v>
      </c>
      <c r="L326" s="6">
        <v>2.2168056340472551E-2</v>
      </c>
      <c r="M326" s="6">
        <v>0.15184725508354185</v>
      </c>
      <c r="N326" s="6">
        <v>-3.930186540826869E-3</v>
      </c>
      <c r="O326" s="6">
        <v>8.8613798769353214E-2</v>
      </c>
      <c r="P326" s="6">
        <v>2.1971957955481312E-2</v>
      </c>
      <c r="Q326" s="6">
        <v>1.8736607600491846E-2</v>
      </c>
      <c r="S326" s="6">
        <f t="shared" si="14"/>
        <v>3.6519568860775418E-2</v>
      </c>
      <c r="T326" s="6">
        <f t="shared" si="15"/>
        <v>-7.6995502386196478E-3</v>
      </c>
      <c r="U326" s="6">
        <f t="shared" si="16"/>
        <v>1.3783007310747596E-2</v>
      </c>
      <c r="V326" s="6">
        <f t="shared" si="17"/>
        <v>-2.4524789585962502E-2</v>
      </c>
      <c r="W326" s="6">
        <f t="shared" si="18"/>
        <v>1.9091025624507093E-2</v>
      </c>
      <c r="X326" s="6">
        <f t="shared" si="19"/>
        <v>6.4529368209782631E-3</v>
      </c>
      <c r="Y326" s="6">
        <f t="shared" si="20"/>
        <v>-9.9450557578081612E-3</v>
      </c>
      <c r="Z326" s="6">
        <f t="shared" si="21"/>
        <v>9.8226237573354233E-2</v>
      </c>
      <c r="AA326" s="6">
        <f t="shared" si="22"/>
        <v>1.6899370997939596E-2</v>
      </c>
      <c r="AB326" s="6">
        <f t="shared" si="23"/>
        <v>0.1495931317123014</v>
      </c>
      <c r="AC326" s="6">
        <f t="shared" si="24"/>
        <v>-8.0889403006722625E-3</v>
      </c>
      <c r="AD326" s="6">
        <f t="shared" si="25"/>
        <v>7.6336447091912132E-2</v>
      </c>
      <c r="AE326" s="6">
        <f t="shared" si="26"/>
        <v>2.504302460380757E-2</v>
      </c>
      <c r="AF326" s="6">
        <f t="shared" si="27"/>
        <v>2.2264308924937398E-2</v>
      </c>
    </row>
    <row r="327" spans="4:32" x14ac:dyDescent="0.3">
      <c r="D327" s="6">
        <v>-1.710687759357539E-2</v>
      </c>
      <c r="E327" s="6">
        <v>4.7169898781388667E-3</v>
      </c>
      <c r="F327" s="6">
        <v>-9.7970566426632717E-3</v>
      </c>
      <c r="G327" s="6">
        <v>-1.8396192160184263E-3</v>
      </c>
      <c r="H327" s="6">
        <v>4.722996370311195E-2</v>
      </c>
      <c r="I327" s="6">
        <v>-4.4591447763385273E-3</v>
      </c>
      <c r="J327" s="6">
        <v>1.2294314263454897E-2</v>
      </c>
      <c r="K327" s="6">
        <v>-1.3605652055778598E-2</v>
      </c>
      <c r="L327" s="6">
        <v>-1.9387380235233551E-2</v>
      </c>
      <c r="M327" s="6">
        <v>9.5500746741538189E-2</v>
      </c>
      <c r="N327" s="6">
        <v>-6.0409105639529772E-3</v>
      </c>
      <c r="O327" s="6">
        <v>6.5210305538742589E-4</v>
      </c>
      <c r="P327" s="6">
        <v>-1.7825221550897906E-2</v>
      </c>
      <c r="Q327" s="6">
        <v>-3.309924016314416E-2</v>
      </c>
      <c r="S327" s="6">
        <f t="shared" si="14"/>
        <v>-1.8894895581385324E-2</v>
      </c>
      <c r="T327" s="6">
        <f t="shared" si="15"/>
        <v>-5.1124866183056301E-3</v>
      </c>
      <c r="U327" s="6">
        <f t="shared" si="16"/>
        <v>-1.2356410788872998E-2</v>
      </c>
      <c r="V327" s="6">
        <f t="shared" si="17"/>
        <v>-4.548967551489533E-3</v>
      </c>
      <c r="W327" s="6">
        <f t="shared" si="18"/>
        <v>4.6373185890501163E-2</v>
      </c>
      <c r="X327" s="6">
        <f t="shared" si="19"/>
        <v>-5.9387844975681593E-3</v>
      </c>
      <c r="Y327" s="6">
        <f t="shared" si="20"/>
        <v>8.4287269532589675E-3</v>
      </c>
      <c r="Z327" s="6">
        <f t="shared" si="21"/>
        <v>-5.4667705199484013E-3</v>
      </c>
      <c r="AA327" s="6">
        <f t="shared" si="22"/>
        <v>-2.4656065577766506E-2</v>
      </c>
      <c r="AB327" s="6">
        <f t="shared" si="23"/>
        <v>9.3246623370297738E-2</v>
      </c>
      <c r="AC327" s="6">
        <f t="shared" si="24"/>
        <v>-1.0199664323798371E-2</v>
      </c>
      <c r="AD327" s="6">
        <f t="shared" si="25"/>
        <v>-1.1625248622053651E-2</v>
      </c>
      <c r="AE327" s="6">
        <f t="shared" si="26"/>
        <v>-1.4754154902571648E-2</v>
      </c>
      <c r="AF327" s="6">
        <f t="shared" si="27"/>
        <v>-2.9571538838698608E-2</v>
      </c>
    </row>
    <row r="328" spans="4:32" x14ac:dyDescent="0.3">
      <c r="D328" s="6">
        <v>5.2442509910424225E-5</v>
      </c>
      <c r="E328" s="6">
        <v>6.7548691906548081E-2</v>
      </c>
      <c r="F328" s="6">
        <v>2.3504291001622171E-2</v>
      </c>
      <c r="G328" s="6">
        <v>4.8519111766965606E-2</v>
      </c>
      <c r="H328" s="6">
        <v>2.5009849627301087E-2</v>
      </c>
      <c r="I328" s="6">
        <v>3.7060885099851296E-2</v>
      </c>
      <c r="J328" s="6">
        <v>6.1213635215807645E-2</v>
      </c>
      <c r="K328" s="6">
        <v>0.11854378122369254</v>
      </c>
      <c r="L328" s="6">
        <v>3.6466811168179333E-2</v>
      </c>
      <c r="M328" s="6">
        <v>0.29101112864850792</v>
      </c>
      <c r="N328" s="6">
        <v>4.1986545717431198E-2</v>
      </c>
      <c r="O328" s="6">
        <v>6.6817538891042513E-2</v>
      </c>
      <c r="P328" s="6">
        <v>0.1639026605431543</v>
      </c>
      <c r="Q328" s="6">
        <v>7.224629120449956E-2</v>
      </c>
      <c r="S328" s="6">
        <f t="shared" si="14"/>
        <v>-1.7355754778995095E-3</v>
      </c>
      <c r="T328" s="6">
        <f t="shared" si="15"/>
        <v>5.771921541010358E-2</v>
      </c>
      <c r="U328" s="6">
        <f t="shared" si="16"/>
        <v>2.0944936855412443E-2</v>
      </c>
      <c r="V328" s="6">
        <f t="shared" si="17"/>
        <v>4.5809763431494496E-2</v>
      </c>
      <c r="W328" s="6">
        <f t="shared" si="18"/>
        <v>2.4153071814690296E-2</v>
      </c>
      <c r="X328" s="6">
        <f t="shared" si="19"/>
        <v>3.5581245378621666E-2</v>
      </c>
      <c r="Y328" s="6">
        <f t="shared" si="20"/>
        <v>5.7348047905611717E-2</v>
      </c>
      <c r="Z328" s="6">
        <f t="shared" si="21"/>
        <v>0.12668266275952272</v>
      </c>
      <c r="AA328" s="6">
        <f t="shared" si="22"/>
        <v>3.1198125825646378E-2</v>
      </c>
      <c r="AB328" s="6">
        <f t="shared" si="23"/>
        <v>0.2887570052772675</v>
      </c>
      <c r="AC328" s="6">
        <f t="shared" si="24"/>
        <v>3.7827791957585802E-2</v>
      </c>
      <c r="AD328" s="6">
        <f t="shared" si="25"/>
        <v>5.4540187213601432E-2</v>
      </c>
      <c r="AE328" s="6">
        <f t="shared" si="26"/>
        <v>0.16697372719148057</v>
      </c>
      <c r="AF328" s="6">
        <f t="shared" si="27"/>
        <v>7.5773992528945108E-2</v>
      </c>
    </row>
    <row r="329" spans="4:32" x14ac:dyDescent="0.3">
      <c r="D329" s="6">
        <v>6.5337503429461312E-3</v>
      </c>
      <c r="E329" s="6">
        <v>-2.584238262552099E-2</v>
      </c>
      <c r="F329" s="6">
        <v>-4.2669982449904005E-3</v>
      </c>
      <c r="G329" s="6">
        <v>-4.4009709553507997E-2</v>
      </c>
      <c r="H329" s="6">
        <v>-7.894751781504461E-2</v>
      </c>
      <c r="I329" s="6">
        <v>-3.5367143837291358E-2</v>
      </c>
      <c r="J329" s="6">
        <v>-4.8456746129722297E-2</v>
      </c>
      <c r="K329" s="6">
        <v>-3.1675108479756249E-2</v>
      </c>
      <c r="L329" s="6">
        <v>9.9900930750861858E-3</v>
      </c>
      <c r="M329" s="6">
        <v>-4.3571632738021074E-2</v>
      </c>
      <c r="N329" s="6">
        <v>5.3937839187161357E-2</v>
      </c>
      <c r="O329" s="6">
        <v>1.8275972190240858E-3</v>
      </c>
      <c r="P329" s="6">
        <v>-7.0499207392188748E-3</v>
      </c>
      <c r="Q329" s="6">
        <v>6.2138316023377911E-3</v>
      </c>
      <c r="S329" s="6">
        <f t="shared" si="14"/>
        <v>4.7457323551361973E-3</v>
      </c>
      <c r="T329" s="6">
        <f t="shared" si="15"/>
        <v>-3.5671859121965487E-2</v>
      </c>
      <c r="U329" s="6">
        <f t="shared" si="16"/>
        <v>-6.8263523912001269E-3</v>
      </c>
      <c r="V329" s="6">
        <f t="shared" si="17"/>
        <v>-4.6719057888979107E-2</v>
      </c>
      <c r="W329" s="6">
        <f t="shared" si="18"/>
        <v>-7.9804295627655397E-2</v>
      </c>
      <c r="X329" s="6">
        <f t="shared" si="19"/>
        <v>-3.6846783558520987E-2</v>
      </c>
      <c r="Y329" s="6">
        <f t="shared" si="20"/>
        <v>-5.2322333439918225E-2</v>
      </c>
      <c r="Z329" s="6">
        <f t="shared" si="21"/>
        <v>-2.3536226943926052E-2</v>
      </c>
      <c r="AA329" s="6">
        <f t="shared" si="22"/>
        <v>4.721407732553232E-3</v>
      </c>
      <c r="AB329" s="6">
        <f t="shared" si="23"/>
        <v>-4.5825756109261519E-2</v>
      </c>
      <c r="AC329" s="6">
        <f t="shared" si="24"/>
        <v>4.9779085427315961E-2</v>
      </c>
      <c r="AD329" s="6">
        <f t="shared" si="25"/>
        <v>-1.0449754458416992E-2</v>
      </c>
      <c r="AE329" s="6">
        <f t="shared" si="26"/>
        <v>-3.9788540908926168E-3</v>
      </c>
      <c r="AF329" s="6">
        <f t="shared" si="27"/>
        <v>9.7415329267833434E-3</v>
      </c>
    </row>
    <row r="330" spans="4:32" x14ac:dyDescent="0.3">
      <c r="D330" s="6">
        <v>2.0064112739263402E-2</v>
      </c>
      <c r="E330" s="6">
        <v>5.360387052329775E-2</v>
      </c>
      <c r="F330" s="6">
        <v>-1.5832857786531325E-2</v>
      </c>
      <c r="G330" s="6">
        <v>9.9527841251878857E-2</v>
      </c>
      <c r="H330" s="6">
        <v>2.4390526410955998E-2</v>
      </c>
      <c r="I330" s="6">
        <v>1.6857117066423025E-2</v>
      </c>
      <c r="J330" s="6">
        <v>0.10083728555865566</v>
      </c>
      <c r="K330" s="6">
        <v>-0.17637381661196858</v>
      </c>
      <c r="L330" s="6">
        <v>3.067124597048786E-2</v>
      </c>
      <c r="M330" s="6">
        <v>-6.1989369363899961E-2</v>
      </c>
      <c r="N330" s="6">
        <v>1.9084148446900207E-2</v>
      </c>
      <c r="O330" s="6">
        <v>8.065116525239345E-2</v>
      </c>
      <c r="P330" s="6">
        <v>0.19818151467733711</v>
      </c>
      <c r="Q330" s="6">
        <v>2.8452408500087432E-2</v>
      </c>
      <c r="S330" s="6">
        <f t="shared" si="14"/>
        <v>1.8276094751453469E-2</v>
      </c>
      <c r="T330" s="6">
        <f t="shared" si="15"/>
        <v>4.377439402685325E-2</v>
      </c>
      <c r="U330" s="6">
        <f t="shared" si="16"/>
        <v>-1.8392211932741053E-2</v>
      </c>
      <c r="V330" s="6">
        <f t="shared" si="17"/>
        <v>9.6818492916407747E-2</v>
      </c>
      <c r="W330" s="6">
        <f t="shared" si="18"/>
        <v>2.3533748598345207E-2</v>
      </c>
      <c r="X330" s="6">
        <f t="shared" si="19"/>
        <v>1.5377477345193392E-2</v>
      </c>
      <c r="Y330" s="6">
        <f t="shared" si="20"/>
        <v>9.6971698248459734E-2</v>
      </c>
      <c r="Z330" s="6">
        <f t="shared" si="21"/>
        <v>-0.16823493507613838</v>
      </c>
      <c r="AA330" s="6">
        <f t="shared" si="22"/>
        <v>2.5402560627954908E-2</v>
      </c>
      <c r="AB330" s="6">
        <f t="shared" si="23"/>
        <v>-6.4243492735140406E-2</v>
      </c>
      <c r="AC330" s="6">
        <f t="shared" si="24"/>
        <v>1.4925394687054814E-2</v>
      </c>
      <c r="AD330" s="6">
        <f t="shared" si="25"/>
        <v>6.8373813574952369E-2</v>
      </c>
      <c r="AE330" s="6">
        <f t="shared" si="26"/>
        <v>0.20125258132566337</v>
      </c>
      <c r="AF330" s="6">
        <f t="shared" si="27"/>
        <v>3.1980109824532983E-2</v>
      </c>
    </row>
    <row r="331" spans="4:32" x14ac:dyDescent="0.3">
      <c r="D331" s="6">
        <v>-7.3295195416429509E-2</v>
      </c>
      <c r="E331" s="6">
        <v>-4.528828153369608E-2</v>
      </c>
      <c r="F331" s="6">
        <v>-3.1797319684254005E-2</v>
      </c>
      <c r="G331" s="6">
        <v>-3.4296966944903133E-2</v>
      </c>
      <c r="H331" s="6">
        <v>-4.8366143584947514E-2</v>
      </c>
      <c r="I331" s="6">
        <v>5.4174699998547522E-2</v>
      </c>
      <c r="J331" s="6">
        <v>-4.6376647927199359E-2</v>
      </c>
      <c r="K331" s="6">
        <v>6.5329210416230953E-3</v>
      </c>
      <c r="L331" s="6">
        <v>-3.3391974945663941E-2</v>
      </c>
      <c r="M331" s="6">
        <v>-8.1882375467868432E-2</v>
      </c>
      <c r="N331" s="6">
        <v>-6.3016345516740319E-2</v>
      </c>
      <c r="O331" s="6">
        <v>2.1661496781179467E-2</v>
      </c>
      <c r="P331" s="6">
        <v>-3.705811630344058E-2</v>
      </c>
      <c r="Q331" s="6">
        <v>-5.6579039547959675E-2</v>
      </c>
      <c r="S331" s="6">
        <f t="shared" si="14"/>
        <v>-7.5083213404239443E-2</v>
      </c>
      <c r="T331" s="6">
        <f t="shared" si="15"/>
        <v>-5.5117758030140573E-2</v>
      </c>
      <c r="U331" s="6">
        <f t="shared" si="16"/>
        <v>-3.435667383046373E-2</v>
      </c>
      <c r="V331" s="6">
        <f t="shared" si="17"/>
        <v>-3.7006315280374243E-2</v>
      </c>
      <c r="W331" s="6">
        <f t="shared" si="18"/>
        <v>-4.9222921397558302E-2</v>
      </c>
      <c r="X331" s="6">
        <f t="shared" si="19"/>
        <v>5.2695060277317893E-2</v>
      </c>
      <c r="Y331" s="6">
        <f t="shared" si="20"/>
        <v>-5.0242235237395287E-2</v>
      </c>
      <c r="Z331" s="6">
        <f t="shared" si="21"/>
        <v>1.4671802577453291E-2</v>
      </c>
      <c r="AA331" s="6">
        <f t="shared" si="22"/>
        <v>-3.8660660288196896E-2</v>
      </c>
      <c r="AB331" s="6">
        <f t="shared" si="23"/>
        <v>-8.4136498839108884E-2</v>
      </c>
      <c r="AC331" s="6">
        <f t="shared" si="24"/>
        <v>-6.7175099276585715E-2</v>
      </c>
      <c r="AD331" s="6">
        <f t="shared" si="25"/>
        <v>9.3841451037383894E-3</v>
      </c>
      <c r="AE331" s="6">
        <f t="shared" si="26"/>
        <v>-3.3987049655114322E-2</v>
      </c>
      <c r="AF331" s="6">
        <f t="shared" si="27"/>
        <v>-5.305133822351412E-2</v>
      </c>
    </row>
    <row r="332" spans="4:32" x14ac:dyDescent="0.3">
      <c r="D332" s="6">
        <v>-2.3348661983835253E-2</v>
      </c>
      <c r="E332" s="6">
        <v>-8.9619152894988036E-2</v>
      </c>
      <c r="F332" s="6">
        <v>-2.0870376342923932E-2</v>
      </c>
      <c r="G332" s="6">
        <v>1.1254824434786193E-2</v>
      </c>
      <c r="H332" s="6">
        <v>-4.5162858108805951E-2</v>
      </c>
      <c r="I332" s="6">
        <v>-8.3459726119423875E-3</v>
      </c>
      <c r="J332" s="6">
        <v>-2.9690114566811067E-2</v>
      </c>
      <c r="K332" s="6">
        <v>-6.932515259982773E-2</v>
      </c>
      <c r="L332" s="6">
        <v>-1.5198980275414494E-2</v>
      </c>
      <c r="M332" s="6">
        <v>-7.4892399980316382E-2</v>
      </c>
      <c r="N332" s="6">
        <v>-3.3520177962962409E-2</v>
      </c>
      <c r="O332" s="6">
        <v>-0.16640494475072529</v>
      </c>
      <c r="P332" s="6">
        <v>-8.5675216830398498E-2</v>
      </c>
      <c r="Q332" s="6">
        <v>-3.6271114415502938E-2</v>
      </c>
      <c r="S332" s="6">
        <f t="shared" si="14"/>
        <v>-2.5136679971645186E-2</v>
      </c>
      <c r="T332" s="6">
        <f t="shared" si="15"/>
        <v>-9.9448629391432536E-2</v>
      </c>
      <c r="U332" s="6">
        <f t="shared" si="16"/>
        <v>-2.342973048913366E-2</v>
      </c>
      <c r="V332" s="6">
        <f t="shared" si="17"/>
        <v>8.5454760993150872E-3</v>
      </c>
      <c r="W332" s="6">
        <f t="shared" si="18"/>
        <v>-4.6019635921416738E-2</v>
      </c>
      <c r="X332" s="6">
        <f t="shared" si="19"/>
        <v>-9.8256123331720187E-3</v>
      </c>
      <c r="Y332" s="6">
        <f t="shared" si="20"/>
        <v>-3.3555701877006995E-2</v>
      </c>
      <c r="Z332" s="6">
        <f t="shared" si="21"/>
        <v>-6.118627106399753E-2</v>
      </c>
      <c r="AA332" s="6">
        <f t="shared" si="22"/>
        <v>-2.0467665617947446E-2</v>
      </c>
      <c r="AB332" s="6">
        <f t="shared" si="23"/>
        <v>-7.7146523351556834E-2</v>
      </c>
      <c r="AC332" s="6">
        <f t="shared" si="24"/>
        <v>-3.7678931722807806E-2</v>
      </c>
      <c r="AD332" s="6">
        <f t="shared" si="25"/>
        <v>-0.17868229642816635</v>
      </c>
      <c r="AE332" s="6">
        <f t="shared" si="26"/>
        <v>-8.2604150182072247E-2</v>
      </c>
      <c r="AF332" s="6">
        <f t="shared" si="27"/>
        <v>-3.2743413091057383E-2</v>
      </c>
    </row>
    <row r="333" spans="4:32" x14ac:dyDescent="0.3">
      <c r="D333" s="6">
        <v>-1.8735645118341585E-2</v>
      </c>
      <c r="E333" s="6">
        <v>5.8245813702432141E-2</v>
      </c>
      <c r="F333" s="6">
        <v>-1.4212226858409897E-2</v>
      </c>
      <c r="G333" s="6">
        <v>-1.6341504416980582E-2</v>
      </c>
      <c r="H333" s="6">
        <v>-0.1187055710964053</v>
      </c>
      <c r="I333" s="6">
        <v>-3.8218397923577153E-2</v>
      </c>
      <c r="J333" s="6">
        <v>-6.2904353426330481E-2</v>
      </c>
      <c r="K333" s="6">
        <v>-8.8553397341445059E-2</v>
      </c>
      <c r="L333" s="6">
        <v>-9.6265403427975328E-3</v>
      </c>
      <c r="M333" s="6">
        <v>-0.10151380422926422</v>
      </c>
      <c r="N333" s="6">
        <v>2.2172854070136985E-2</v>
      </c>
      <c r="O333" s="6">
        <v>-6.7788442750069441E-2</v>
      </c>
      <c r="P333" s="6">
        <v>5.0454087851321567E-4</v>
      </c>
      <c r="Q333" s="6">
        <v>-4.6655212930430375E-3</v>
      </c>
      <c r="S333" s="6">
        <f t="shared" si="14"/>
        <v>-2.0523663106151519E-2</v>
      </c>
      <c r="T333" s="6">
        <f t="shared" si="15"/>
        <v>4.8416337205987647E-2</v>
      </c>
      <c r="U333" s="6">
        <f t="shared" si="16"/>
        <v>-1.6771581004619625E-2</v>
      </c>
      <c r="V333" s="6">
        <f t="shared" si="17"/>
        <v>-1.9050852752451688E-2</v>
      </c>
      <c r="W333" s="6">
        <f t="shared" si="18"/>
        <v>-0.11956234890901608</v>
      </c>
      <c r="X333" s="6">
        <f t="shared" si="19"/>
        <v>-3.9698037644806783E-2</v>
      </c>
      <c r="Y333" s="6">
        <f t="shared" si="20"/>
        <v>-6.6769940736526409E-2</v>
      </c>
      <c r="Z333" s="6">
        <f t="shared" si="21"/>
        <v>-8.0414515805614858E-2</v>
      </c>
      <c r="AA333" s="6">
        <f t="shared" si="22"/>
        <v>-1.4895225685330487E-2</v>
      </c>
      <c r="AB333" s="6">
        <f t="shared" si="23"/>
        <v>-0.10376792760050467</v>
      </c>
      <c r="AC333" s="6">
        <f t="shared" si="24"/>
        <v>1.8014100310291593E-2</v>
      </c>
      <c r="AD333" s="6">
        <f t="shared" si="25"/>
        <v>-8.0065794427510523E-2</v>
      </c>
      <c r="AE333" s="6">
        <f t="shared" si="26"/>
        <v>3.5756075268394733E-3</v>
      </c>
      <c r="AF333" s="6">
        <f t="shared" si="27"/>
        <v>-1.1378199685974856E-3</v>
      </c>
    </row>
    <row r="334" spans="4:32" x14ac:dyDescent="0.3">
      <c r="D334" s="6">
        <v>2.3337224506253518E-2</v>
      </c>
      <c r="E334" s="6">
        <v>6.0923449598775867E-2</v>
      </c>
      <c r="F334" s="6">
        <v>2.0330353366573593E-2</v>
      </c>
      <c r="G334" s="6">
        <v>1.8808357348497045E-2</v>
      </c>
      <c r="H334" s="6">
        <v>0.10183209288233351</v>
      </c>
      <c r="I334" s="6">
        <v>3.002101493577514E-4</v>
      </c>
      <c r="J334" s="6">
        <v>7.9121291879492277E-3</v>
      </c>
      <c r="K334" s="6">
        <v>7.5963468919347764E-3</v>
      </c>
      <c r="L334" s="6">
        <v>1.8760250583106229E-2</v>
      </c>
      <c r="M334" s="6">
        <v>1.4513649135798371E-2</v>
      </c>
      <c r="N334" s="6">
        <v>-1.6469633409939403E-2</v>
      </c>
      <c r="O334" s="6">
        <v>8.9872710002364582E-3</v>
      </c>
      <c r="P334" s="6">
        <v>-3.0082268355914016E-2</v>
      </c>
      <c r="Q334" s="6">
        <v>2.1047123664929088E-2</v>
      </c>
      <c r="S334" s="6">
        <f t="shared" si="14"/>
        <v>2.1549206518443585E-2</v>
      </c>
      <c r="T334" s="6">
        <f t="shared" si="15"/>
        <v>5.1093973102331366E-2</v>
      </c>
      <c r="U334" s="6">
        <f t="shared" si="16"/>
        <v>1.7770999220363865E-2</v>
      </c>
      <c r="V334" s="6">
        <f t="shared" si="17"/>
        <v>1.6099009013025939E-2</v>
      </c>
      <c r="W334" s="6">
        <f t="shared" si="18"/>
        <v>0.10097531506972272</v>
      </c>
      <c r="X334" s="6">
        <f t="shared" si="19"/>
        <v>-1.1794295718718806E-3</v>
      </c>
      <c r="Y334" s="6">
        <f t="shared" si="20"/>
        <v>4.0465418777532979E-3</v>
      </c>
      <c r="Z334" s="6">
        <f t="shared" si="21"/>
        <v>1.5735228427764973E-2</v>
      </c>
      <c r="AA334" s="6">
        <f t="shared" si="22"/>
        <v>1.3491565240573275E-2</v>
      </c>
      <c r="AB334" s="6">
        <f t="shared" si="23"/>
        <v>1.2259525764557924E-2</v>
      </c>
      <c r="AC334" s="6">
        <f t="shared" si="24"/>
        <v>-2.0628387169784795E-2</v>
      </c>
      <c r="AD334" s="6">
        <f t="shared" si="25"/>
        <v>-3.2900806772046196E-3</v>
      </c>
      <c r="AE334" s="6">
        <f t="shared" si="26"/>
        <v>-2.7011201707587758E-2</v>
      </c>
      <c r="AF334" s="6">
        <f t="shared" si="27"/>
        <v>2.457482498937464E-2</v>
      </c>
    </row>
    <row r="335" spans="4:32" x14ac:dyDescent="0.3">
      <c r="D335" s="6">
        <v>5.8973262530996114E-2</v>
      </c>
      <c r="E335" s="6">
        <v>5.269387764990531E-2</v>
      </c>
      <c r="F335" s="6">
        <v>1.7433379952222997E-2</v>
      </c>
      <c r="G335" s="6">
        <v>4.3540808283288185E-2</v>
      </c>
      <c r="H335" s="6">
        <v>2.6552428401140398E-2</v>
      </c>
      <c r="I335" s="6">
        <v>3.5820765387400672E-2</v>
      </c>
      <c r="J335" s="6">
        <v>3.7400385665967532E-2</v>
      </c>
      <c r="K335" s="6">
        <v>0.12102103093015885</v>
      </c>
      <c r="L335" s="6">
        <v>7.5000550212126676E-2</v>
      </c>
      <c r="M335" s="6">
        <v>4.9008164593472528E-2</v>
      </c>
      <c r="N335" s="6">
        <v>6.7718174054950855E-2</v>
      </c>
      <c r="O335" s="6">
        <v>4.3763294385292265E-2</v>
      </c>
      <c r="P335" s="6">
        <v>6.0142909664532979E-2</v>
      </c>
      <c r="Q335" s="6">
        <v>5.7683468818702843E-2</v>
      </c>
      <c r="S335" s="6">
        <f t="shared" si="14"/>
        <v>5.718524454318618E-2</v>
      </c>
      <c r="T335" s="6">
        <f t="shared" si="15"/>
        <v>4.286440115346081E-2</v>
      </c>
      <c r="U335" s="6">
        <f t="shared" si="16"/>
        <v>1.4874025806013271E-2</v>
      </c>
      <c r="V335" s="6">
        <f t="shared" si="17"/>
        <v>4.0831459947817075E-2</v>
      </c>
      <c r="W335" s="6">
        <f t="shared" si="18"/>
        <v>2.5695650588529607E-2</v>
      </c>
      <c r="X335" s="6">
        <f t="shared" si="19"/>
        <v>3.4341125666171042E-2</v>
      </c>
      <c r="Y335" s="6">
        <f t="shared" si="20"/>
        <v>3.3534798355771604E-2</v>
      </c>
      <c r="Z335" s="6">
        <f t="shared" si="21"/>
        <v>0.12915991246598904</v>
      </c>
      <c r="AA335" s="6">
        <f t="shared" si="22"/>
        <v>6.9731864869593721E-2</v>
      </c>
      <c r="AB335" s="6">
        <f t="shared" si="23"/>
        <v>4.6754041222232083E-2</v>
      </c>
      <c r="AC335" s="6">
        <f t="shared" si="24"/>
        <v>6.3559420295105459E-2</v>
      </c>
      <c r="AD335" s="6">
        <f t="shared" si="25"/>
        <v>3.1485942707851183E-2</v>
      </c>
      <c r="AE335" s="6">
        <f t="shared" si="26"/>
        <v>6.321397631285923E-2</v>
      </c>
      <c r="AF335" s="6">
        <f t="shared" si="27"/>
        <v>6.1211170143148398E-2</v>
      </c>
    </row>
    <row r="336" spans="4:32" x14ac:dyDescent="0.3">
      <c r="D336" s="6">
        <v>-6.1383645154890747E-2</v>
      </c>
      <c r="E336" s="6">
        <v>-6.252035698133393E-2</v>
      </c>
      <c r="F336" s="6">
        <v>1.692526789134478E-2</v>
      </c>
      <c r="G336" s="6">
        <v>5.2933515745732952E-3</v>
      </c>
      <c r="H336" s="6">
        <v>1.414381949838937E-2</v>
      </c>
      <c r="I336" s="6">
        <v>7.9609195447424852E-4</v>
      </c>
      <c r="J336" s="6">
        <v>5.0818760822618813E-3</v>
      </c>
      <c r="K336" s="6">
        <v>-0.10599928923432095</v>
      </c>
      <c r="L336" s="6">
        <v>4.1667633269654503E-2</v>
      </c>
      <c r="M336" s="6">
        <v>5.1235593017768331E-2</v>
      </c>
      <c r="N336" s="6">
        <v>4.2426877387902184E-3</v>
      </c>
      <c r="O336" s="6">
        <v>-3.2992441672192608E-3</v>
      </c>
      <c r="P336" s="6">
        <v>2.1188515913223911E-2</v>
      </c>
      <c r="Q336" s="6">
        <v>4.7294565830150173E-3</v>
      </c>
      <c r="S336" s="6">
        <f t="shared" si="14"/>
        <v>-6.3171663142700674E-2</v>
      </c>
      <c r="T336" s="6">
        <f t="shared" si="15"/>
        <v>-7.234983347777843E-2</v>
      </c>
      <c r="U336" s="6">
        <f t="shared" si="16"/>
        <v>1.4365913745135054E-2</v>
      </c>
      <c r="V336" s="6">
        <f t="shared" si="17"/>
        <v>2.5840032391021887E-3</v>
      </c>
      <c r="W336" s="6">
        <f t="shared" si="18"/>
        <v>1.3287041685778581E-2</v>
      </c>
      <c r="X336" s="6">
        <f t="shared" si="19"/>
        <v>-6.8354776675538353E-4</v>
      </c>
      <c r="Y336" s="6">
        <f t="shared" si="20"/>
        <v>1.2162887720659518E-3</v>
      </c>
      <c r="Z336" s="6">
        <f t="shared" si="21"/>
        <v>-9.7860407698490748E-2</v>
      </c>
      <c r="AA336" s="6">
        <f t="shared" si="22"/>
        <v>3.6398947927121547E-2</v>
      </c>
      <c r="AB336" s="6">
        <f t="shared" si="23"/>
        <v>4.8981469646527886E-2</v>
      </c>
      <c r="AC336" s="6">
        <f t="shared" si="24"/>
        <v>8.3933978944824954E-5</v>
      </c>
      <c r="AD336" s="6">
        <f t="shared" si="25"/>
        <v>-1.5576595844660339E-2</v>
      </c>
      <c r="AE336" s="6">
        <f t="shared" si="26"/>
        <v>2.4259582561550169E-2</v>
      </c>
      <c r="AF336" s="6">
        <f t="shared" si="27"/>
        <v>8.2571579074605696E-3</v>
      </c>
    </row>
    <row r="337" spans="4:32" x14ac:dyDescent="0.3">
      <c r="D337" s="6">
        <v>-1.7951160144431801E-2</v>
      </c>
      <c r="E337" s="6">
        <v>-3.7335285194665543E-2</v>
      </c>
      <c r="F337" s="6">
        <v>-1.2189950640802258E-2</v>
      </c>
      <c r="G337" s="6">
        <v>7.4512726957422807E-3</v>
      </c>
      <c r="H337" s="6">
        <v>9.9107606502291057E-2</v>
      </c>
      <c r="I337" s="6">
        <v>1.5505299507593953E-2</v>
      </c>
      <c r="J337" s="6">
        <v>8.0909836238566187E-3</v>
      </c>
      <c r="K337" s="6">
        <v>-2.47991145341327E-2</v>
      </c>
      <c r="L337" s="6">
        <v>-1.5830515877681729E-2</v>
      </c>
      <c r="M337" s="6">
        <v>7.3063812310228296E-4</v>
      </c>
      <c r="N337" s="6">
        <v>5.9096837252280007E-3</v>
      </c>
      <c r="O337" s="6">
        <v>1.3132165083458252E-2</v>
      </c>
      <c r="P337" s="6">
        <v>-9.0338731433227473E-2</v>
      </c>
      <c r="Q337" s="6">
        <v>-1.3271131424520688E-2</v>
      </c>
      <c r="S337" s="6">
        <f t="shared" si="14"/>
        <v>-1.9739178132241735E-2</v>
      </c>
      <c r="T337" s="6">
        <f t="shared" si="15"/>
        <v>-4.7164761691110044E-2</v>
      </c>
      <c r="U337" s="6">
        <f t="shared" si="16"/>
        <v>-1.4749304787011985E-2</v>
      </c>
      <c r="V337" s="6">
        <f t="shared" si="17"/>
        <v>4.7419243602711738E-3</v>
      </c>
      <c r="W337" s="6">
        <f t="shared" si="18"/>
        <v>9.825082868968027E-2</v>
      </c>
      <c r="X337" s="6">
        <f t="shared" si="19"/>
        <v>1.402565978636432E-2</v>
      </c>
      <c r="Y337" s="6">
        <f t="shared" si="20"/>
        <v>4.2253963136606888E-3</v>
      </c>
      <c r="Z337" s="6">
        <f t="shared" si="21"/>
        <v>-1.6660232998302504E-2</v>
      </c>
      <c r="AA337" s="6">
        <f t="shared" si="22"/>
        <v>-2.1099201220214685E-2</v>
      </c>
      <c r="AB337" s="6">
        <f t="shared" si="23"/>
        <v>-1.5234852481381636E-3</v>
      </c>
      <c r="AC337" s="6">
        <f t="shared" si="24"/>
        <v>1.7509299653826072E-3</v>
      </c>
      <c r="AD337" s="6">
        <f t="shared" si="25"/>
        <v>8.5481340601717415E-4</v>
      </c>
      <c r="AE337" s="6">
        <f t="shared" si="26"/>
        <v>-8.7267664784901222E-2</v>
      </c>
      <c r="AF337" s="6">
        <f t="shared" si="27"/>
        <v>-9.7434301000751365E-3</v>
      </c>
    </row>
    <row r="338" spans="4:32" x14ac:dyDescent="0.3">
      <c r="D338" s="6">
        <v>-1.2578618010708929E-3</v>
      </c>
      <c r="E338" s="6">
        <v>-5.3573797086275778E-2</v>
      </c>
      <c r="F338" s="6">
        <v>-4.0825779882637463E-2</v>
      </c>
      <c r="G338" s="6">
        <v>-5.3440699154772724E-2</v>
      </c>
      <c r="H338" s="6">
        <v>-0.11378215740181732</v>
      </c>
      <c r="I338" s="6">
        <v>-8.3682059462221001E-2</v>
      </c>
      <c r="J338" s="6">
        <v>-4.1041783364361272E-3</v>
      </c>
      <c r="K338" s="6">
        <v>-5.2673239408738269E-2</v>
      </c>
      <c r="L338" s="6">
        <v>-1.7560356121488568E-2</v>
      </c>
      <c r="M338" s="6">
        <v>-0.14643050648195322</v>
      </c>
      <c r="N338" s="6">
        <v>-6.7686005750378669E-2</v>
      </c>
      <c r="O338" s="6">
        <v>-8.1511496187286675E-2</v>
      </c>
      <c r="P338" s="6">
        <v>-9.6136642394904145E-2</v>
      </c>
      <c r="Q338" s="6">
        <v>-3.2297748720762749E-2</v>
      </c>
      <c r="S338" s="6">
        <f t="shared" si="14"/>
        <v>-3.0458797888808266E-3</v>
      </c>
      <c r="T338" s="6">
        <f t="shared" si="15"/>
        <v>-6.3403273582720271E-2</v>
      </c>
      <c r="U338" s="6">
        <f t="shared" si="16"/>
        <v>-4.3385134028847187E-2</v>
      </c>
      <c r="V338" s="6">
        <f t="shared" si="17"/>
        <v>-5.6150047490243833E-2</v>
      </c>
      <c r="W338" s="6">
        <f t="shared" si="18"/>
        <v>-0.11463893521442811</v>
      </c>
      <c r="X338" s="6">
        <f t="shared" si="19"/>
        <v>-8.5161699183450637E-2</v>
      </c>
      <c r="Y338" s="6">
        <f t="shared" si="20"/>
        <v>-7.9697656466320571E-3</v>
      </c>
      <c r="Z338" s="6">
        <f t="shared" si="21"/>
        <v>-4.4534357872908076E-2</v>
      </c>
      <c r="AA338" s="6">
        <f t="shared" si="22"/>
        <v>-2.2829041464021524E-2</v>
      </c>
      <c r="AB338" s="6">
        <f t="shared" si="23"/>
        <v>-0.14868462985319367</v>
      </c>
      <c r="AC338" s="6">
        <f t="shared" si="24"/>
        <v>-7.1844759510224065E-2</v>
      </c>
      <c r="AD338" s="6">
        <f t="shared" si="25"/>
        <v>-9.3788847864727756E-2</v>
      </c>
      <c r="AE338" s="6">
        <f t="shared" si="26"/>
        <v>-9.3065575746577894E-2</v>
      </c>
      <c r="AF338" s="6">
        <f t="shared" si="27"/>
        <v>-2.8770047396317198E-2</v>
      </c>
    </row>
    <row r="339" spans="4:32" x14ac:dyDescent="0.3">
      <c r="D339" s="6">
        <v>-2.069438013026861E-2</v>
      </c>
      <c r="E339" s="6">
        <v>4.442041509978855E-2</v>
      </c>
      <c r="F339" s="6">
        <v>-3.9825578904485945E-3</v>
      </c>
      <c r="G339" s="6">
        <v>4.6723688081164233E-3</v>
      </c>
      <c r="H339" s="6">
        <v>2.1572236252096959E-2</v>
      </c>
      <c r="I339" s="6">
        <v>-1.5610682293178083E-2</v>
      </c>
      <c r="J339" s="6">
        <v>3.7711336387596136E-3</v>
      </c>
      <c r="K339" s="6">
        <v>2.5001302205417401E-2</v>
      </c>
      <c r="L339" s="6">
        <v>2.9157998358595401E-2</v>
      </c>
      <c r="M339" s="6">
        <v>5.6437873716984166E-2</v>
      </c>
      <c r="N339" s="6">
        <v>3.4959312247821686E-2</v>
      </c>
      <c r="O339" s="6">
        <v>0.1242885255433452</v>
      </c>
      <c r="P339" s="6">
        <v>1.8876579372867221E-2</v>
      </c>
      <c r="Q339" s="6">
        <v>1.5707506460565901E-2</v>
      </c>
      <c r="S339" s="6">
        <f t="shared" si="14"/>
        <v>-2.2482398118078544E-2</v>
      </c>
      <c r="T339" s="6">
        <f t="shared" si="15"/>
        <v>3.4590938603344057E-2</v>
      </c>
      <c r="U339" s="6">
        <f t="shared" si="16"/>
        <v>-6.5419120366583209E-3</v>
      </c>
      <c r="V339" s="6">
        <f t="shared" si="17"/>
        <v>1.9630204726453168E-3</v>
      </c>
      <c r="W339" s="6">
        <f t="shared" si="18"/>
        <v>2.0715458439486169E-2</v>
      </c>
      <c r="X339" s="6">
        <f t="shared" si="19"/>
        <v>-1.7090322014407716E-2</v>
      </c>
      <c r="Y339" s="6">
        <f t="shared" si="20"/>
        <v>-9.445367143631582E-5</v>
      </c>
      <c r="Z339" s="6">
        <f t="shared" si="21"/>
        <v>3.3140183741247595E-2</v>
      </c>
      <c r="AA339" s="6">
        <f t="shared" si="22"/>
        <v>2.3889313016062445E-2</v>
      </c>
      <c r="AB339" s="6">
        <f t="shared" si="23"/>
        <v>5.4183750345743721E-2</v>
      </c>
      <c r="AC339" s="6">
        <f t="shared" si="24"/>
        <v>3.0800558487976294E-2</v>
      </c>
      <c r="AD339" s="6">
        <f t="shared" si="25"/>
        <v>0.11201117386590412</v>
      </c>
      <c r="AE339" s="6">
        <f t="shared" si="26"/>
        <v>2.1947646021193479E-2</v>
      </c>
      <c r="AF339" s="6">
        <f t="shared" si="27"/>
        <v>1.9235207785011452E-2</v>
      </c>
    </row>
    <row r="340" spans="4:32" x14ac:dyDescent="0.3">
      <c r="D340" s="6">
        <v>3.6023396083528773E-2</v>
      </c>
      <c r="E340" s="6">
        <v>5.0649408976903912E-2</v>
      </c>
      <c r="F340" s="6">
        <v>3.5804200770149001E-2</v>
      </c>
      <c r="G340" s="6">
        <v>5.0077516656275363E-2</v>
      </c>
      <c r="H340" s="6">
        <v>4.0377486821194013E-2</v>
      </c>
      <c r="I340" s="6">
        <v>6.5861928528566554E-3</v>
      </c>
      <c r="J340" s="6">
        <v>4.9454557546449833E-2</v>
      </c>
      <c r="K340" s="6">
        <v>-3.1929736387381329E-2</v>
      </c>
      <c r="L340" s="6">
        <v>5.4130108023830753E-2</v>
      </c>
      <c r="M340" s="6">
        <v>4.4034729063098466E-2</v>
      </c>
      <c r="N340" s="6">
        <v>-4.5766670274118666E-3</v>
      </c>
      <c r="O340" s="6">
        <v>3.7416201385422232E-2</v>
      </c>
      <c r="P340" s="6">
        <v>1.7413724679329456E-2</v>
      </c>
      <c r="Q340" s="6">
        <v>-6.5892979132295595E-2</v>
      </c>
      <c r="S340" s="6">
        <f t="shared" si="14"/>
        <v>3.4235378095718839E-2</v>
      </c>
      <c r="T340" s="6">
        <f t="shared" si="15"/>
        <v>4.0819932480459412E-2</v>
      </c>
      <c r="U340" s="6">
        <f t="shared" si="16"/>
        <v>3.3244846623939277E-2</v>
      </c>
      <c r="V340" s="6">
        <f t="shared" si="17"/>
        <v>4.7368168320804253E-2</v>
      </c>
      <c r="W340" s="6">
        <f t="shared" si="18"/>
        <v>3.9520709008583225E-2</v>
      </c>
      <c r="X340" s="6">
        <f t="shared" si="19"/>
        <v>5.1065531316270233E-3</v>
      </c>
      <c r="Y340" s="6">
        <f t="shared" si="20"/>
        <v>4.5588970236253905E-2</v>
      </c>
      <c r="Z340" s="6">
        <f t="shared" si="21"/>
        <v>-2.3790854851551132E-2</v>
      </c>
      <c r="AA340" s="6">
        <f t="shared" si="22"/>
        <v>4.8861422681297798E-2</v>
      </c>
      <c r="AB340" s="6">
        <f t="shared" si="23"/>
        <v>4.1780605691858021E-2</v>
      </c>
      <c r="AC340" s="6">
        <f t="shared" si="24"/>
        <v>-8.7354207872572601E-3</v>
      </c>
      <c r="AD340" s="6">
        <f t="shared" si="25"/>
        <v>2.5138849707981154E-2</v>
      </c>
      <c r="AE340" s="6">
        <f t="shared" si="26"/>
        <v>2.0484791327655714E-2</v>
      </c>
      <c r="AF340" s="6">
        <f t="shared" si="27"/>
        <v>-6.2365277807850041E-2</v>
      </c>
    </row>
    <row r="341" spans="4:32" x14ac:dyDescent="0.3">
      <c r="D341" s="6">
        <v>7.6331964047714846E-3</v>
      </c>
      <c r="E341" s="6">
        <v>-6.5775286471452081E-3</v>
      </c>
      <c r="F341" s="6">
        <v>1.4351366606158004E-3</v>
      </c>
      <c r="G341" s="6">
        <v>-1.6003495086480092E-3</v>
      </c>
      <c r="H341" s="6">
        <v>-3.6787105176749851E-2</v>
      </c>
      <c r="I341" s="6">
        <v>1.4200044618350225E-2</v>
      </c>
      <c r="J341" s="6">
        <v>-2.3487600463240189E-3</v>
      </c>
      <c r="K341" s="6">
        <v>5.7770235769220796E-3</v>
      </c>
      <c r="L341" s="6">
        <v>4.9843378523162257E-2</v>
      </c>
      <c r="M341" s="6">
        <v>-6.6256369317887254E-2</v>
      </c>
      <c r="N341" s="6">
        <v>-5.1546252271412053E-2</v>
      </c>
      <c r="O341" s="6">
        <v>4.416378560700069E-2</v>
      </c>
      <c r="P341" s="6">
        <v>-8.3587430044916006E-2</v>
      </c>
      <c r="Q341" s="6">
        <v>-4.2586174491040921E-2</v>
      </c>
      <c r="S341" s="6">
        <f t="shared" si="14"/>
        <v>5.8451784169615507E-3</v>
      </c>
      <c r="T341" s="6">
        <f t="shared" si="15"/>
        <v>-1.6407005143589705E-2</v>
      </c>
      <c r="U341" s="6">
        <f t="shared" si="16"/>
        <v>-1.1242174855939265E-3</v>
      </c>
      <c r="V341" s="6">
        <f t="shared" si="17"/>
        <v>-4.3096978441191161E-3</v>
      </c>
      <c r="W341" s="6">
        <f t="shared" si="18"/>
        <v>-3.7643882989360639E-2</v>
      </c>
      <c r="X341" s="6">
        <f t="shared" si="19"/>
        <v>1.2720404897120594E-2</v>
      </c>
      <c r="Y341" s="6">
        <f t="shared" si="20"/>
        <v>-6.2143473565199484E-3</v>
      </c>
      <c r="Z341" s="6">
        <f t="shared" si="21"/>
        <v>1.3915905112752276E-2</v>
      </c>
      <c r="AA341" s="6">
        <f t="shared" si="22"/>
        <v>4.4574693180629302E-2</v>
      </c>
      <c r="AB341" s="6">
        <f t="shared" si="23"/>
        <v>-6.8510492689127706E-2</v>
      </c>
      <c r="AC341" s="6">
        <f t="shared" si="24"/>
        <v>-5.5705006031257449E-2</v>
      </c>
      <c r="AD341" s="6">
        <f t="shared" si="25"/>
        <v>3.1886433929559616E-2</v>
      </c>
      <c r="AE341" s="6">
        <f t="shared" si="26"/>
        <v>-8.0516363396589755E-2</v>
      </c>
      <c r="AF341" s="6">
        <f t="shared" si="27"/>
        <v>-3.9058473166595366E-2</v>
      </c>
    </row>
    <row r="342" spans="4:32" x14ac:dyDescent="0.3">
      <c r="D342" s="6">
        <v>-3.3949753506396223E-2</v>
      </c>
      <c r="E342" s="6">
        <v>-9.3793512663756087E-2</v>
      </c>
      <c r="F342" s="6">
        <v>-3.23961163528597E-3</v>
      </c>
      <c r="G342" s="6">
        <v>-1.2895841082924995E-2</v>
      </c>
      <c r="H342" s="6">
        <v>-0.16939180878553697</v>
      </c>
      <c r="I342" s="6">
        <v>-3.6244946359735367E-2</v>
      </c>
      <c r="J342" s="6">
        <v>-1.9380078430695145E-2</v>
      </c>
      <c r="K342" s="6">
        <v>8.3934451485150482E-2</v>
      </c>
      <c r="L342" s="6">
        <v>-3.81960390864702E-2</v>
      </c>
      <c r="M342" s="6">
        <v>1.6611902022918641E-2</v>
      </c>
      <c r="N342" s="6">
        <v>-1.2031612052399372E-2</v>
      </c>
      <c r="O342" s="6">
        <v>-7.4728512043321052E-2</v>
      </c>
      <c r="P342" s="6">
        <v>-9.9709125085208183E-2</v>
      </c>
      <c r="Q342" s="6">
        <v>-1.6712585678917712E-2</v>
      </c>
      <c r="S342" s="6">
        <f t="shared" si="14"/>
        <v>-3.5737771494206157E-2</v>
      </c>
      <c r="T342" s="6">
        <f t="shared" si="15"/>
        <v>-0.10362298916020059</v>
      </c>
      <c r="U342" s="6">
        <f t="shared" si="16"/>
        <v>-5.7989657814956968E-3</v>
      </c>
      <c r="V342" s="6">
        <f t="shared" si="17"/>
        <v>-1.5605189418396101E-2</v>
      </c>
      <c r="W342" s="6">
        <f t="shared" si="18"/>
        <v>-0.17024858659814776</v>
      </c>
      <c r="X342" s="6">
        <f t="shared" si="19"/>
        <v>-3.7724586080964996E-2</v>
      </c>
      <c r="Y342" s="6">
        <f t="shared" si="20"/>
        <v>-2.3245665740891073E-2</v>
      </c>
      <c r="Z342" s="6">
        <f t="shared" si="21"/>
        <v>9.2073333020980683E-2</v>
      </c>
      <c r="AA342" s="6">
        <f t="shared" si="22"/>
        <v>-4.3464724429003156E-2</v>
      </c>
      <c r="AB342" s="6">
        <f t="shared" si="23"/>
        <v>1.4357778651678194E-2</v>
      </c>
      <c r="AC342" s="6">
        <f t="shared" si="24"/>
        <v>-1.6190365812244766E-2</v>
      </c>
      <c r="AD342" s="6">
        <f t="shared" si="25"/>
        <v>-8.7005863720762133E-2</v>
      </c>
      <c r="AE342" s="6">
        <f t="shared" si="26"/>
        <v>-9.6638058436881932E-2</v>
      </c>
      <c r="AF342" s="6">
        <f t="shared" si="27"/>
        <v>-1.3184884354472161E-2</v>
      </c>
    </row>
    <row r="343" spans="4:32" x14ac:dyDescent="0.3">
      <c r="D343" s="6">
        <v>-2.7325065664339326E-2</v>
      </c>
      <c r="E343" s="6">
        <v>-2.1737331648147572E-2</v>
      </c>
      <c r="F343" s="6">
        <v>9.5662440466480134E-3</v>
      </c>
      <c r="G343" s="6">
        <v>-0.10429585809032665</v>
      </c>
      <c r="H343" s="6">
        <v>-2.2372084306427301E-2</v>
      </c>
      <c r="I343" s="6">
        <v>2.0324134793510817E-2</v>
      </c>
      <c r="J343" s="6">
        <v>-3.9385314420045676E-2</v>
      </c>
      <c r="K343" s="6">
        <v>-1.4941579998198914E-2</v>
      </c>
      <c r="L343" s="6">
        <v>-3.3793533651997471E-2</v>
      </c>
      <c r="M343" s="6">
        <v>-5.3367998569120424E-2</v>
      </c>
      <c r="N343" s="6">
        <v>-4.110330348180067E-2</v>
      </c>
      <c r="O343" s="6">
        <v>-6.6734184550478845E-2</v>
      </c>
      <c r="P343" s="6">
        <v>-5.9423420470800646E-2</v>
      </c>
      <c r="Q343" s="6">
        <v>-4.000533461369913E-2</v>
      </c>
      <c r="S343" s="6">
        <f t="shared" si="14"/>
        <v>-2.911308365214926E-2</v>
      </c>
      <c r="T343" s="6">
        <f t="shared" si="15"/>
        <v>-3.1566808144592069E-2</v>
      </c>
      <c r="U343" s="6">
        <f t="shared" si="16"/>
        <v>7.006889900438287E-3</v>
      </c>
      <c r="V343" s="6">
        <f t="shared" si="17"/>
        <v>-0.10700520642579776</v>
      </c>
      <c r="W343" s="6">
        <f t="shared" si="18"/>
        <v>-2.3228862119038091E-2</v>
      </c>
      <c r="X343" s="6">
        <f t="shared" si="19"/>
        <v>1.8844495072281184E-2</v>
      </c>
      <c r="Y343" s="6">
        <f t="shared" si="20"/>
        <v>-4.3250901730241605E-2</v>
      </c>
      <c r="Z343" s="6">
        <f t="shared" si="21"/>
        <v>-6.8026984623687173E-3</v>
      </c>
      <c r="AA343" s="6">
        <f t="shared" si="22"/>
        <v>-3.9062218994530426E-2</v>
      </c>
      <c r="AB343" s="6">
        <f t="shared" si="23"/>
        <v>-5.5622121940360869E-2</v>
      </c>
      <c r="AC343" s="6">
        <f t="shared" si="24"/>
        <v>-4.5262057241646066E-2</v>
      </c>
      <c r="AD343" s="6">
        <f t="shared" si="25"/>
        <v>-7.9011536227919926E-2</v>
      </c>
      <c r="AE343" s="6">
        <f t="shared" si="26"/>
        <v>-5.6352353822474388E-2</v>
      </c>
      <c r="AF343" s="6">
        <f t="shared" si="27"/>
        <v>-3.6477633289253575E-2</v>
      </c>
    </row>
    <row r="344" spans="4:32" x14ac:dyDescent="0.3">
      <c r="D344" s="6">
        <v>4.8897727270863091E-2</v>
      </c>
      <c r="E344" s="6">
        <v>0.10558271319234777</v>
      </c>
      <c r="F344" s="6">
        <v>6.7384593059909056E-2</v>
      </c>
      <c r="G344" s="6">
        <v>5.5173780436628281E-2</v>
      </c>
      <c r="H344" s="6">
        <v>5.9278692197879977E-2</v>
      </c>
      <c r="I344" s="6">
        <v>8.1595138622359717E-2</v>
      </c>
      <c r="J344" s="6">
        <v>5.8479356204318433E-2</v>
      </c>
      <c r="K344" s="6">
        <v>0.14209675548344561</v>
      </c>
      <c r="L344" s="6">
        <v>8.5467154005853849E-2</v>
      </c>
      <c r="M344" s="6">
        <v>0.19244253157659924</v>
      </c>
      <c r="N344" s="6">
        <v>0.14681292020793077</v>
      </c>
      <c r="O344" s="6">
        <v>0.22592666887501417</v>
      </c>
      <c r="P344" s="6">
        <v>0.40812350577477435</v>
      </c>
      <c r="Q344" s="6">
        <v>6.0535325914561462E-2</v>
      </c>
      <c r="S344" s="6">
        <f t="shared" si="14"/>
        <v>4.7109709283053157E-2</v>
      </c>
      <c r="T344" s="6">
        <f t="shared" si="15"/>
        <v>9.5753236695903271E-2</v>
      </c>
      <c r="U344" s="6">
        <f t="shared" si="16"/>
        <v>6.4825238913699332E-2</v>
      </c>
      <c r="V344" s="6">
        <f t="shared" si="17"/>
        <v>5.2464432101157171E-2</v>
      </c>
      <c r="W344" s="6">
        <f t="shared" si="18"/>
        <v>5.842191438526919E-2</v>
      </c>
      <c r="X344" s="6">
        <f t="shared" si="19"/>
        <v>8.0115498901130081E-2</v>
      </c>
      <c r="Y344" s="6">
        <f t="shared" si="20"/>
        <v>5.4613768894122505E-2</v>
      </c>
      <c r="Z344" s="6">
        <f t="shared" si="21"/>
        <v>0.15023563701927581</v>
      </c>
      <c r="AA344" s="6">
        <f t="shared" si="22"/>
        <v>8.0198468663320893E-2</v>
      </c>
      <c r="AB344" s="6">
        <f t="shared" si="23"/>
        <v>0.19018840820535879</v>
      </c>
      <c r="AC344" s="6">
        <f t="shared" si="24"/>
        <v>0.14265416644808537</v>
      </c>
      <c r="AD344" s="6">
        <f t="shared" si="25"/>
        <v>0.2136493171975731</v>
      </c>
      <c r="AE344" s="6">
        <f t="shared" si="26"/>
        <v>0.41119457242310059</v>
      </c>
      <c r="AF344" s="6">
        <f t="shared" si="27"/>
        <v>6.4063027239007017E-2</v>
      </c>
    </row>
    <row r="345" spans="4:32" x14ac:dyDescent="0.3">
      <c r="D345" s="6">
        <v>5.3724528446336531E-2</v>
      </c>
      <c r="E345" s="6">
        <v>7.1167798552151482E-2</v>
      </c>
      <c r="F345" s="6">
        <v>4.670939164151891E-2</v>
      </c>
      <c r="G345" s="6">
        <v>2.6674362274030573E-2</v>
      </c>
      <c r="H345" s="6">
        <v>-2.443691696904441E-2</v>
      </c>
      <c r="I345" s="6">
        <v>3.5160979523603787E-2</v>
      </c>
      <c r="J345" s="6">
        <v>4.4056427519233041E-2</v>
      </c>
      <c r="K345" s="6">
        <v>5.4459917132380839E-2</v>
      </c>
      <c r="L345" s="6">
        <v>4.1977298000834912E-2</v>
      </c>
      <c r="M345" s="6">
        <v>7.9719901408291785E-2</v>
      </c>
      <c r="N345" s="6">
        <v>7.7154933526459468E-2</v>
      </c>
      <c r="O345" s="6">
        <v>4.0461950887549572E-2</v>
      </c>
      <c r="P345" s="6">
        <v>-4.14367360408135E-2</v>
      </c>
      <c r="Q345" s="6">
        <v>-1.4874324613603454E-2</v>
      </c>
      <c r="S345" s="6">
        <f t="shared" si="14"/>
        <v>5.1936510458526597E-2</v>
      </c>
      <c r="T345" s="6">
        <f t="shared" si="15"/>
        <v>6.1338322055706981E-2</v>
      </c>
      <c r="U345" s="6">
        <f t="shared" si="16"/>
        <v>4.4150037495309186E-2</v>
      </c>
      <c r="V345" s="6">
        <f t="shared" si="17"/>
        <v>2.3965013938559467E-2</v>
      </c>
      <c r="W345" s="6">
        <f t="shared" si="18"/>
        <v>-2.5293694781655201E-2</v>
      </c>
      <c r="X345" s="6">
        <f t="shared" si="19"/>
        <v>3.3681339802374158E-2</v>
      </c>
      <c r="Y345" s="6">
        <f t="shared" si="20"/>
        <v>4.0190840209037113E-2</v>
      </c>
      <c r="Z345" s="6">
        <f t="shared" si="21"/>
        <v>6.2598798668211039E-2</v>
      </c>
      <c r="AA345" s="6">
        <f t="shared" si="22"/>
        <v>3.6708612658301956E-2</v>
      </c>
      <c r="AB345" s="6">
        <f t="shared" si="23"/>
        <v>7.7465778037051333E-2</v>
      </c>
      <c r="AC345" s="6">
        <f t="shared" si="24"/>
        <v>7.2996179766614072E-2</v>
      </c>
      <c r="AD345" s="6">
        <f t="shared" si="25"/>
        <v>2.8184599210108494E-2</v>
      </c>
      <c r="AE345" s="6">
        <f t="shared" si="26"/>
        <v>-3.8365669392487242E-2</v>
      </c>
      <c r="AF345" s="6">
        <f t="shared" si="27"/>
        <v>-1.1346623289157903E-2</v>
      </c>
    </row>
    <row r="346" spans="4:32" x14ac:dyDescent="0.3">
      <c r="D346" s="6">
        <v>1.7496258487140603E-2</v>
      </c>
      <c r="E346" s="6">
        <v>1.9871595191651718E-2</v>
      </c>
      <c r="F346" s="6">
        <v>4.8680225972156472E-4</v>
      </c>
      <c r="G346" s="6">
        <v>2.0306782148925388E-2</v>
      </c>
      <c r="H346" s="6">
        <v>8.7593550843180365E-2</v>
      </c>
      <c r="I346" s="6">
        <v>1.1221285577288173E-2</v>
      </c>
      <c r="J346" s="6">
        <v>1.8891509538761633E-2</v>
      </c>
      <c r="K346" s="6">
        <v>4.9126637927653503E-2</v>
      </c>
      <c r="L346" s="6">
        <v>5.3458438963551971E-2</v>
      </c>
      <c r="M346" s="6">
        <v>6.3885865242351583E-2</v>
      </c>
      <c r="N346" s="6">
        <v>5.3965177330066609E-2</v>
      </c>
      <c r="O346" s="6">
        <v>4.0842329849840431E-2</v>
      </c>
      <c r="P346" s="6">
        <v>0.13400785024802031</v>
      </c>
      <c r="Q346" s="6">
        <v>3.2654668721118184E-2</v>
      </c>
      <c r="S346" s="6">
        <f t="shared" si="14"/>
        <v>1.5708240499330669E-2</v>
      </c>
      <c r="T346" s="6">
        <f t="shared" si="15"/>
        <v>1.0042118695207221E-2</v>
      </c>
      <c r="U346" s="6">
        <f t="shared" si="16"/>
        <v>-2.0725518864881621E-3</v>
      </c>
      <c r="V346" s="6">
        <f t="shared" si="17"/>
        <v>1.7597433813454282E-2</v>
      </c>
      <c r="W346" s="6">
        <f t="shared" si="18"/>
        <v>8.6736773030569578E-2</v>
      </c>
      <c r="X346" s="6">
        <f t="shared" si="19"/>
        <v>9.7416458560585402E-3</v>
      </c>
      <c r="Y346" s="6">
        <f t="shared" si="20"/>
        <v>1.5025922228565703E-2</v>
      </c>
      <c r="Z346" s="6">
        <f t="shared" si="21"/>
        <v>5.7265519463483697E-2</v>
      </c>
      <c r="AA346" s="6">
        <f t="shared" si="22"/>
        <v>4.8189753621019016E-2</v>
      </c>
      <c r="AB346" s="6">
        <f t="shared" si="23"/>
        <v>6.1631741871111138E-2</v>
      </c>
      <c r="AC346" s="6">
        <f t="shared" si="24"/>
        <v>4.9806423570221213E-2</v>
      </c>
      <c r="AD346" s="6">
        <f t="shared" si="25"/>
        <v>2.8564978172399353E-2</v>
      </c>
      <c r="AE346" s="6">
        <f t="shared" si="26"/>
        <v>0.13707891689634658</v>
      </c>
      <c r="AF346" s="6">
        <f t="shared" si="27"/>
        <v>3.6182370045563739E-2</v>
      </c>
    </row>
    <row r="347" spans="4:32" x14ac:dyDescent="0.3">
      <c r="D347" s="6">
        <v>1.4750042183263009E-3</v>
      </c>
      <c r="E347" s="6">
        <v>-3.1316939150980889E-2</v>
      </c>
      <c r="F347" s="6">
        <v>2.0287602997272555E-2</v>
      </c>
      <c r="G347" s="6">
        <v>1.0147145889008648E-2</v>
      </c>
      <c r="H347" s="6">
        <v>4.8962311758135937E-3</v>
      </c>
      <c r="I347" s="6">
        <v>1.0687961429153601E-2</v>
      </c>
      <c r="J347" s="6">
        <v>9.4762097565984759E-3</v>
      </c>
      <c r="K347" s="6">
        <v>5.1629654969261973E-2</v>
      </c>
      <c r="L347" s="6">
        <v>1.7091978024901908E-2</v>
      </c>
      <c r="M347" s="6">
        <v>0.15399201720855962</v>
      </c>
      <c r="N347" s="6">
        <v>1.6035329013292177E-2</v>
      </c>
      <c r="O347" s="6">
        <v>-6.5026683217072501E-2</v>
      </c>
      <c r="P347" s="6">
        <v>2.0862917425940718E-2</v>
      </c>
      <c r="Q347" s="6">
        <v>6.3739042063961481E-3</v>
      </c>
      <c r="S347" s="6">
        <f t="shared" si="14"/>
        <v>-3.1301376948363285E-4</v>
      </c>
      <c r="T347" s="6">
        <f t="shared" si="15"/>
        <v>-4.1146415647425383E-2</v>
      </c>
      <c r="U347" s="6">
        <f t="shared" si="16"/>
        <v>1.7728248851062826E-2</v>
      </c>
      <c r="V347" s="6">
        <f t="shared" si="17"/>
        <v>7.4377975535375417E-3</v>
      </c>
      <c r="W347" s="6">
        <f t="shared" si="18"/>
        <v>4.0394533632028039E-3</v>
      </c>
      <c r="X347" s="6">
        <f t="shared" si="19"/>
        <v>9.2083217079239679E-3</v>
      </c>
      <c r="Y347" s="6">
        <f t="shared" si="20"/>
        <v>5.610622446402546E-3</v>
      </c>
      <c r="Z347" s="6">
        <f t="shared" si="21"/>
        <v>5.9768536505092174E-2</v>
      </c>
      <c r="AA347" s="6">
        <f t="shared" si="22"/>
        <v>1.1823292682368954E-2</v>
      </c>
      <c r="AB347" s="6">
        <f t="shared" si="23"/>
        <v>0.15173789383731917</v>
      </c>
      <c r="AC347" s="6">
        <f t="shared" si="24"/>
        <v>1.1876575253446785E-2</v>
      </c>
      <c r="AD347" s="6">
        <f t="shared" si="25"/>
        <v>-7.7304034894513582E-2</v>
      </c>
      <c r="AE347" s="6">
        <f t="shared" si="26"/>
        <v>2.3933984074266976E-2</v>
      </c>
      <c r="AF347" s="6">
        <f t="shared" si="27"/>
        <v>9.9016055308416995E-3</v>
      </c>
    </row>
    <row r="348" spans="4:32" x14ac:dyDescent="0.3">
      <c r="D348" s="6">
        <v>6.6630188009449099E-3</v>
      </c>
      <c r="E348" s="6">
        <v>-2.1579005293795861E-2</v>
      </c>
      <c r="F348" s="6">
        <v>-7.7666161606814608E-3</v>
      </c>
      <c r="G348" s="6">
        <v>-3.5974834479407879E-2</v>
      </c>
      <c r="H348" s="6">
        <v>1.4253425079032949E-2</v>
      </c>
      <c r="I348" s="6">
        <v>1.9743343037176078E-3</v>
      </c>
      <c r="J348" s="6">
        <v>-4.0454954692313756E-2</v>
      </c>
      <c r="K348" s="6">
        <v>0.1216802947964743</v>
      </c>
      <c r="L348" s="6">
        <v>0.10946770616244107</v>
      </c>
      <c r="M348" s="6">
        <v>0.14643035898327184</v>
      </c>
      <c r="N348" s="6">
        <v>3.6038336778822323E-2</v>
      </c>
      <c r="O348" s="6">
        <v>5.4231681430172748E-2</v>
      </c>
      <c r="P348" s="6">
        <v>8.681823358004824E-2</v>
      </c>
      <c r="Q348" s="6">
        <v>8.5499309240065616E-2</v>
      </c>
      <c r="S348" s="6">
        <f t="shared" si="14"/>
        <v>4.875000813134976E-3</v>
      </c>
      <c r="T348" s="6">
        <f t="shared" si="15"/>
        <v>-3.1408481790240361E-2</v>
      </c>
      <c r="U348" s="6">
        <f t="shared" si="16"/>
        <v>-1.0325970306891188E-2</v>
      </c>
      <c r="V348" s="6">
        <f t="shared" si="17"/>
        <v>-3.8684182814878988E-2</v>
      </c>
      <c r="W348" s="6">
        <f t="shared" si="18"/>
        <v>1.339664726642216E-2</v>
      </c>
      <c r="X348" s="6">
        <f t="shared" si="19"/>
        <v>4.9469458248797577E-4</v>
      </c>
      <c r="Y348" s="6">
        <f t="shared" si="20"/>
        <v>-4.4320542002509684E-2</v>
      </c>
      <c r="Z348" s="6">
        <f t="shared" si="21"/>
        <v>0.1298191763323045</v>
      </c>
      <c r="AA348" s="6">
        <f t="shared" si="22"/>
        <v>0.10419902081990812</v>
      </c>
      <c r="AB348" s="6">
        <f t="shared" si="23"/>
        <v>0.14417623561203138</v>
      </c>
      <c r="AC348" s="6">
        <f t="shared" si="24"/>
        <v>3.1879583018976927E-2</v>
      </c>
      <c r="AD348" s="6">
        <f t="shared" si="25"/>
        <v>4.1954329752731667E-2</v>
      </c>
      <c r="AE348" s="6">
        <f t="shared" si="26"/>
        <v>8.9889300228374491E-2</v>
      </c>
      <c r="AF348" s="6">
        <f t="shared" si="27"/>
        <v>8.9027010564511164E-2</v>
      </c>
    </row>
    <row r="349" spans="4:32" x14ac:dyDescent="0.3">
      <c r="D349" s="6">
        <v>2.3104787958975123E-2</v>
      </c>
      <c r="E349" s="6">
        <v>1.5912078594962187E-2</v>
      </c>
      <c r="F349" s="6">
        <v>-7.4792321247003099E-4</v>
      </c>
      <c r="G349" s="6">
        <v>2.3459947935582023E-2</v>
      </c>
      <c r="H349" s="6">
        <v>2.076027072968498E-2</v>
      </c>
      <c r="I349" s="6">
        <v>2.6490081715768625E-3</v>
      </c>
      <c r="J349" s="6">
        <v>2.4120274528764332E-2</v>
      </c>
      <c r="K349" s="6">
        <v>6.5024612311330776E-2</v>
      </c>
      <c r="L349" s="6">
        <v>3.1494709120388681E-2</v>
      </c>
      <c r="M349" s="6">
        <v>9.1797056459049092E-2</v>
      </c>
      <c r="N349" s="6">
        <v>7.3111087335962471E-2</v>
      </c>
      <c r="O349" s="6">
        <v>-0.13163031829734875</v>
      </c>
      <c r="P349" s="6">
        <v>-1.7399714394636823E-3</v>
      </c>
      <c r="Q349" s="6">
        <v>3.8651480179322469E-2</v>
      </c>
      <c r="S349" s="6">
        <f t="shared" si="14"/>
        <v>2.1316769971165189E-2</v>
      </c>
      <c r="T349" s="6">
        <f t="shared" si="15"/>
        <v>6.08260209851769E-3</v>
      </c>
      <c r="U349" s="6">
        <f t="shared" si="16"/>
        <v>-3.3072773586797577E-3</v>
      </c>
      <c r="V349" s="6">
        <f t="shared" si="17"/>
        <v>2.0750599600110917E-2</v>
      </c>
      <c r="W349" s="6">
        <f t="shared" si="18"/>
        <v>1.9903492917074189E-2</v>
      </c>
      <c r="X349" s="6">
        <f t="shared" si="19"/>
        <v>1.1693684503472305E-3</v>
      </c>
      <c r="Y349" s="6">
        <f t="shared" si="20"/>
        <v>2.0254687218568403E-2</v>
      </c>
      <c r="Z349" s="6">
        <f t="shared" si="21"/>
        <v>7.3163493847160976E-2</v>
      </c>
      <c r="AA349" s="6">
        <f t="shared" si="22"/>
        <v>2.6226023777855725E-2</v>
      </c>
      <c r="AB349" s="6">
        <f t="shared" si="23"/>
        <v>8.954293308780864E-2</v>
      </c>
      <c r="AC349" s="6">
        <f t="shared" si="24"/>
        <v>6.8952333576117075E-2</v>
      </c>
      <c r="AD349" s="6">
        <f t="shared" si="25"/>
        <v>-0.14390766997478982</v>
      </c>
      <c r="AE349" s="6">
        <f t="shared" si="26"/>
        <v>1.3310952088625753E-3</v>
      </c>
      <c r="AF349" s="6">
        <f t="shared" si="27"/>
        <v>4.2179181503768023E-2</v>
      </c>
    </row>
    <row r="350" spans="4:32" x14ac:dyDescent="0.3">
      <c r="D350" s="6">
        <v>9.4589802084357553E-3</v>
      </c>
      <c r="E350" s="6">
        <v>2.863266139172423E-2</v>
      </c>
      <c r="F350" s="6">
        <v>-9.3965468016999343E-3</v>
      </c>
      <c r="G350" s="6">
        <v>-1.7863623868973614E-2</v>
      </c>
      <c r="H350" s="6">
        <v>3.8851550532956497E-2</v>
      </c>
      <c r="I350" s="6">
        <v>1.7149618332446021E-2</v>
      </c>
      <c r="J350" s="6">
        <v>6.5002400610102082E-3</v>
      </c>
      <c r="K350" s="6">
        <v>0.11446408139831979</v>
      </c>
      <c r="L350" s="6">
        <v>6.9781401304424354E-2</v>
      </c>
      <c r="M350" s="6">
        <v>8.6921639213135751E-3</v>
      </c>
      <c r="N350" s="6">
        <v>2.5898363455813247E-3</v>
      </c>
      <c r="O350" s="6">
        <v>2.3909951916189685E-2</v>
      </c>
      <c r="P350" s="6">
        <v>-7.4599281204435416E-2</v>
      </c>
      <c r="Q350" s="6">
        <v>-2.0605029616630476E-2</v>
      </c>
      <c r="S350" s="6">
        <f t="shared" si="14"/>
        <v>7.6709622206258214E-3</v>
      </c>
      <c r="T350" s="6">
        <f t="shared" si="15"/>
        <v>1.8803184895279733E-2</v>
      </c>
      <c r="U350" s="6">
        <f t="shared" si="16"/>
        <v>-1.1955900947909661E-2</v>
      </c>
      <c r="V350" s="6">
        <f t="shared" si="17"/>
        <v>-2.057297220444472E-2</v>
      </c>
      <c r="W350" s="6">
        <f t="shared" si="18"/>
        <v>3.799477272034571E-2</v>
      </c>
      <c r="X350" s="6">
        <f t="shared" si="19"/>
        <v>1.5669978611216388E-2</v>
      </c>
      <c r="Y350" s="6">
        <f t="shared" si="20"/>
        <v>2.6346527508142787E-3</v>
      </c>
      <c r="Z350" s="6">
        <f t="shared" si="21"/>
        <v>0.12260296293414999</v>
      </c>
      <c r="AA350" s="6">
        <f t="shared" si="22"/>
        <v>6.4512715961891398E-2</v>
      </c>
      <c r="AB350" s="6">
        <f t="shared" si="23"/>
        <v>6.4380405500731284E-3</v>
      </c>
      <c r="AC350" s="6">
        <f t="shared" si="24"/>
        <v>-1.5689174142640688E-3</v>
      </c>
      <c r="AD350" s="6">
        <f t="shared" si="25"/>
        <v>1.1632600238748608E-2</v>
      </c>
      <c r="AE350" s="6">
        <f t="shared" si="26"/>
        <v>-7.1528214556109165E-2</v>
      </c>
      <c r="AF350" s="6">
        <f t="shared" si="27"/>
        <v>-1.7077328292184925E-2</v>
      </c>
    </row>
    <row r="351" spans="4:32" x14ac:dyDescent="0.3">
      <c r="D351" s="6">
        <v>-2.0298777082837102E-2</v>
      </c>
      <c r="E351" s="6">
        <v>-1.2279985169852885E-3</v>
      </c>
      <c r="F351" s="6">
        <v>1.0331363445409891E-2</v>
      </c>
      <c r="G351" s="6">
        <v>6.4891965456099002E-2</v>
      </c>
      <c r="H351" s="6">
        <v>-3.7941710207035784E-3</v>
      </c>
      <c r="I351" s="6">
        <v>2.2743984437561395E-2</v>
      </c>
      <c r="J351" s="6">
        <v>5.3680565601188897E-2</v>
      </c>
      <c r="K351" s="6">
        <v>7.653849551448615E-3</v>
      </c>
      <c r="L351" s="6">
        <v>-1.7258189487675532E-2</v>
      </c>
      <c r="M351" s="6">
        <v>0.17098870658125895</v>
      </c>
      <c r="N351" s="6">
        <v>-2.4277749239480701E-3</v>
      </c>
      <c r="O351" s="6">
        <v>-4.4376840302651946E-2</v>
      </c>
      <c r="P351" s="6">
        <v>-4.9029951073003362E-2</v>
      </c>
      <c r="Q351" s="6">
        <v>1.2910570110123146E-2</v>
      </c>
      <c r="S351" s="6">
        <f t="shared" si="14"/>
        <v>-2.2086795070647036E-2</v>
      </c>
      <c r="T351" s="6">
        <f t="shared" si="15"/>
        <v>-1.1057475013429786E-2</v>
      </c>
      <c r="U351" s="6">
        <f t="shared" si="16"/>
        <v>7.7720092992001645E-3</v>
      </c>
      <c r="V351" s="6">
        <f t="shared" si="17"/>
        <v>6.2182617120627892E-2</v>
      </c>
      <c r="W351" s="6">
        <f t="shared" si="18"/>
        <v>-4.6509488333143683E-3</v>
      </c>
      <c r="X351" s="6">
        <f t="shared" si="19"/>
        <v>2.1264344716331762E-2</v>
      </c>
      <c r="Y351" s="6">
        <f t="shared" si="20"/>
        <v>4.9814978290992969E-2</v>
      </c>
      <c r="Z351" s="6">
        <f t="shared" si="21"/>
        <v>1.5792731087278813E-2</v>
      </c>
      <c r="AA351" s="6">
        <f t="shared" si="22"/>
        <v>-2.2526874830208488E-2</v>
      </c>
      <c r="AB351" s="6">
        <f t="shared" si="23"/>
        <v>0.1687345832100185</v>
      </c>
      <c r="AC351" s="6">
        <f t="shared" si="24"/>
        <v>-6.586528683793464E-3</v>
      </c>
      <c r="AD351" s="6">
        <f t="shared" si="25"/>
        <v>-5.6654191980093027E-2</v>
      </c>
      <c r="AE351" s="6">
        <f t="shared" si="26"/>
        <v>-4.5958884424677104E-2</v>
      </c>
      <c r="AF351" s="6">
        <f t="shared" si="27"/>
        <v>1.6438271434568698E-2</v>
      </c>
    </row>
    <row r="352" spans="4:32" x14ac:dyDescent="0.3">
      <c r="D352" s="6">
        <v>-5.5421891012324906E-3</v>
      </c>
      <c r="E352" s="6">
        <v>1.4031750302771918E-2</v>
      </c>
      <c r="F352" s="6">
        <v>3.8901224086424326E-3</v>
      </c>
      <c r="G352" s="6">
        <v>-1.2803361468401506E-2</v>
      </c>
      <c r="H352" s="6">
        <v>-1.620729261015735E-2</v>
      </c>
      <c r="I352" s="6">
        <v>-9.6935524560746184E-3</v>
      </c>
      <c r="J352" s="6">
        <v>1.6116494617294135E-3</v>
      </c>
      <c r="K352" s="6">
        <v>-7.0630075844818879E-3</v>
      </c>
      <c r="L352" s="6">
        <v>-1.2134261201177407E-3</v>
      </c>
      <c r="M352" s="6">
        <v>-8.9296529251139331E-3</v>
      </c>
      <c r="N352" s="6">
        <v>-2.2712534098567648E-3</v>
      </c>
      <c r="O352" s="6">
        <v>-1.3881078870713427E-2</v>
      </c>
      <c r="P352" s="6">
        <v>3.497271324125052E-3</v>
      </c>
      <c r="Q352" s="6">
        <v>-8.1712247462264447E-3</v>
      </c>
      <c r="S352" s="6">
        <f t="shared" si="14"/>
        <v>-7.3302070890424245E-3</v>
      </c>
      <c r="T352" s="6">
        <f t="shared" si="15"/>
        <v>4.2022738063274209E-3</v>
      </c>
      <c r="U352" s="6">
        <f t="shared" si="16"/>
        <v>1.3307682624327057E-3</v>
      </c>
      <c r="V352" s="6">
        <f t="shared" si="17"/>
        <v>-1.5512709803872612E-2</v>
      </c>
      <c r="W352" s="6">
        <f t="shared" si="18"/>
        <v>-1.7064070422768141E-2</v>
      </c>
      <c r="X352" s="6">
        <f t="shared" si="19"/>
        <v>-1.117319217730425E-2</v>
      </c>
      <c r="Y352" s="6">
        <f t="shared" si="20"/>
        <v>-2.2539378484665159E-3</v>
      </c>
      <c r="Z352" s="6">
        <f t="shared" si="21"/>
        <v>1.0758739513483089E-3</v>
      </c>
      <c r="AA352" s="6">
        <f t="shared" si="22"/>
        <v>-6.4821114626506943E-3</v>
      </c>
      <c r="AB352" s="6">
        <f t="shared" si="23"/>
        <v>-1.118377629635438E-2</v>
      </c>
      <c r="AC352" s="6">
        <f t="shared" si="24"/>
        <v>-6.4300071697021583E-3</v>
      </c>
      <c r="AD352" s="6">
        <f t="shared" si="25"/>
        <v>-2.6158430548154504E-2</v>
      </c>
      <c r="AE352" s="6">
        <f t="shared" si="26"/>
        <v>6.5683379724513092E-3</v>
      </c>
      <c r="AF352" s="6">
        <f t="shared" si="27"/>
        <v>-4.6435234217808933E-3</v>
      </c>
    </row>
    <row r="353" spans="4:32" x14ac:dyDescent="0.3">
      <c r="D353" s="6">
        <v>-6.0760973500102351E-2</v>
      </c>
      <c r="E353" s="6">
        <v>-8.5175935758657704E-3</v>
      </c>
      <c r="F353" s="6">
        <v>-2.2292161228803235E-2</v>
      </c>
      <c r="G353" s="6">
        <v>-2.8758063429585895E-2</v>
      </c>
      <c r="H353" s="6">
        <v>-4.523684207529037E-2</v>
      </c>
      <c r="I353" s="6">
        <v>-4.5098159528940425E-2</v>
      </c>
      <c r="J353" s="6">
        <v>-5.6947923450087739E-3</v>
      </c>
      <c r="K353" s="6">
        <v>-2.2701094321971989E-2</v>
      </c>
      <c r="L353" s="6">
        <v>-3.1268707602026782E-2</v>
      </c>
      <c r="M353" s="6">
        <v>-0.12177269952299583</v>
      </c>
      <c r="N353" s="6">
        <v>-6.6999453739088985E-2</v>
      </c>
      <c r="O353" s="6">
        <v>-7.1825734571255614E-2</v>
      </c>
      <c r="P353" s="6">
        <v>-2.6196579551852794E-2</v>
      </c>
      <c r="Q353" s="6">
        <v>-7.1319910933182865E-2</v>
      </c>
      <c r="S353" s="6">
        <f t="shared" si="14"/>
        <v>-6.2548991487912278E-2</v>
      </c>
      <c r="T353" s="6">
        <f t="shared" si="15"/>
        <v>-1.8347070072310269E-2</v>
      </c>
      <c r="U353" s="6">
        <f t="shared" si="16"/>
        <v>-2.4851515375012963E-2</v>
      </c>
      <c r="V353" s="6">
        <f t="shared" si="17"/>
        <v>-3.1467411765057005E-2</v>
      </c>
      <c r="W353" s="6">
        <f t="shared" si="18"/>
        <v>-4.6093619887901158E-2</v>
      </c>
      <c r="X353" s="6">
        <f t="shared" si="19"/>
        <v>-4.6577799250170054E-2</v>
      </c>
      <c r="Y353" s="6">
        <f t="shared" si="20"/>
        <v>-9.5603796552047038E-3</v>
      </c>
      <c r="Z353" s="6">
        <f t="shared" si="21"/>
        <v>-1.4562212786141792E-2</v>
      </c>
      <c r="AA353" s="6">
        <f t="shared" si="22"/>
        <v>-3.6537392944559738E-2</v>
      </c>
      <c r="AB353" s="6">
        <f t="shared" si="23"/>
        <v>-0.12402682289423628</v>
      </c>
      <c r="AC353" s="6">
        <f t="shared" si="24"/>
        <v>-7.1158207498934381E-2</v>
      </c>
      <c r="AD353" s="6">
        <f t="shared" si="25"/>
        <v>-8.4103086248696696E-2</v>
      </c>
      <c r="AE353" s="6">
        <f t="shared" si="26"/>
        <v>-2.3125512903526536E-2</v>
      </c>
      <c r="AF353" s="6">
        <f t="shared" si="27"/>
        <v>-6.7792209608737317E-2</v>
      </c>
    </row>
    <row r="354" spans="4:32" x14ac:dyDescent="0.3">
      <c r="D354" s="6">
        <v>2.5825461422404484E-2</v>
      </c>
      <c r="E354" s="6">
        <v>0.10818747327525964</v>
      </c>
      <c r="F354" s="6">
        <v>5.4812587267311572E-2</v>
      </c>
      <c r="G354" s="6">
        <v>4.972645934963528E-2</v>
      </c>
      <c r="H354" s="6">
        <v>-8.1556196800023448E-2</v>
      </c>
      <c r="I354" s="6">
        <v>6.2582947346193671E-2</v>
      </c>
      <c r="J354" s="6">
        <v>6.2075980276928733E-2</v>
      </c>
      <c r="K354" s="6">
        <v>-7.277169773895269E-3</v>
      </c>
      <c r="L354" s="6">
        <v>0.13543392982979865</v>
      </c>
      <c r="M354" s="6">
        <v>-0.16330620171677354</v>
      </c>
      <c r="N354" s="6">
        <v>9.312901596878205E-2</v>
      </c>
      <c r="O354" s="6">
        <v>4.7657154715808447E-2</v>
      </c>
      <c r="P354" s="6">
        <v>-3.6960976871576727E-2</v>
      </c>
      <c r="Q354" s="6">
        <v>5.0949746731871699E-2</v>
      </c>
      <c r="S354" s="6">
        <f t="shared" si="14"/>
        <v>2.403744343459455E-2</v>
      </c>
      <c r="T354" s="6">
        <f t="shared" si="15"/>
        <v>9.835799677881514E-2</v>
      </c>
      <c r="U354" s="6">
        <f t="shared" si="16"/>
        <v>5.2253233121101847E-2</v>
      </c>
      <c r="V354" s="6">
        <f t="shared" si="17"/>
        <v>4.701711101416417E-2</v>
      </c>
      <c r="W354" s="6">
        <f t="shared" si="18"/>
        <v>-8.2412974612634235E-2</v>
      </c>
      <c r="X354" s="6">
        <f t="shared" si="19"/>
        <v>6.1103307624964041E-2</v>
      </c>
      <c r="Y354" s="6">
        <f t="shared" si="20"/>
        <v>5.8210392966732805E-2</v>
      </c>
      <c r="Z354" s="6">
        <f t="shared" si="21"/>
        <v>8.6171176193492773E-4</v>
      </c>
      <c r="AA354" s="6">
        <f t="shared" si="22"/>
        <v>0.13016524448726571</v>
      </c>
      <c r="AB354" s="6">
        <f t="shared" si="23"/>
        <v>-0.16556032508801399</v>
      </c>
      <c r="AC354" s="6">
        <f t="shared" si="24"/>
        <v>8.8970262208936654E-2</v>
      </c>
      <c r="AD354" s="6">
        <f t="shared" si="25"/>
        <v>3.5379803038367366E-2</v>
      </c>
      <c r="AE354" s="6">
        <f t="shared" si="26"/>
        <v>-3.3889910223250469E-2</v>
      </c>
      <c r="AF354" s="6">
        <f t="shared" si="27"/>
        <v>5.4477448056317254E-2</v>
      </c>
    </row>
    <row r="355" spans="4:32" x14ac:dyDescent="0.3">
      <c r="D355" s="6">
        <v>2.9884601810862204E-2</v>
      </c>
      <c r="E355" s="6">
        <v>8.3761723124079729E-2</v>
      </c>
      <c r="F355" s="6">
        <v>2.5918060262667547E-2</v>
      </c>
      <c r="G355" s="6">
        <v>2.5811902513572058E-2</v>
      </c>
      <c r="H355" s="6">
        <v>-3.108722080905495E-2</v>
      </c>
      <c r="I355" s="6">
        <v>4.6457690991725895E-3</v>
      </c>
      <c r="J355" s="6">
        <v>2.3644133879798954E-2</v>
      </c>
      <c r="K355" s="6">
        <v>-6.0882802489447727E-4</v>
      </c>
      <c r="L355" s="6">
        <v>2.5058377829109142E-2</v>
      </c>
      <c r="M355" s="6">
        <v>-4.7204787501501894E-2</v>
      </c>
      <c r="N355" s="6">
        <v>2.9773846095959011E-2</v>
      </c>
      <c r="O355" s="6">
        <v>1.1926059851231061E-3</v>
      </c>
      <c r="P355" s="6">
        <v>1.1783870182975734E-2</v>
      </c>
      <c r="Q355" s="6">
        <v>-2.0359126137918931E-2</v>
      </c>
      <c r="S355" s="6">
        <f t="shared" si="14"/>
        <v>2.809658382305227E-2</v>
      </c>
      <c r="T355" s="6">
        <f t="shared" si="15"/>
        <v>7.3932246627635229E-2</v>
      </c>
      <c r="U355" s="6">
        <f t="shared" si="16"/>
        <v>2.3358706116457819E-2</v>
      </c>
      <c r="V355" s="6">
        <f t="shared" si="17"/>
        <v>2.3102554178100951E-2</v>
      </c>
      <c r="W355" s="6">
        <f t="shared" si="18"/>
        <v>-3.1943998621665741E-2</v>
      </c>
      <c r="X355" s="6">
        <f t="shared" si="19"/>
        <v>3.1661293779429575E-3</v>
      </c>
      <c r="Y355" s="6">
        <f t="shared" si="20"/>
        <v>1.9778546569603025E-2</v>
      </c>
      <c r="Z355" s="6">
        <f t="shared" si="21"/>
        <v>7.5300535109357192E-3</v>
      </c>
      <c r="AA355" s="6">
        <f t="shared" si="22"/>
        <v>1.9789692486576187E-2</v>
      </c>
      <c r="AB355" s="6">
        <f t="shared" si="23"/>
        <v>-4.9458910872742338E-2</v>
      </c>
      <c r="AC355" s="6">
        <f t="shared" si="24"/>
        <v>2.5615092336113619E-2</v>
      </c>
      <c r="AD355" s="6">
        <f t="shared" si="25"/>
        <v>-1.1084745692317972E-2</v>
      </c>
      <c r="AE355" s="6">
        <f t="shared" si="26"/>
        <v>1.4854936831301992E-2</v>
      </c>
      <c r="AF355" s="6">
        <f t="shared" si="27"/>
        <v>-1.683142481347338E-2</v>
      </c>
    </row>
    <row r="356" spans="4:32" x14ac:dyDescent="0.3">
      <c r="D356" s="6">
        <v>4.4794074587097945E-3</v>
      </c>
      <c r="E356" s="6">
        <v>2.5557315356589172E-2</v>
      </c>
      <c r="F356" s="6">
        <v>1.3107588610373996E-2</v>
      </c>
      <c r="G356" s="6">
        <v>3.8858050575295656E-2</v>
      </c>
      <c r="H356" s="6">
        <v>-0.14663075894924732</v>
      </c>
      <c r="I356" s="6">
        <v>2.4042371554215545E-2</v>
      </c>
      <c r="J356" s="6">
        <v>2.7496941921568419E-2</v>
      </c>
      <c r="K356" s="6">
        <v>-1.040719524853582E-2</v>
      </c>
      <c r="L356" s="6">
        <v>-7.9194288377664899E-4</v>
      </c>
      <c r="M356" s="6">
        <v>3.6007240343700867E-3</v>
      </c>
      <c r="N356" s="6">
        <v>6.2772922960432674E-3</v>
      </c>
      <c r="O356" s="6">
        <v>-2.5959803695797756E-2</v>
      </c>
      <c r="P356" s="6">
        <v>2.1923976891615592E-2</v>
      </c>
      <c r="Q356" s="6">
        <v>-1.9009199385546998E-2</v>
      </c>
      <c r="S356" s="6">
        <f t="shared" si="14"/>
        <v>2.6913894708998605E-3</v>
      </c>
      <c r="T356" s="6">
        <f t="shared" si="15"/>
        <v>1.5727838860144675E-2</v>
      </c>
      <c r="U356" s="6">
        <f t="shared" si="16"/>
        <v>1.054823446416427E-2</v>
      </c>
      <c r="V356" s="6">
        <f t="shared" si="17"/>
        <v>3.6148702239824547E-2</v>
      </c>
      <c r="W356" s="6">
        <f t="shared" si="18"/>
        <v>-0.14748753676185811</v>
      </c>
      <c r="X356" s="6">
        <f t="shared" si="19"/>
        <v>2.2562731832985912E-2</v>
      </c>
      <c r="Y356" s="6">
        <f t="shared" si="20"/>
        <v>2.3631354611372491E-2</v>
      </c>
      <c r="Z356" s="6">
        <f t="shared" si="21"/>
        <v>-2.2683137127056229E-3</v>
      </c>
      <c r="AA356" s="6">
        <f t="shared" si="22"/>
        <v>-6.0606282263096032E-3</v>
      </c>
      <c r="AB356" s="6">
        <f t="shared" si="23"/>
        <v>1.3466006631296401E-3</v>
      </c>
      <c r="AC356" s="6">
        <f t="shared" si="24"/>
        <v>2.118538536197874E-3</v>
      </c>
      <c r="AD356" s="6">
        <f t="shared" si="25"/>
        <v>-3.8237155373238838E-2</v>
      </c>
      <c r="AE356" s="6">
        <f t="shared" si="26"/>
        <v>2.499504353994185E-2</v>
      </c>
      <c r="AF356" s="6">
        <f t="shared" si="27"/>
        <v>-1.5481498061101447E-2</v>
      </c>
    </row>
    <row r="357" spans="4:32" x14ac:dyDescent="0.3">
      <c r="D357" s="6">
        <v>-3.4740586189857377E-2</v>
      </c>
      <c r="E357" s="6">
        <v>8.0710504159032262E-2</v>
      </c>
      <c r="F357" s="6">
        <v>1.7886755468555521E-2</v>
      </c>
      <c r="G357" s="6">
        <v>-6.656449107264957E-2</v>
      </c>
      <c r="H357" s="6">
        <v>2.5111784034300273E-2</v>
      </c>
      <c r="I357" s="6">
        <v>7.6730580528158815E-2</v>
      </c>
      <c r="J357" s="6">
        <v>0.18658757504901588</v>
      </c>
      <c r="K357" s="6">
        <v>4.8057294953779264E-2</v>
      </c>
      <c r="L357" s="6">
        <v>4.4662908848817399E-2</v>
      </c>
      <c r="M357" s="6">
        <v>3.1603919464021156E-2</v>
      </c>
      <c r="N357" s="6">
        <v>3.8181147915045933E-2</v>
      </c>
      <c r="O357" s="6">
        <v>4.0161225801965558E-2</v>
      </c>
      <c r="P357" s="6">
        <v>2.255275278505766E-2</v>
      </c>
      <c r="Q357" s="6">
        <v>-5.258388800643083E-2</v>
      </c>
      <c r="S357" s="6">
        <f t="shared" si="14"/>
        <v>-3.6528604177667311E-2</v>
      </c>
      <c r="T357" s="6">
        <f t="shared" si="15"/>
        <v>7.0881027662587762E-2</v>
      </c>
      <c r="U357" s="6">
        <f t="shared" si="16"/>
        <v>1.5327401322345795E-2</v>
      </c>
      <c r="V357" s="6">
        <f t="shared" si="17"/>
        <v>-6.927383940812068E-2</v>
      </c>
      <c r="W357" s="6">
        <f t="shared" si="18"/>
        <v>2.4255006221689482E-2</v>
      </c>
      <c r="X357" s="6">
        <f t="shared" si="19"/>
        <v>7.5250940806929179E-2</v>
      </c>
      <c r="Y357" s="6">
        <f t="shared" si="20"/>
        <v>0.18272198773881995</v>
      </c>
      <c r="Z357" s="6">
        <f t="shared" si="21"/>
        <v>5.6196176489609465E-2</v>
      </c>
      <c r="AA357" s="6">
        <f t="shared" si="22"/>
        <v>3.9394223506284444E-2</v>
      </c>
      <c r="AB357" s="6">
        <f t="shared" si="23"/>
        <v>2.9349796092780711E-2</v>
      </c>
      <c r="AC357" s="6">
        <f t="shared" si="24"/>
        <v>3.4022394155200537E-2</v>
      </c>
      <c r="AD357" s="6">
        <f t="shared" si="25"/>
        <v>2.788387412452448E-2</v>
      </c>
      <c r="AE357" s="6">
        <f t="shared" si="26"/>
        <v>2.5623819433383918E-2</v>
      </c>
      <c r="AF357" s="6">
        <f t="shared" si="27"/>
        <v>-4.9056186681985275E-2</v>
      </c>
    </row>
    <row r="358" spans="4:32" x14ac:dyDescent="0.3">
      <c r="D358" s="6">
        <v>1.6013152415204665E-2</v>
      </c>
      <c r="E358" s="6">
        <v>8.6393995800145409E-2</v>
      </c>
      <c r="F358" s="6">
        <v>2.2435027317990786E-2</v>
      </c>
      <c r="G358" s="6">
        <v>4.5446766269731931E-2</v>
      </c>
      <c r="H358" s="6">
        <v>2.9676079356393058E-2</v>
      </c>
      <c r="I358" s="6">
        <v>1.524895255890734E-2</v>
      </c>
      <c r="J358" s="6">
        <v>-1.4590440146979074E-2</v>
      </c>
      <c r="K358" s="6">
        <v>-0.42830460007798732</v>
      </c>
      <c r="L358" s="6">
        <v>8.1478425380074479E-2</v>
      </c>
      <c r="M358" s="6">
        <v>9.4240254456246939E-2</v>
      </c>
      <c r="N358" s="6">
        <v>4.0874879856045418E-2</v>
      </c>
      <c r="O358" s="6">
        <v>0.3593740009078974</v>
      </c>
      <c r="P358" s="6">
        <v>5.1073562459617423E-2</v>
      </c>
      <c r="Q358" s="6">
        <v>2.200596610737009E-2</v>
      </c>
      <c r="S358" s="6">
        <f t="shared" si="14"/>
        <v>1.4225134427394731E-2</v>
      </c>
      <c r="T358" s="6">
        <f t="shared" si="15"/>
        <v>7.6564519303700909E-2</v>
      </c>
      <c r="U358" s="6">
        <f t="shared" si="16"/>
        <v>1.9875673171781058E-2</v>
      </c>
      <c r="V358" s="6">
        <f t="shared" si="17"/>
        <v>4.2737417934260821E-2</v>
      </c>
      <c r="W358" s="6">
        <f t="shared" si="18"/>
        <v>2.8819301543782268E-2</v>
      </c>
      <c r="X358" s="6">
        <f t="shared" si="19"/>
        <v>1.3769312837677707E-2</v>
      </c>
      <c r="Y358" s="6">
        <f t="shared" si="20"/>
        <v>-1.8456027457175003E-2</v>
      </c>
      <c r="Z358" s="6">
        <f t="shared" si="21"/>
        <v>-0.42016571854215712</v>
      </c>
      <c r="AA358" s="6">
        <f t="shared" si="22"/>
        <v>7.6209740037541523E-2</v>
      </c>
      <c r="AB358" s="6">
        <f t="shared" si="23"/>
        <v>9.1986131085006487E-2</v>
      </c>
      <c r="AC358" s="6">
        <f t="shared" si="24"/>
        <v>3.6716126096200022E-2</v>
      </c>
      <c r="AD358" s="6">
        <f t="shared" si="25"/>
        <v>0.3470966492304563</v>
      </c>
      <c r="AE358" s="6">
        <f t="shared" si="26"/>
        <v>5.4144629107943681E-2</v>
      </c>
      <c r="AF358" s="6">
        <f t="shared" si="27"/>
        <v>2.5533667431815642E-2</v>
      </c>
    </row>
    <row r="359" spans="4:32" x14ac:dyDescent="0.3">
      <c r="D359" s="6">
        <v>-3.5244514343092226E-2</v>
      </c>
      <c r="E359" s="6">
        <v>6.6326068765742326E-3</v>
      </c>
      <c r="F359" s="6">
        <v>-3.9999996623049844E-2</v>
      </c>
      <c r="G359" s="6">
        <v>-5.8596478547832759E-2</v>
      </c>
      <c r="H359" s="6">
        <v>3.2428131135373017E-2</v>
      </c>
      <c r="I359" s="6">
        <v>-2.8726245502388146E-2</v>
      </c>
      <c r="J359" s="6">
        <v>1.1068381481884614E-2</v>
      </c>
      <c r="K359" s="6">
        <v>5.3860094295706783E-3</v>
      </c>
      <c r="L359" s="6">
        <v>-3.0368368540945864E-4</v>
      </c>
      <c r="M359" s="6">
        <v>0.23892095920201067</v>
      </c>
      <c r="N359" s="6">
        <v>0.10054000292692536</v>
      </c>
      <c r="O359" s="6">
        <v>2.4580102502691934E-3</v>
      </c>
      <c r="P359" s="6">
        <v>-0.28559656596075955</v>
      </c>
      <c r="Q359" s="6">
        <v>-5.6030927210078608E-2</v>
      </c>
      <c r="S359" s="6">
        <f t="shared" si="14"/>
        <v>-3.703253233090216E-2</v>
      </c>
      <c r="T359" s="6">
        <f t="shared" si="15"/>
        <v>-3.1968696198702642E-3</v>
      </c>
      <c r="U359" s="6">
        <f t="shared" si="16"/>
        <v>-4.2559350769259569E-2</v>
      </c>
      <c r="V359" s="6">
        <f t="shared" si="17"/>
        <v>-6.1305826883303868E-2</v>
      </c>
      <c r="W359" s="6">
        <f t="shared" si="18"/>
        <v>3.157135332276223E-2</v>
      </c>
      <c r="X359" s="6">
        <f t="shared" si="19"/>
        <v>-3.0205885223617779E-2</v>
      </c>
      <c r="Y359" s="6">
        <f t="shared" si="20"/>
        <v>7.2027941716886843E-3</v>
      </c>
      <c r="Z359" s="6">
        <f t="shared" si="21"/>
        <v>1.3524890965400875E-2</v>
      </c>
      <c r="AA359" s="6">
        <f t="shared" si="22"/>
        <v>-5.572369027942412E-3</v>
      </c>
      <c r="AB359" s="6">
        <f t="shared" si="23"/>
        <v>0.23666683583077022</v>
      </c>
      <c r="AC359" s="6">
        <f t="shared" si="24"/>
        <v>9.6381249167079963E-2</v>
      </c>
      <c r="AD359" s="6">
        <f t="shared" si="25"/>
        <v>-9.8193414271718835E-3</v>
      </c>
      <c r="AE359" s="6">
        <f t="shared" si="26"/>
        <v>-0.28252549931243331</v>
      </c>
      <c r="AF359" s="6">
        <f t="shared" si="27"/>
        <v>-5.2503225885633054E-2</v>
      </c>
    </row>
    <row r="360" spans="4:32" x14ac:dyDescent="0.3">
      <c r="D360" s="6">
        <v>1.1512212438281955E-3</v>
      </c>
      <c r="E360" s="6">
        <v>8.2064118374702191E-2</v>
      </c>
      <c r="F360" s="6">
        <v>1.5422702552663236E-2</v>
      </c>
      <c r="G360" s="6">
        <v>2.4185655813203602E-2</v>
      </c>
      <c r="H360" s="6">
        <v>-4.0728225473348714E-2</v>
      </c>
      <c r="I360" s="6">
        <v>3.1816907303261074E-2</v>
      </c>
      <c r="J360" s="6">
        <v>2.2375195750451961E-2</v>
      </c>
      <c r="K360" s="6">
        <v>-3.3685478950935301E-2</v>
      </c>
      <c r="L360" s="6">
        <v>-5.5419733120970947E-2</v>
      </c>
      <c r="M360" s="6">
        <v>-8.2810292617975054E-2</v>
      </c>
      <c r="N360" s="6">
        <v>-2.6818226915650998E-3</v>
      </c>
      <c r="O360" s="6">
        <v>-6.2032117602387839E-2</v>
      </c>
      <c r="P360" s="6">
        <v>-0.11031102081768235</v>
      </c>
      <c r="Q360" s="6">
        <v>2.0395863162693834E-2</v>
      </c>
      <c r="S360" s="6">
        <f t="shared" si="14"/>
        <v>-6.3679674398173822E-4</v>
      </c>
      <c r="T360" s="6">
        <f t="shared" si="15"/>
        <v>7.2234641878257691E-2</v>
      </c>
      <c r="U360" s="6">
        <f t="shared" si="16"/>
        <v>1.286334840645351E-2</v>
      </c>
      <c r="V360" s="6">
        <f t="shared" si="17"/>
        <v>2.1476307477732496E-2</v>
      </c>
      <c r="W360" s="6">
        <f t="shared" si="18"/>
        <v>-4.1585003285959501E-2</v>
      </c>
      <c r="X360" s="6">
        <f t="shared" si="19"/>
        <v>3.0337267582031441E-2</v>
      </c>
      <c r="Y360" s="6">
        <f t="shared" si="20"/>
        <v>1.8509608440256033E-2</v>
      </c>
      <c r="Z360" s="6">
        <f t="shared" si="21"/>
        <v>-2.5546597415105104E-2</v>
      </c>
      <c r="AA360" s="6">
        <f t="shared" si="22"/>
        <v>-6.0688418463503903E-2</v>
      </c>
      <c r="AB360" s="6">
        <f t="shared" si="23"/>
        <v>-8.5064415989215506E-2</v>
      </c>
      <c r="AC360" s="6">
        <f t="shared" si="24"/>
        <v>-6.8405764514104933E-3</v>
      </c>
      <c r="AD360" s="6">
        <f t="shared" si="25"/>
        <v>-7.4309469279828913E-2</v>
      </c>
      <c r="AE360" s="6">
        <f t="shared" si="26"/>
        <v>-0.1072399541693561</v>
      </c>
      <c r="AF360" s="6">
        <f t="shared" si="27"/>
        <v>2.3923564487139386E-2</v>
      </c>
    </row>
    <row r="361" spans="4:32" x14ac:dyDescent="0.3">
      <c r="D361" s="6">
        <v>-1.5793580258141243E-2</v>
      </c>
      <c r="E361" s="6">
        <v>4.2961293017898861E-2</v>
      </c>
      <c r="F361" s="6">
        <v>1.2496529957443176E-2</v>
      </c>
      <c r="G361" s="6">
        <v>-4.8533181354611668E-2</v>
      </c>
      <c r="H361" s="6">
        <v>5.409189587394108E-2</v>
      </c>
      <c r="I361" s="6">
        <v>1.8289912750917837E-2</v>
      </c>
      <c r="J361" s="6">
        <v>3.7050662489188979E-2</v>
      </c>
      <c r="K361" s="6">
        <v>4.0821994520254985E-2</v>
      </c>
      <c r="L361" s="6">
        <v>9.9347556407051799E-3</v>
      </c>
      <c r="M361" s="6">
        <v>0.21489174100903799</v>
      </c>
      <c r="N361" s="6">
        <v>3.5549808921368505E-2</v>
      </c>
      <c r="O361" s="6">
        <v>8.1882880834459729E-2</v>
      </c>
      <c r="P361" s="6">
        <v>-1.76801914312248E-2</v>
      </c>
      <c r="Q361" s="6">
        <v>0.11194760587272498</v>
      </c>
      <c r="S361" s="6">
        <f t="shared" si="14"/>
        <v>-1.7581598245951176E-2</v>
      </c>
      <c r="T361" s="6">
        <f t="shared" si="15"/>
        <v>3.313181652145436E-2</v>
      </c>
      <c r="U361" s="6">
        <f t="shared" si="16"/>
        <v>9.9371758112334497E-3</v>
      </c>
      <c r="V361" s="6">
        <f t="shared" si="17"/>
        <v>-5.1242529690082778E-2</v>
      </c>
      <c r="W361" s="6">
        <f t="shared" si="18"/>
        <v>5.3235118061330293E-2</v>
      </c>
      <c r="X361" s="6">
        <f t="shared" si="19"/>
        <v>1.6810273029688204E-2</v>
      </c>
      <c r="Y361" s="6">
        <f t="shared" si="20"/>
        <v>3.3185075178993051E-2</v>
      </c>
      <c r="Z361" s="6">
        <f t="shared" si="21"/>
        <v>4.8960876056085179E-2</v>
      </c>
      <c r="AA361" s="6">
        <f t="shared" si="22"/>
        <v>4.6660702981722261E-3</v>
      </c>
      <c r="AB361" s="6">
        <f t="shared" si="23"/>
        <v>0.21263761763779754</v>
      </c>
      <c r="AC361" s="6">
        <f t="shared" si="24"/>
        <v>3.1391055161523108E-2</v>
      </c>
      <c r="AD361" s="6">
        <f t="shared" si="25"/>
        <v>6.9605529157018647E-2</v>
      </c>
      <c r="AE361" s="6">
        <f t="shared" si="26"/>
        <v>-1.4609124782898542E-2</v>
      </c>
      <c r="AF361" s="6">
        <f t="shared" si="27"/>
        <v>0.11547530719717053</v>
      </c>
    </row>
    <row r="362" spans="4:32" x14ac:dyDescent="0.3">
      <c r="D362" s="6">
        <v>-5.0982814517918404E-2</v>
      </c>
      <c r="E362" s="6">
        <v>6.1853526959590122E-2</v>
      </c>
      <c r="F362" s="6">
        <v>-2.2587729532163141E-2</v>
      </c>
      <c r="G362" s="6">
        <v>-1.2695088861485588E-2</v>
      </c>
      <c r="H362" s="6">
        <v>-0.14470405953298013</v>
      </c>
      <c r="I362" s="6">
        <v>-1.6234765598386627E-2</v>
      </c>
      <c r="J362" s="6">
        <v>7.2402994197698599E-3</v>
      </c>
      <c r="K362" s="6">
        <v>9.6521566990621893E-2</v>
      </c>
      <c r="L362" s="6">
        <v>2.5885828448298575E-2</v>
      </c>
      <c r="M362" s="6">
        <v>0.22083735128753243</v>
      </c>
      <c r="N362" s="6">
        <v>-2.9176301049276359E-2</v>
      </c>
      <c r="O362" s="6">
        <v>4.3561919804902018E-2</v>
      </c>
      <c r="P362" s="6">
        <v>1.7990317034578655E-2</v>
      </c>
      <c r="Q362" s="6">
        <v>-5.4333635106565303E-2</v>
      </c>
      <c r="S362" s="6">
        <f t="shared" si="14"/>
        <v>-5.2770832505728338E-2</v>
      </c>
      <c r="T362" s="6">
        <f t="shared" si="15"/>
        <v>5.2024050463145621E-2</v>
      </c>
      <c r="U362" s="6">
        <f t="shared" si="16"/>
        <v>-2.5147083678372869E-2</v>
      </c>
      <c r="V362" s="6">
        <f t="shared" si="17"/>
        <v>-1.5404437196956694E-2</v>
      </c>
      <c r="W362" s="6">
        <f t="shared" si="18"/>
        <v>-0.14556083734559092</v>
      </c>
      <c r="X362" s="6">
        <f t="shared" si="19"/>
        <v>-1.771440531961626E-2</v>
      </c>
      <c r="Y362" s="6">
        <f t="shared" si="20"/>
        <v>3.3747121095739304E-3</v>
      </c>
      <c r="Z362" s="6">
        <f t="shared" si="21"/>
        <v>0.10466044852645209</v>
      </c>
      <c r="AA362" s="6">
        <f t="shared" si="22"/>
        <v>2.0617143105765623E-2</v>
      </c>
      <c r="AB362" s="6">
        <f t="shared" si="23"/>
        <v>0.21858322791629198</v>
      </c>
      <c r="AC362" s="6">
        <f t="shared" si="24"/>
        <v>-3.3335054809121752E-2</v>
      </c>
      <c r="AD362" s="6">
        <f t="shared" si="25"/>
        <v>3.1284568127460943E-2</v>
      </c>
      <c r="AE362" s="6">
        <f t="shared" si="26"/>
        <v>2.1061383682904913E-2</v>
      </c>
      <c r="AF362" s="6">
        <f t="shared" si="27"/>
        <v>-5.0805933782119748E-2</v>
      </c>
    </row>
    <row r="363" spans="4:32" x14ac:dyDescent="0.3">
      <c r="D363" s="6">
        <v>1.1009285508369396E-2</v>
      </c>
      <c r="E363" s="6">
        <v>3.5353860168739954E-3</v>
      </c>
      <c r="F363" s="6">
        <v>2.4799481563708568E-2</v>
      </c>
      <c r="G363" s="6">
        <v>4.1728458972593474E-2</v>
      </c>
      <c r="H363" s="6">
        <v>-6.9485912890005289E-2</v>
      </c>
      <c r="I363" s="6">
        <v>-5.3177927873475994E-3</v>
      </c>
      <c r="J363" s="6">
        <v>-4.4146353230120158E-2</v>
      </c>
      <c r="K363" s="6">
        <v>-0.10186917331721736</v>
      </c>
      <c r="L363" s="6">
        <v>-2.2553814258841488E-2</v>
      </c>
      <c r="M363" s="6">
        <v>-5.7172167390083885E-2</v>
      </c>
      <c r="N363" s="6">
        <v>-3.3989186414147825E-2</v>
      </c>
      <c r="O363" s="6">
        <v>-0.10305901866954706</v>
      </c>
      <c r="P363" s="6">
        <v>-7.9384026503579227E-3</v>
      </c>
      <c r="Q363" s="6">
        <v>-1.8029334517941913E-2</v>
      </c>
      <c r="S363" s="6">
        <f t="shared" si="14"/>
        <v>9.2212675205594619E-3</v>
      </c>
      <c r="T363" s="6">
        <f t="shared" si="15"/>
        <v>-6.2940904795705018E-3</v>
      </c>
      <c r="U363" s="6">
        <f t="shared" si="16"/>
        <v>2.2240127417498839E-2</v>
      </c>
      <c r="V363" s="6">
        <f t="shared" si="17"/>
        <v>3.9019110637122364E-2</v>
      </c>
      <c r="W363" s="6">
        <f t="shared" si="18"/>
        <v>-7.0342690702616076E-2</v>
      </c>
      <c r="X363" s="6">
        <f t="shared" si="19"/>
        <v>-6.7974325085772315E-3</v>
      </c>
      <c r="Y363" s="6">
        <f t="shared" si="20"/>
        <v>-4.8011940540316086E-2</v>
      </c>
      <c r="Z363" s="6">
        <f t="shared" si="21"/>
        <v>-9.3730291781387157E-2</v>
      </c>
      <c r="AA363" s="6">
        <f t="shared" si="22"/>
        <v>-2.7822499601374444E-2</v>
      </c>
      <c r="AB363" s="6">
        <f t="shared" si="23"/>
        <v>-5.942629076132433E-2</v>
      </c>
      <c r="AC363" s="6">
        <f t="shared" si="24"/>
        <v>-3.8147940173993221E-2</v>
      </c>
      <c r="AD363" s="6">
        <f t="shared" si="25"/>
        <v>-0.11533637034698814</v>
      </c>
      <c r="AE363" s="6">
        <f t="shared" si="26"/>
        <v>-4.8673360020316647E-3</v>
      </c>
      <c r="AF363" s="6">
        <f t="shared" si="27"/>
        <v>-1.4501633193496361E-2</v>
      </c>
    </row>
    <row r="364" spans="4:32" x14ac:dyDescent="0.3">
      <c r="D364" s="6">
        <v>-1.9715866056017857E-3</v>
      </c>
      <c r="E364" s="6">
        <v>7.0858161716365428E-2</v>
      </c>
      <c r="F364" s="6">
        <v>2.9156308265941368E-2</v>
      </c>
      <c r="G364" s="6">
        <v>6.5719824823501027E-2</v>
      </c>
      <c r="H364" s="6">
        <v>4.3427876688532131E-2</v>
      </c>
      <c r="I364" s="6">
        <v>2.5193101206314891E-2</v>
      </c>
      <c r="J364" s="6">
        <v>5.1295360074324253E-2</v>
      </c>
      <c r="K364" s="6">
        <v>1.8592833076615925E-2</v>
      </c>
      <c r="L364" s="6">
        <v>3.7098295240598822E-2</v>
      </c>
      <c r="M364" s="6">
        <v>5.2837323744310723E-2</v>
      </c>
      <c r="N364" s="6">
        <v>5.324354075635504E-2</v>
      </c>
      <c r="O364" s="6">
        <v>2.8951046515825286E-2</v>
      </c>
      <c r="P364" s="6">
        <v>-6.4278656687122831E-3</v>
      </c>
      <c r="Q364" s="6">
        <v>0</v>
      </c>
      <c r="S364" s="6">
        <f t="shared" si="14"/>
        <v>-3.7596045934117197E-3</v>
      </c>
      <c r="T364" s="6">
        <f t="shared" si="15"/>
        <v>6.1028685219920928E-2</v>
      </c>
      <c r="U364" s="6">
        <f t="shared" si="16"/>
        <v>2.659695411973164E-2</v>
      </c>
      <c r="V364" s="6">
        <f t="shared" si="17"/>
        <v>6.3010476488029918E-2</v>
      </c>
      <c r="W364" s="6">
        <f t="shared" si="18"/>
        <v>4.2571098875921344E-2</v>
      </c>
      <c r="X364" s="6">
        <f t="shared" si="19"/>
        <v>2.3713461485085258E-2</v>
      </c>
      <c r="Y364" s="6">
        <f t="shared" si="20"/>
        <v>4.7429772764128325E-2</v>
      </c>
      <c r="Z364" s="6">
        <f t="shared" si="21"/>
        <v>2.6731714612446122E-2</v>
      </c>
      <c r="AA364" s="6">
        <f t="shared" si="22"/>
        <v>3.1829609898065866E-2</v>
      </c>
      <c r="AB364" s="6">
        <f t="shared" si="23"/>
        <v>5.0583200373070278E-2</v>
      </c>
      <c r="AC364" s="6">
        <f t="shared" si="24"/>
        <v>4.9084786996509644E-2</v>
      </c>
      <c r="AD364" s="6">
        <f t="shared" si="25"/>
        <v>1.6673694838384209E-2</v>
      </c>
      <c r="AE364" s="6">
        <f t="shared" si="26"/>
        <v>-3.3567990203860255E-3</v>
      </c>
      <c r="AF364" s="6">
        <f t="shared" si="27"/>
        <v>3.5277013244455519E-3</v>
      </c>
    </row>
    <row r="365" spans="4:32" x14ac:dyDescent="0.3">
      <c r="D365" s="6">
        <v>-4.6544184561335133E-3</v>
      </c>
      <c r="E365" s="6">
        <v>-4.2573447877783492E-2</v>
      </c>
      <c r="F365" s="6">
        <v>-1.8883145311900763E-2</v>
      </c>
      <c r="G365" s="6">
        <v>1.0606563805097477E-3</v>
      </c>
      <c r="H365" s="6">
        <v>2.8621190852833298E-2</v>
      </c>
      <c r="I365" s="6">
        <v>8.4064517324076004E-3</v>
      </c>
      <c r="J365" s="6">
        <v>-4.8242804284307411E-2</v>
      </c>
      <c r="K365" s="6">
        <v>6.9930354909706043E-3</v>
      </c>
      <c r="L365" s="6">
        <v>-2.1569251881154057E-2</v>
      </c>
      <c r="M365" s="6">
        <v>3.6921005857153605E-2</v>
      </c>
      <c r="N365" s="6">
        <v>-4.1221966475606581E-2</v>
      </c>
      <c r="O365" s="6">
        <v>-4.9596941139372061E-2</v>
      </c>
      <c r="P365" s="6">
        <v>2.4700284861632331E-2</v>
      </c>
      <c r="Q365" s="6">
        <v>-8.9850600667598108E-3</v>
      </c>
      <c r="S365" s="6">
        <f t="shared" si="14"/>
        <v>-6.4424364439434473E-3</v>
      </c>
      <c r="T365" s="6">
        <f t="shared" si="15"/>
        <v>-5.2402924374227985E-2</v>
      </c>
      <c r="U365" s="6">
        <f t="shared" si="16"/>
        <v>-2.1442499458110491E-2</v>
      </c>
      <c r="V365" s="6">
        <f t="shared" si="17"/>
        <v>-1.6486919549613588E-3</v>
      </c>
      <c r="W365" s="6">
        <f t="shared" si="18"/>
        <v>2.7764413040222508E-2</v>
      </c>
      <c r="X365" s="6">
        <f t="shared" si="19"/>
        <v>6.9268120111779683E-3</v>
      </c>
      <c r="Y365" s="6">
        <f t="shared" si="20"/>
        <v>-5.2108391594503339E-2</v>
      </c>
      <c r="Z365" s="6">
        <f t="shared" si="21"/>
        <v>1.5131917026800801E-2</v>
      </c>
      <c r="AA365" s="6">
        <f t="shared" si="22"/>
        <v>-2.6837937223687013E-2</v>
      </c>
      <c r="AB365" s="6">
        <f t="shared" si="23"/>
        <v>3.466688248591316E-2</v>
      </c>
      <c r="AC365" s="6">
        <f t="shared" si="24"/>
        <v>-4.5380720235451977E-2</v>
      </c>
      <c r="AD365" s="6">
        <f t="shared" si="25"/>
        <v>-6.1874292816813142E-2</v>
      </c>
      <c r="AE365" s="6">
        <f t="shared" si="26"/>
        <v>2.7771351509958589E-2</v>
      </c>
      <c r="AF365" s="6">
        <f t="shared" si="27"/>
        <v>-5.4573587423142594E-3</v>
      </c>
    </row>
    <row r="366" spans="4:32" x14ac:dyDescent="0.3">
      <c r="D366" s="6">
        <v>-1.1141849853919217E-2</v>
      </c>
      <c r="E366" s="6">
        <v>-2.6351247214082097E-2</v>
      </c>
      <c r="F366" s="6">
        <v>1.1344421152973322E-2</v>
      </c>
      <c r="G366" s="6">
        <v>1.0348442876129316E-2</v>
      </c>
      <c r="H366" s="6">
        <v>-6.3950871246246321E-2</v>
      </c>
      <c r="I366" s="6">
        <v>2.5668395152094889E-2</v>
      </c>
      <c r="J366" s="6">
        <v>8.2501449068943439E-2</v>
      </c>
      <c r="K366" s="6">
        <v>-4.2711118093049803E-2</v>
      </c>
      <c r="L366" s="6">
        <v>-1.6004366191811528E-2</v>
      </c>
      <c r="M366" s="6">
        <v>-9.5800644057427067E-2</v>
      </c>
      <c r="N366" s="6">
        <v>2.2056447475702111E-3</v>
      </c>
      <c r="O366" s="6">
        <v>-2.1753325959088295E-3</v>
      </c>
      <c r="P366" s="6">
        <v>-8.5492032942348681E-2</v>
      </c>
      <c r="Q366" s="6">
        <v>-3.7881545988377507E-2</v>
      </c>
      <c r="S366" s="6">
        <f t="shared" si="14"/>
        <v>-1.2929867841729151E-2</v>
      </c>
      <c r="T366" s="6">
        <f t="shared" si="15"/>
        <v>-3.6180723710526594E-2</v>
      </c>
      <c r="U366" s="6">
        <f t="shared" si="16"/>
        <v>8.7850670067635955E-3</v>
      </c>
      <c r="V366" s="6">
        <f t="shared" si="17"/>
        <v>7.63909454065821E-3</v>
      </c>
      <c r="W366" s="6">
        <f t="shared" si="18"/>
        <v>-6.4807649058857109E-2</v>
      </c>
      <c r="X366" s="6">
        <f t="shared" si="19"/>
        <v>2.4188755430865256E-2</v>
      </c>
      <c r="Y366" s="6">
        <f t="shared" si="20"/>
        <v>7.8635861758747511E-2</v>
      </c>
      <c r="Z366" s="6">
        <f t="shared" si="21"/>
        <v>-3.457223655721961E-2</v>
      </c>
      <c r="AA366" s="6">
        <f t="shared" si="22"/>
        <v>-2.127305153434448E-2</v>
      </c>
      <c r="AB366" s="6">
        <f t="shared" si="23"/>
        <v>-9.8054767428667519E-2</v>
      </c>
      <c r="AC366" s="6">
        <f t="shared" si="24"/>
        <v>-1.9531090122751824E-3</v>
      </c>
      <c r="AD366" s="6">
        <f t="shared" si="25"/>
        <v>-1.4452684273349907E-2</v>
      </c>
      <c r="AE366" s="6">
        <f t="shared" si="26"/>
        <v>-8.242096629402243E-2</v>
      </c>
      <c r="AF366" s="6">
        <f t="shared" si="27"/>
        <v>-3.4353844663931953E-2</v>
      </c>
    </row>
    <row r="367" spans="4:32" x14ac:dyDescent="0.3">
      <c r="D367" s="6">
        <v>4.027933049853856E-2</v>
      </c>
      <c r="E367" s="6">
        <v>2.0431335143689111E-3</v>
      </c>
      <c r="F367" s="6">
        <v>-8.54363130376911E-3</v>
      </c>
      <c r="G367" s="6">
        <v>3.3720114451916236E-2</v>
      </c>
      <c r="H367" s="6">
        <v>3.6616681858060551E-2</v>
      </c>
      <c r="I367" s="6">
        <v>5.711222420584864E-3</v>
      </c>
      <c r="J367" s="6">
        <v>-2.9716208341071429E-2</v>
      </c>
      <c r="K367" s="6">
        <v>-1.373019281190202E-2</v>
      </c>
      <c r="L367" s="6">
        <v>-2.0655605875985451E-2</v>
      </c>
      <c r="M367" s="6">
        <v>1.9932849406450258E-2</v>
      </c>
      <c r="N367" s="6">
        <v>-2.4666692760404115E-2</v>
      </c>
      <c r="O367" s="6">
        <v>-1.2711106931928022E-2</v>
      </c>
      <c r="P367" s="6">
        <v>1.1692977194633178E-3</v>
      </c>
      <c r="Q367" s="6">
        <v>-2.1033126662108909E-2</v>
      </c>
      <c r="S367" s="6">
        <f t="shared" si="14"/>
        <v>3.8491312510728626E-2</v>
      </c>
      <c r="T367" s="6">
        <f t="shared" si="15"/>
        <v>-7.7863429820755857E-3</v>
      </c>
      <c r="U367" s="6">
        <f t="shared" si="16"/>
        <v>-1.1102985449978836E-2</v>
      </c>
      <c r="V367" s="6">
        <f t="shared" si="17"/>
        <v>3.101076611644513E-2</v>
      </c>
      <c r="W367" s="6">
        <f t="shared" si="18"/>
        <v>3.5759904045449764E-2</v>
      </c>
      <c r="X367" s="6">
        <f t="shared" si="19"/>
        <v>4.2315826993552319E-3</v>
      </c>
      <c r="Y367" s="6">
        <f t="shared" si="20"/>
        <v>-3.3581795651267357E-2</v>
      </c>
      <c r="Z367" s="6">
        <f t="shared" si="21"/>
        <v>-5.5913112760718232E-3</v>
      </c>
      <c r="AA367" s="6">
        <f t="shared" si="22"/>
        <v>-2.5924291218518407E-2</v>
      </c>
      <c r="AB367" s="6">
        <f t="shared" si="23"/>
        <v>1.7678726035209813E-2</v>
      </c>
      <c r="AC367" s="6">
        <f t="shared" si="24"/>
        <v>-2.8825446520249508E-2</v>
      </c>
      <c r="AD367" s="6">
        <f t="shared" si="25"/>
        <v>-2.4988458609369102E-2</v>
      </c>
      <c r="AE367" s="6">
        <f t="shared" si="26"/>
        <v>4.2403643677895756E-3</v>
      </c>
      <c r="AF367" s="6">
        <f t="shared" si="27"/>
        <v>-1.7505425337663357E-2</v>
      </c>
    </row>
    <row r="368" spans="4:32" x14ac:dyDescent="0.3">
      <c r="D368" s="6">
        <v>-6.7658648473814809E-2</v>
      </c>
      <c r="E368" s="6">
        <v>-0.14613211520748876</v>
      </c>
      <c r="F368" s="6">
        <v>-5.5506195577511006E-2</v>
      </c>
      <c r="G368" s="6">
        <v>-2.3347863205620559E-2</v>
      </c>
      <c r="H368" s="6">
        <v>-0.15118324642360967</v>
      </c>
      <c r="I368" s="6">
        <v>-6.3775904358487887E-2</v>
      </c>
      <c r="J368" s="6">
        <v>-6.2116503800730548E-2</v>
      </c>
      <c r="K368" s="6">
        <v>2.8170876966696439E-2</v>
      </c>
      <c r="L368" s="6">
        <v>-8.9329073054392638E-2</v>
      </c>
      <c r="M368" s="6">
        <v>-0.15240923330931064</v>
      </c>
      <c r="N368" s="6">
        <v>-8.4213632653500292E-2</v>
      </c>
      <c r="O368" s="6">
        <v>-0.10208206484623954</v>
      </c>
      <c r="P368" s="6">
        <v>-5.1381163989118447E-2</v>
      </c>
      <c r="Q368" s="6">
        <v>-3.6013141837360964E-2</v>
      </c>
      <c r="S368" s="6">
        <f t="shared" si="14"/>
        <v>-6.9446666461624743E-2</v>
      </c>
      <c r="T368" s="6">
        <f t="shared" si="15"/>
        <v>-0.15596159170393326</v>
      </c>
      <c r="U368" s="6">
        <f t="shared" si="16"/>
        <v>-5.806554972372073E-2</v>
      </c>
      <c r="V368" s="6">
        <f t="shared" si="17"/>
        <v>-2.6057211541091665E-2</v>
      </c>
      <c r="W368" s="6">
        <f t="shared" si="18"/>
        <v>-0.15204002423622046</v>
      </c>
      <c r="X368" s="6">
        <f t="shared" si="19"/>
        <v>-6.5255544079717523E-2</v>
      </c>
      <c r="Y368" s="6">
        <f t="shared" si="20"/>
        <v>-6.5982091110926483E-2</v>
      </c>
      <c r="Z368" s="6">
        <f t="shared" si="21"/>
        <v>3.6309758502526636E-2</v>
      </c>
      <c r="AA368" s="6">
        <f t="shared" si="22"/>
        <v>-9.4597758396925594E-2</v>
      </c>
      <c r="AB368" s="6">
        <f t="shared" si="23"/>
        <v>-0.15466335668055109</v>
      </c>
      <c r="AC368" s="6">
        <f t="shared" si="24"/>
        <v>-8.8372386413345688E-2</v>
      </c>
      <c r="AD368" s="6">
        <f t="shared" si="25"/>
        <v>-0.11435941652368062</v>
      </c>
      <c r="AE368" s="6">
        <f t="shared" si="26"/>
        <v>-4.8310097340792189E-2</v>
      </c>
      <c r="AF368" s="6">
        <f t="shared" si="27"/>
        <v>-3.2485440512915409E-2</v>
      </c>
    </row>
    <row r="369" spans="4:32" x14ac:dyDescent="0.3">
      <c r="D369" s="6">
        <v>2.5726815238509077E-2</v>
      </c>
      <c r="E369" s="6">
        <v>0.14101643304546724</v>
      </c>
      <c r="F369" s="6">
        <v>1.7878902940207546E-2</v>
      </c>
      <c r="G369" s="6">
        <v>0.10966688958451309</v>
      </c>
      <c r="H369" s="6">
        <v>0.13491601672497774</v>
      </c>
      <c r="I369" s="6">
        <v>2.8174058291049908E-2</v>
      </c>
      <c r="J369" s="6">
        <v>-8.1788606253310775E-2</v>
      </c>
      <c r="K369" s="6">
        <v>0.26525503666433659</v>
      </c>
      <c r="L369" s="6">
        <v>7.3083935006734657E-2</v>
      </c>
      <c r="M369" s="6">
        <v>0.11328129306510434</v>
      </c>
      <c r="N369" s="6">
        <v>-2.1699827683228042E-3</v>
      </c>
      <c r="O369" s="6">
        <v>9.5443403598291551E-2</v>
      </c>
      <c r="P369" s="6">
        <v>-9.7131006464999149E-3</v>
      </c>
      <c r="Q369" s="6">
        <v>4.1998761908300646E-2</v>
      </c>
      <c r="S369" s="6">
        <f t="shared" si="14"/>
        <v>2.3938797250699143E-2</v>
      </c>
      <c r="T369" s="6">
        <f t="shared" si="15"/>
        <v>0.13118695654902274</v>
      </c>
      <c r="U369" s="6">
        <f t="shared" si="16"/>
        <v>1.5319548793997819E-2</v>
      </c>
      <c r="V369" s="6">
        <f t="shared" si="17"/>
        <v>0.10695754124904198</v>
      </c>
      <c r="W369" s="6">
        <f t="shared" si="18"/>
        <v>0.13405923891236696</v>
      </c>
      <c r="X369" s="6">
        <f t="shared" si="19"/>
        <v>2.6694418569820275E-2</v>
      </c>
      <c r="Y369" s="6">
        <f t="shared" si="20"/>
        <v>-8.5654193563506703E-2</v>
      </c>
      <c r="Z369" s="6">
        <f t="shared" si="21"/>
        <v>0.27339391820016679</v>
      </c>
      <c r="AA369" s="6">
        <f t="shared" si="22"/>
        <v>6.7815249664201702E-2</v>
      </c>
      <c r="AB369" s="6">
        <f t="shared" si="23"/>
        <v>0.11102716969386389</v>
      </c>
      <c r="AC369" s="6">
        <f t="shared" si="24"/>
        <v>-6.3287365281681981E-3</v>
      </c>
      <c r="AD369" s="6">
        <f t="shared" si="25"/>
        <v>8.316605192085047E-2</v>
      </c>
      <c r="AE369" s="6">
        <f t="shared" si="26"/>
        <v>-6.6420339981736569E-3</v>
      </c>
      <c r="AF369" s="6">
        <f t="shared" si="27"/>
        <v>4.55264632327462E-2</v>
      </c>
    </row>
    <row r="370" spans="4:32" x14ac:dyDescent="0.3">
      <c r="D370" s="6">
        <v>7.9888213482665074E-2</v>
      </c>
      <c r="E370" s="6">
        <v>1.1896135306167751E-2</v>
      </c>
      <c r="F370" s="6">
        <v>8.3642898920621776E-4</v>
      </c>
      <c r="G370" s="6">
        <v>-2.7773830389910867E-2</v>
      </c>
      <c r="H370" s="6">
        <v>7.3857522723034294E-2</v>
      </c>
      <c r="I370" s="6">
        <v>3.6031560850867478E-2</v>
      </c>
      <c r="J370" s="6">
        <v>1.9369496931549331E-2</v>
      </c>
      <c r="K370" s="6">
        <v>0.11050191515824499</v>
      </c>
      <c r="L370" s="6">
        <v>1.9991549431484287E-2</v>
      </c>
      <c r="M370" s="6">
        <v>-5.6894599026461219E-2</v>
      </c>
      <c r="N370" s="6">
        <v>2.6034148346331127E-3</v>
      </c>
      <c r="O370" s="6">
        <v>3.533628276184881E-2</v>
      </c>
      <c r="P370" s="6">
        <v>4.7817874350492735E-2</v>
      </c>
      <c r="Q370" s="6">
        <v>-2.9074483411213291E-3</v>
      </c>
      <c r="S370" s="6">
        <f t="shared" si="14"/>
        <v>7.810019549485514E-2</v>
      </c>
      <c r="T370" s="6">
        <f t="shared" si="15"/>
        <v>2.0666588097232545E-3</v>
      </c>
      <c r="U370" s="6">
        <f t="shared" si="16"/>
        <v>-1.7229251570035091E-3</v>
      </c>
      <c r="V370" s="6">
        <f t="shared" si="17"/>
        <v>-3.0483178725381973E-2</v>
      </c>
      <c r="W370" s="6">
        <f t="shared" si="18"/>
        <v>7.3000744910423507E-2</v>
      </c>
      <c r="X370" s="6">
        <f t="shared" si="19"/>
        <v>3.4551921129637848E-2</v>
      </c>
      <c r="Y370" s="6">
        <f t="shared" si="20"/>
        <v>1.5503909621353401E-2</v>
      </c>
      <c r="Z370" s="6">
        <f t="shared" si="21"/>
        <v>0.11864079669407519</v>
      </c>
      <c r="AA370" s="6">
        <f t="shared" si="22"/>
        <v>1.4722864088951333E-2</v>
      </c>
      <c r="AB370" s="6">
        <f t="shared" si="23"/>
        <v>-5.9148722397701664E-2</v>
      </c>
      <c r="AC370" s="6">
        <f t="shared" si="24"/>
        <v>-1.5553389252122808E-3</v>
      </c>
      <c r="AD370" s="6">
        <f t="shared" si="25"/>
        <v>2.3058931084407732E-2</v>
      </c>
      <c r="AE370" s="6">
        <f t="shared" si="26"/>
        <v>5.0888940998818993E-2</v>
      </c>
      <c r="AF370" s="6">
        <f t="shared" si="27"/>
        <v>6.2025298332422278E-4</v>
      </c>
    </row>
    <row r="371" spans="4:32" x14ac:dyDescent="0.3">
      <c r="D371" s="6">
        <v>-1.8011630555094299E-3</v>
      </c>
      <c r="E371" s="6">
        <v>1.2201416272892873E-2</v>
      </c>
      <c r="F371" s="6">
        <v>1.9674362387498746E-2</v>
      </c>
      <c r="G371" s="6">
        <v>8.3956550192949182E-3</v>
      </c>
      <c r="H371" s="6">
        <v>-7.278851204990347E-2</v>
      </c>
      <c r="I371" s="6">
        <v>6.7971039608342694E-3</v>
      </c>
      <c r="J371" s="6">
        <v>5.2244253711716974E-2</v>
      </c>
      <c r="K371" s="6">
        <v>-1.4879381767123048E-2</v>
      </c>
      <c r="L371" s="6">
        <v>3.3443692449719301E-2</v>
      </c>
      <c r="M371" s="6">
        <v>-0.10538540087476453</v>
      </c>
      <c r="N371" s="6">
        <v>-3.2890940169758014E-2</v>
      </c>
      <c r="O371" s="6">
        <v>-0.12444901023780305</v>
      </c>
      <c r="P371" s="6">
        <v>-2.0510033598579721E-2</v>
      </c>
      <c r="Q371" s="6">
        <v>2.4234602700458725E-3</v>
      </c>
      <c r="S371" s="6">
        <f t="shared" si="14"/>
        <v>-3.5891810433193636E-3</v>
      </c>
      <c r="T371" s="6">
        <f t="shared" si="15"/>
        <v>2.3719397764483761E-3</v>
      </c>
      <c r="U371" s="6">
        <f t="shared" si="16"/>
        <v>1.7115008241289018E-2</v>
      </c>
      <c r="V371" s="6">
        <f t="shared" si="17"/>
        <v>5.6863066838238122E-3</v>
      </c>
      <c r="W371" s="6">
        <f t="shared" si="18"/>
        <v>-7.3645289862514257E-2</v>
      </c>
      <c r="X371" s="6">
        <f t="shared" si="19"/>
        <v>5.3174642396046374E-3</v>
      </c>
      <c r="Y371" s="6">
        <f t="shared" si="20"/>
        <v>4.8378666401521046E-2</v>
      </c>
      <c r="Z371" s="6">
        <f t="shared" si="21"/>
        <v>-6.7405002312928512E-3</v>
      </c>
      <c r="AA371" s="6">
        <f t="shared" si="22"/>
        <v>2.8175007107186345E-2</v>
      </c>
      <c r="AB371" s="6">
        <f t="shared" si="23"/>
        <v>-0.10763952424600498</v>
      </c>
      <c r="AC371" s="6">
        <f t="shared" si="24"/>
        <v>-3.704969392960341E-2</v>
      </c>
      <c r="AD371" s="6">
        <f t="shared" si="25"/>
        <v>-0.13672636191524412</v>
      </c>
      <c r="AE371" s="6">
        <f t="shared" si="26"/>
        <v>-1.7438966950253463E-2</v>
      </c>
      <c r="AF371" s="6">
        <f t="shared" si="27"/>
        <v>5.9511615944914248E-3</v>
      </c>
    </row>
    <row r="372" spans="4:32" x14ac:dyDescent="0.3">
      <c r="D372" s="6">
        <v>3.6580287889078397E-2</v>
      </c>
      <c r="E372" s="6">
        <v>2.8516957606938967E-2</v>
      </c>
      <c r="F372" s="6">
        <v>1.3102768449370703E-2</v>
      </c>
      <c r="G372" s="6">
        <v>4.2999284525100746E-2</v>
      </c>
      <c r="H372" s="6">
        <v>5.1987539009079139E-2</v>
      </c>
      <c r="I372" s="6">
        <v>-1.493928584931113E-2</v>
      </c>
      <c r="J372" s="6">
        <v>-9.049644614663262E-3</v>
      </c>
      <c r="K372" s="6">
        <v>2.4953225674015705E-3</v>
      </c>
      <c r="L372" s="6">
        <v>7.5543262512306655E-2</v>
      </c>
      <c r="M372" s="6">
        <v>3.2706332409889662E-2</v>
      </c>
      <c r="N372" s="6">
        <v>-1.9901154317294799E-2</v>
      </c>
      <c r="O372" s="6">
        <v>5.4782346192206587E-2</v>
      </c>
      <c r="P372" s="6">
        <v>5.9171007601718402E-2</v>
      </c>
      <c r="Q372" s="6">
        <v>3.47295665842429E-2</v>
      </c>
      <c r="S372" s="6">
        <f t="shared" si="14"/>
        <v>3.4792269901268463E-2</v>
      </c>
      <c r="T372" s="6">
        <f t="shared" si="15"/>
        <v>1.868748111049447E-2</v>
      </c>
      <c r="U372" s="6">
        <f t="shared" si="16"/>
        <v>1.0543414303160976E-2</v>
      </c>
      <c r="V372" s="6">
        <f t="shared" si="17"/>
        <v>4.0289936189629637E-2</v>
      </c>
      <c r="W372" s="6">
        <f t="shared" si="18"/>
        <v>5.1130761196468352E-2</v>
      </c>
      <c r="X372" s="6">
        <f t="shared" si="19"/>
        <v>-1.6418925570540761E-2</v>
      </c>
      <c r="Y372" s="6">
        <f t="shared" si="20"/>
        <v>-1.2915231924859192E-2</v>
      </c>
      <c r="Z372" s="6">
        <f t="shared" si="21"/>
        <v>1.0634204103231768E-2</v>
      </c>
      <c r="AA372" s="6">
        <f t="shared" si="22"/>
        <v>7.02745771697737E-2</v>
      </c>
      <c r="AB372" s="6">
        <f t="shared" si="23"/>
        <v>3.0452209038649217E-2</v>
      </c>
      <c r="AC372" s="6">
        <f t="shared" si="24"/>
        <v>-2.4059908077140191E-2</v>
      </c>
      <c r="AD372" s="6">
        <f t="shared" si="25"/>
        <v>4.2504994514765512E-2</v>
      </c>
      <c r="AE372" s="6">
        <f t="shared" si="26"/>
        <v>6.224207425004466E-2</v>
      </c>
      <c r="AF372" s="6">
        <f t="shared" si="27"/>
        <v>3.8257267908688455E-2</v>
      </c>
    </row>
    <row r="373" spans="4:32" x14ac:dyDescent="0.3">
      <c r="D373" s="6">
        <v>5.7917600671257921E-4</v>
      </c>
      <c r="E373" s="6">
        <v>0.14087085040244743</v>
      </c>
      <c r="F373" s="6">
        <v>2.3402646182357739E-2</v>
      </c>
      <c r="G373" s="6">
        <v>-6.0960165991040391E-3</v>
      </c>
      <c r="H373" s="6">
        <v>9.9804585107504656E-3</v>
      </c>
      <c r="I373" s="6">
        <v>-2.1618026166320158E-2</v>
      </c>
      <c r="J373" s="6">
        <v>1.3282588216356563E-2</v>
      </c>
      <c r="K373" s="6">
        <v>-5.3098497142485122E-2</v>
      </c>
      <c r="L373" s="6">
        <v>1.5887916650792883E-2</v>
      </c>
      <c r="M373" s="6">
        <v>0.13518585176828488</v>
      </c>
      <c r="N373" s="6">
        <v>-2.1704846515168866E-2</v>
      </c>
      <c r="O373" s="6">
        <v>-3.5074907130832791E-2</v>
      </c>
      <c r="P373" s="6">
        <v>-7.9229236547574813E-2</v>
      </c>
      <c r="Q373" s="6">
        <v>-1.8086519604294946E-2</v>
      </c>
      <c r="S373" s="6">
        <f t="shared" si="14"/>
        <v>-1.2088419810973544E-3</v>
      </c>
      <c r="T373" s="6">
        <f t="shared" si="15"/>
        <v>0.13104137390600293</v>
      </c>
      <c r="U373" s="6">
        <f t="shared" si="16"/>
        <v>2.0843292036148011E-2</v>
      </c>
      <c r="V373" s="6">
        <f t="shared" si="17"/>
        <v>-8.805364934575146E-3</v>
      </c>
      <c r="W373" s="6">
        <f t="shared" si="18"/>
        <v>9.1236806981396766E-3</v>
      </c>
      <c r="X373" s="6">
        <f t="shared" si="19"/>
        <v>-2.309766588754979E-2</v>
      </c>
      <c r="Y373" s="6">
        <f t="shared" si="20"/>
        <v>9.4170009061606327E-3</v>
      </c>
      <c r="Z373" s="6">
        <f t="shared" si="21"/>
        <v>-4.4959615606654929E-2</v>
      </c>
      <c r="AA373" s="6">
        <f t="shared" si="22"/>
        <v>1.061923130825993E-2</v>
      </c>
      <c r="AB373" s="6">
        <f t="shared" si="23"/>
        <v>0.13293172839704442</v>
      </c>
      <c r="AC373" s="6">
        <f t="shared" si="24"/>
        <v>-2.5863600275014258E-2</v>
      </c>
      <c r="AD373" s="6">
        <f t="shared" si="25"/>
        <v>-4.7352258808273873E-2</v>
      </c>
      <c r="AE373" s="6">
        <f t="shared" si="26"/>
        <v>-7.6158169899248562E-2</v>
      </c>
      <c r="AF373" s="6">
        <f t="shared" si="27"/>
        <v>-1.4558818279849395E-2</v>
      </c>
    </row>
    <row r="374" spans="4:32" x14ac:dyDescent="0.3">
      <c r="D374" s="6">
        <v>1.1877804923716925E-2</v>
      </c>
      <c r="E374" s="6">
        <v>2.9247804359933877E-2</v>
      </c>
      <c r="F374" s="6">
        <v>-3.5565508312157212E-2</v>
      </c>
      <c r="G374" s="6">
        <v>-1.433159296224149E-2</v>
      </c>
      <c r="H374" s="6">
        <v>-6.492802390707565E-3</v>
      </c>
      <c r="I374" s="6">
        <v>-2.4133985802135136E-2</v>
      </c>
      <c r="J374" s="6">
        <v>-2.4105711954927507E-2</v>
      </c>
      <c r="K374" s="6">
        <v>-1.3227706097551202E-2</v>
      </c>
      <c r="L374" s="6">
        <v>-0.11378288124856251</v>
      </c>
      <c r="M374" s="6">
        <v>-5.0618048755141316E-2</v>
      </c>
      <c r="N374" s="6">
        <v>4.6576702739809404E-3</v>
      </c>
      <c r="O374" s="6">
        <v>3.1391661714536251E-2</v>
      </c>
      <c r="P374" s="6">
        <v>1.1212451033678805E-2</v>
      </c>
      <c r="Q374" s="6">
        <v>-2.6861285267858508E-2</v>
      </c>
      <c r="S374" s="6">
        <f t="shared" si="14"/>
        <v>1.0089786935906991E-2</v>
      </c>
      <c r="T374" s="6">
        <f t="shared" si="15"/>
        <v>1.941832786348938E-2</v>
      </c>
      <c r="U374" s="6">
        <f t="shared" si="16"/>
        <v>-3.8124862458366937E-2</v>
      </c>
      <c r="V374" s="6">
        <f t="shared" si="17"/>
        <v>-1.7040941297712598E-2</v>
      </c>
      <c r="W374" s="6">
        <f t="shared" si="18"/>
        <v>-7.3495802033183549E-3</v>
      </c>
      <c r="X374" s="6">
        <f t="shared" si="19"/>
        <v>-2.5613625523364769E-2</v>
      </c>
      <c r="Y374" s="6">
        <f t="shared" si="20"/>
        <v>-2.7971299265123435E-2</v>
      </c>
      <c r="Z374" s="6">
        <f t="shared" si="21"/>
        <v>-5.0888245617210053E-3</v>
      </c>
      <c r="AA374" s="6">
        <f t="shared" si="22"/>
        <v>-0.11905156659109546</v>
      </c>
      <c r="AB374" s="6">
        <f t="shared" si="23"/>
        <v>-5.2872172126381761E-2</v>
      </c>
      <c r="AC374" s="6">
        <f t="shared" si="24"/>
        <v>4.9891651413554693E-4</v>
      </c>
      <c r="AD374" s="6">
        <f t="shared" si="25"/>
        <v>1.9114310037095173E-2</v>
      </c>
      <c r="AE374" s="6">
        <f t="shared" si="26"/>
        <v>1.4283517682005063E-2</v>
      </c>
      <c r="AF374" s="6">
        <f t="shared" si="27"/>
        <v>-2.3333583943412957E-2</v>
      </c>
    </row>
    <row r="375" spans="4:32" x14ac:dyDescent="0.3">
      <c r="D375" s="6">
        <v>2.3848588767987604E-2</v>
      </c>
      <c r="E375" s="6">
        <v>9.7769981527452005E-2</v>
      </c>
      <c r="F375" s="6">
        <v>2.0787894865149141E-2</v>
      </c>
      <c r="G375" s="6">
        <v>1.1298252533658121E-2</v>
      </c>
      <c r="H375" s="6">
        <v>-3.3749610165260458E-3</v>
      </c>
      <c r="I375" s="6">
        <v>4.3583989439038649E-2</v>
      </c>
      <c r="J375" s="6">
        <v>5.4462869148829529E-2</v>
      </c>
      <c r="K375" s="6">
        <v>3.7247036733696434E-2</v>
      </c>
      <c r="L375" s="6">
        <v>0.10707422479134097</v>
      </c>
      <c r="M375" s="6">
        <v>7.7642793791215067E-2</v>
      </c>
      <c r="N375" s="6">
        <v>7.0994171968199932E-2</v>
      </c>
      <c r="O375" s="6">
        <v>7.249227647622021E-2</v>
      </c>
      <c r="P375" s="6">
        <v>-8.7145975014097483E-4</v>
      </c>
      <c r="Q375" s="6">
        <v>2.4159654701314995E-2</v>
      </c>
      <c r="S375" s="6">
        <f t="shared" si="14"/>
        <v>2.2060570780177671E-2</v>
      </c>
      <c r="T375" s="6">
        <f t="shared" si="15"/>
        <v>8.7940505031007504E-2</v>
      </c>
      <c r="U375" s="6">
        <f t="shared" si="16"/>
        <v>1.8228540718939413E-2</v>
      </c>
      <c r="V375" s="6">
        <f t="shared" si="17"/>
        <v>8.588904198187015E-3</v>
      </c>
      <c r="W375" s="6">
        <f t="shared" si="18"/>
        <v>-4.2317388291368352E-3</v>
      </c>
      <c r="X375" s="6">
        <f t="shared" si="19"/>
        <v>4.210434971780902E-2</v>
      </c>
      <c r="Y375" s="6">
        <f t="shared" si="20"/>
        <v>5.0597281838633601E-2</v>
      </c>
      <c r="Z375" s="6">
        <f t="shared" si="21"/>
        <v>4.5385918269526634E-2</v>
      </c>
      <c r="AA375" s="6">
        <f t="shared" si="22"/>
        <v>0.10180553944880802</v>
      </c>
      <c r="AB375" s="6">
        <f t="shared" si="23"/>
        <v>7.5388670419974615E-2</v>
      </c>
      <c r="AC375" s="6">
        <f t="shared" si="24"/>
        <v>6.6835418208354536E-2</v>
      </c>
      <c r="AD375" s="6">
        <f t="shared" si="25"/>
        <v>6.0214924798779129E-2</v>
      </c>
      <c r="AE375" s="6">
        <f t="shared" si="26"/>
        <v>2.1996068981852829E-3</v>
      </c>
      <c r="AF375" s="6">
        <f t="shared" si="27"/>
        <v>2.7687356025760546E-2</v>
      </c>
    </row>
    <row r="376" spans="4:32" x14ac:dyDescent="0.3">
      <c r="D376" s="6">
        <v>7.6249731279899882E-2</v>
      </c>
      <c r="E376" s="6">
        <v>8.7011376989629699E-2</v>
      </c>
      <c r="F376" s="6">
        <v>4.3219024972915687E-2</v>
      </c>
      <c r="G376" s="6">
        <v>1.3267098512859041E-2</v>
      </c>
      <c r="H376" s="6">
        <v>2.9818019786327986E-3</v>
      </c>
      <c r="I376" s="6">
        <v>-3.4786424904015706E-3</v>
      </c>
      <c r="J376" s="6">
        <v>2.2465643160606848E-2</v>
      </c>
      <c r="K376" s="6">
        <v>0</v>
      </c>
      <c r="L376" s="6">
        <v>9.8943891510034743E-2</v>
      </c>
      <c r="M376" s="6">
        <v>1.3915608188344738E-3</v>
      </c>
      <c r="N376" s="6">
        <v>1.0762821839447391E-2</v>
      </c>
      <c r="O376" s="6">
        <v>1.1092263900373983E-2</v>
      </c>
      <c r="P376" s="6">
        <v>-5.0788672499190293E-2</v>
      </c>
      <c r="Q376" s="6">
        <v>-8.4641639152631398E-2</v>
      </c>
      <c r="S376" s="6">
        <f t="shared" si="14"/>
        <v>7.4461713292089948E-2</v>
      </c>
      <c r="T376" s="6">
        <f t="shared" si="15"/>
        <v>7.7181900493185199E-2</v>
      </c>
      <c r="U376" s="6">
        <f t="shared" si="16"/>
        <v>4.0659670826705963E-2</v>
      </c>
      <c r="V376" s="6">
        <f t="shared" si="17"/>
        <v>1.0557750177387935E-2</v>
      </c>
      <c r="W376" s="6">
        <f t="shared" si="18"/>
        <v>2.1250241660220092E-3</v>
      </c>
      <c r="X376" s="6">
        <f t="shared" si="19"/>
        <v>-4.9582822116312026E-3</v>
      </c>
      <c r="Y376" s="6">
        <f t="shared" si="20"/>
        <v>1.860005585041092E-2</v>
      </c>
      <c r="Z376" s="6">
        <f t="shared" si="21"/>
        <v>8.1388815358301968E-3</v>
      </c>
      <c r="AA376" s="6">
        <f t="shared" si="22"/>
        <v>9.3675206167501787E-2</v>
      </c>
      <c r="AB376" s="6">
        <f t="shared" si="23"/>
        <v>-8.6256255240597284E-4</v>
      </c>
      <c r="AC376" s="6">
        <f t="shared" si="24"/>
        <v>6.6040680796019971E-3</v>
      </c>
      <c r="AD376" s="6">
        <f t="shared" si="25"/>
        <v>-1.1850877770670943E-3</v>
      </c>
      <c r="AE376" s="6">
        <f t="shared" si="26"/>
        <v>-4.7717605850864035E-2</v>
      </c>
      <c r="AF376" s="6">
        <f t="shared" si="27"/>
        <v>-8.111393782818585E-2</v>
      </c>
    </row>
    <row r="377" spans="4:32" x14ac:dyDescent="0.3">
      <c r="D377" s="6">
        <v>-2.3811782695281197E-2</v>
      </c>
      <c r="E377" s="6">
        <v>-4.1096903399173275E-2</v>
      </c>
      <c r="F377" s="6">
        <v>1.6159930303008909E-2</v>
      </c>
      <c r="G377" s="6">
        <v>1.5936592262812597E-2</v>
      </c>
      <c r="H377" s="6">
        <v>2.7701067667849386E-2</v>
      </c>
      <c r="I377" s="6">
        <v>2.9083983739659525E-2</v>
      </c>
      <c r="J377" s="6">
        <v>-1.8780458679424426E-2</v>
      </c>
      <c r="K377" s="6">
        <v>-5.1447058812377064E-3</v>
      </c>
      <c r="L377" s="6">
        <v>-1.2531819487861102E-2</v>
      </c>
      <c r="M377" s="6">
        <v>-7.9299970619402457E-2</v>
      </c>
      <c r="N377" s="6">
        <v>2.1387332598165475E-3</v>
      </c>
      <c r="O377" s="6">
        <v>1.1390125249109352E-2</v>
      </c>
      <c r="P377" s="6">
        <v>-2.0200172142925839E-3</v>
      </c>
      <c r="Q377" s="6">
        <v>1.9551300185831812E-2</v>
      </c>
      <c r="S377" s="6">
        <f t="shared" si="14"/>
        <v>-2.5599800683091131E-2</v>
      </c>
      <c r="T377" s="6">
        <f t="shared" si="15"/>
        <v>-5.0926379895617768E-2</v>
      </c>
      <c r="U377" s="6">
        <f t="shared" si="16"/>
        <v>1.3600576156799183E-2</v>
      </c>
      <c r="V377" s="6">
        <f t="shared" si="17"/>
        <v>1.3227243927341491E-2</v>
      </c>
      <c r="W377" s="6">
        <f t="shared" si="18"/>
        <v>2.6844289855238596E-2</v>
      </c>
      <c r="X377" s="6">
        <f t="shared" si="19"/>
        <v>2.7604344018429892E-2</v>
      </c>
      <c r="Y377" s="6">
        <f t="shared" si="20"/>
        <v>-2.2646045989620354E-2</v>
      </c>
      <c r="Z377" s="6">
        <f t="shared" si="21"/>
        <v>2.9941756545924904E-3</v>
      </c>
      <c r="AA377" s="6">
        <f t="shared" si="22"/>
        <v>-1.7800504830394054E-2</v>
      </c>
      <c r="AB377" s="6">
        <f t="shared" si="23"/>
        <v>-8.1554093990642909E-2</v>
      </c>
      <c r="AC377" s="6">
        <f t="shared" si="24"/>
        <v>-2.020020500028846E-3</v>
      </c>
      <c r="AD377" s="6">
        <f t="shared" si="25"/>
        <v>-8.8722642833172563E-4</v>
      </c>
      <c r="AE377" s="6">
        <f t="shared" si="26"/>
        <v>1.0510494340336737E-3</v>
      </c>
      <c r="AF377" s="6">
        <f t="shared" si="27"/>
        <v>2.3079001510277364E-2</v>
      </c>
    </row>
    <row r="378" spans="4:32" x14ac:dyDescent="0.3">
      <c r="D378" s="6">
        <v>1.4972416214091323E-2</v>
      </c>
      <c r="E378" s="6">
        <v>-2.4230524536603817E-2</v>
      </c>
      <c r="F378" s="6">
        <v>-6.3118427964776692E-3</v>
      </c>
      <c r="G378" s="6">
        <v>1.3931343673828605E-2</v>
      </c>
      <c r="H378" s="6">
        <v>7.8119990202316927E-2</v>
      </c>
      <c r="I378" s="6">
        <v>2.1814481542495594E-2</v>
      </c>
      <c r="J378" s="6">
        <v>1.8899461436462012E-2</v>
      </c>
      <c r="K378" s="6">
        <v>6.8519946436755935E-2</v>
      </c>
      <c r="L378" s="6">
        <v>6.7031750559157065E-3</v>
      </c>
      <c r="M378" s="6">
        <v>-1.6202456702147042E-2</v>
      </c>
      <c r="N378" s="6">
        <v>3.4575492498813219E-2</v>
      </c>
      <c r="O378" s="6">
        <v>6.062462181643484E-2</v>
      </c>
      <c r="P378" s="6">
        <v>9.681306060819686E-2</v>
      </c>
      <c r="Q378" s="6">
        <v>5.2511342820127944E-3</v>
      </c>
      <c r="S378" s="6">
        <f t="shared" si="14"/>
        <v>1.3184398226281389E-2</v>
      </c>
      <c r="T378" s="6">
        <f t="shared" si="15"/>
        <v>-3.4060001033048314E-2</v>
      </c>
      <c r="U378" s="6">
        <f t="shared" si="16"/>
        <v>-8.8711969426873965E-3</v>
      </c>
      <c r="V378" s="6">
        <f t="shared" si="17"/>
        <v>1.1221995338357499E-2</v>
      </c>
      <c r="W378" s="6">
        <f t="shared" si="18"/>
        <v>7.726321238970614E-2</v>
      </c>
      <c r="X378" s="6">
        <f t="shared" si="19"/>
        <v>2.0334841821265961E-2</v>
      </c>
      <c r="Y378" s="6">
        <f t="shared" si="20"/>
        <v>1.5033874126266082E-2</v>
      </c>
      <c r="Z378" s="6">
        <f t="shared" si="21"/>
        <v>7.6658827972586135E-2</v>
      </c>
      <c r="AA378" s="6">
        <f t="shared" si="22"/>
        <v>1.4344897133827528E-3</v>
      </c>
      <c r="AB378" s="6">
        <f t="shared" si="23"/>
        <v>-1.8456580073387491E-2</v>
      </c>
      <c r="AC378" s="6">
        <f t="shared" si="24"/>
        <v>3.0416738738967827E-2</v>
      </c>
      <c r="AD378" s="6">
        <f t="shared" si="25"/>
        <v>4.8347270138993759E-2</v>
      </c>
      <c r="AE378" s="6">
        <f t="shared" si="26"/>
        <v>9.9884127256523111E-2</v>
      </c>
      <c r="AF378" s="6">
        <f t="shared" si="27"/>
        <v>8.7788356064583458E-3</v>
      </c>
    </row>
    <row r="379" spans="4:32" x14ac:dyDescent="0.3">
      <c r="D379" s="6">
        <v>7.1982731585344503E-2</v>
      </c>
      <c r="E379" s="6">
        <v>1.8366799336123323E-2</v>
      </c>
      <c r="F379" s="6">
        <v>4.5080951205708E-2</v>
      </c>
      <c r="G379" s="6">
        <v>4.5346467765528829E-2</v>
      </c>
      <c r="H379" s="6">
        <v>0.23986172288133401</v>
      </c>
      <c r="I379" s="6">
        <v>3.4332679080505357E-2</v>
      </c>
      <c r="J379" s="6">
        <v>6.8389778235218912E-2</v>
      </c>
      <c r="K379" s="6">
        <v>-1.3943845200280171E-2</v>
      </c>
      <c r="L379" s="6">
        <v>1.6794939775492117E-2</v>
      </c>
      <c r="M379" s="6">
        <v>6.5035774520683506E-3</v>
      </c>
      <c r="N379" s="6">
        <v>-2.2541652935089463E-2</v>
      </c>
      <c r="O379" s="6">
        <v>7.2329842672084546E-2</v>
      </c>
      <c r="P379" s="6">
        <v>3.524666140486947E-2</v>
      </c>
      <c r="Q379" s="6">
        <v>-1.5836857171345101E-2</v>
      </c>
      <c r="S379" s="6">
        <f t="shared" ref="S379:S442" si="28">IFERROR(D379-D$448,"NA")</f>
        <v>7.0194713597534569E-2</v>
      </c>
      <c r="T379" s="6">
        <f t="shared" ref="T379:T442" si="29">IFERROR(E379-E$448,"NA")</f>
        <v>8.5373228396788264E-3</v>
      </c>
      <c r="U379" s="6">
        <f t="shared" ref="U379:U442" si="30">IFERROR(F379-F$448,"NA")</f>
        <v>4.2521597059498276E-2</v>
      </c>
      <c r="V379" s="6">
        <f t="shared" ref="V379:V442" si="31">IFERROR(G379-G$448,"NA")</f>
        <v>4.263711943005772E-2</v>
      </c>
      <c r="W379" s="6">
        <f t="shared" ref="W379:W442" si="32">IFERROR(H379-H$448,"NA")</f>
        <v>0.23900494506872322</v>
      </c>
      <c r="X379" s="6">
        <f t="shared" ref="X379:X442" si="33">IFERROR(I379-I$448,"NA")</f>
        <v>3.2853039359275728E-2</v>
      </c>
      <c r="Y379" s="6">
        <f t="shared" ref="Y379:Y442" si="34">IFERROR(J379-J$448,"NA")</f>
        <v>6.4524190925022984E-2</v>
      </c>
      <c r="Z379" s="6">
        <f t="shared" ref="Z379:Z442" si="35">IFERROR(K379-K$448,"NA")</f>
        <v>-5.804963664449974E-3</v>
      </c>
      <c r="AA379" s="6">
        <f t="shared" ref="AA379:AA442" si="36">IFERROR(L379-L$448,"NA")</f>
        <v>1.1526254432959163E-2</v>
      </c>
      <c r="AB379" s="6">
        <f t="shared" ref="AB379:AB442" si="37">IFERROR(M379-M$448,"NA")</f>
        <v>4.249454080827904E-3</v>
      </c>
      <c r="AC379" s="6">
        <f t="shared" ref="AC379:AC442" si="38">IFERROR(N379-N$448,"NA")</f>
        <v>-2.6700406694934856E-2</v>
      </c>
      <c r="AD379" s="6">
        <f t="shared" ref="AD379:AD442" si="39">IFERROR(O379-O$448,"NA")</f>
        <v>6.0052490994643465E-2</v>
      </c>
      <c r="AE379" s="6">
        <f t="shared" ref="AE379:AE442" si="40">IFERROR(P379-P$448,"NA")</f>
        <v>3.8317728053195728E-2</v>
      </c>
      <c r="AF379" s="6">
        <f t="shared" ref="AF379:AF442" si="41">IFERROR(Q379-Q$448,"NA")</f>
        <v>-1.2309155846899549E-2</v>
      </c>
    </row>
    <row r="380" spans="4:32" x14ac:dyDescent="0.3">
      <c r="D380" s="6">
        <v>1.8386089635070942E-2</v>
      </c>
      <c r="E380" s="6">
        <v>2.6739351352421142E-2</v>
      </c>
      <c r="F380" s="6">
        <v>-3.0422165678616418E-2</v>
      </c>
      <c r="G380" s="6">
        <v>-2.944285933044483E-2</v>
      </c>
      <c r="H380" s="6">
        <v>-1.3166773508642359E-2</v>
      </c>
      <c r="I380" s="6">
        <v>-2.793661869302265E-2</v>
      </c>
      <c r="J380" s="6">
        <v>-7.9056918233288337E-2</v>
      </c>
      <c r="K380" s="6">
        <v>-1.228516679457769E-2</v>
      </c>
      <c r="L380" s="6">
        <v>-4.8261664966555456E-2</v>
      </c>
      <c r="M380" s="6">
        <v>-2.5629657345232912E-2</v>
      </c>
      <c r="N380" s="6">
        <v>1.9095987614353622E-2</v>
      </c>
      <c r="O380" s="6">
        <v>3.0382083688122972E-2</v>
      </c>
      <c r="P380" s="6">
        <v>-1.2317821871349889E-2</v>
      </c>
      <c r="Q380" s="6">
        <v>-1.1740466347258683E-2</v>
      </c>
      <c r="S380" s="6">
        <f t="shared" si="28"/>
        <v>1.6598071647261008E-2</v>
      </c>
      <c r="T380" s="6">
        <f t="shared" si="29"/>
        <v>1.6909874855976646E-2</v>
      </c>
      <c r="U380" s="6">
        <f t="shared" si="30"/>
        <v>-3.2981519824826146E-2</v>
      </c>
      <c r="V380" s="6">
        <f t="shared" si="31"/>
        <v>-3.2152207665915936E-2</v>
      </c>
      <c r="W380" s="6">
        <f t="shared" si="32"/>
        <v>-1.4023551321253148E-2</v>
      </c>
      <c r="X380" s="6">
        <f t="shared" si="33"/>
        <v>-2.9416258414252282E-2</v>
      </c>
      <c r="Y380" s="6">
        <f t="shared" si="34"/>
        <v>-8.2922505543484265E-2</v>
      </c>
      <c r="Z380" s="6">
        <f t="shared" si="35"/>
        <v>-4.1462852587474935E-3</v>
      </c>
      <c r="AA380" s="6">
        <f t="shared" si="36"/>
        <v>-5.3530350309088412E-2</v>
      </c>
      <c r="AB380" s="6">
        <f t="shared" si="37"/>
        <v>-2.7883780716473357E-2</v>
      </c>
      <c r="AC380" s="6">
        <f t="shared" si="38"/>
        <v>1.4937233854508229E-2</v>
      </c>
      <c r="AD380" s="6">
        <f t="shared" si="39"/>
        <v>1.8104732010681895E-2</v>
      </c>
      <c r="AE380" s="6">
        <f t="shared" si="40"/>
        <v>-9.2467552230236314E-3</v>
      </c>
      <c r="AF380" s="6">
        <f t="shared" si="41"/>
        <v>-8.2127650228131319E-3</v>
      </c>
    </row>
    <row r="381" spans="4:32" x14ac:dyDescent="0.3">
      <c r="D381" s="6">
        <v>-2.7395359492932557E-2</v>
      </c>
      <c r="E381" s="6">
        <v>-9.1579912854418827E-2</v>
      </c>
      <c r="F381" s="6">
        <v>-3.6920637393442597E-2</v>
      </c>
      <c r="G381" s="6">
        <v>-4.0862520548102028E-2</v>
      </c>
      <c r="H381" s="6">
        <v>-3.705571365572273E-2</v>
      </c>
      <c r="I381" s="6">
        <v>-6.018446470215677E-2</v>
      </c>
      <c r="J381" s="6">
        <v>-4.5269398391094742E-2</v>
      </c>
      <c r="K381" s="6">
        <v>-0.11654770504839063</v>
      </c>
      <c r="L381" s="6">
        <v>-0.19688360406589453</v>
      </c>
      <c r="M381" s="6">
        <v>0.16755849829302888</v>
      </c>
      <c r="N381" s="6">
        <v>-7.3311764184613062E-2</v>
      </c>
      <c r="O381" s="6">
        <v>1.8005782127930157E-2</v>
      </c>
      <c r="P381" s="6">
        <v>1.9860182909306648E-2</v>
      </c>
      <c r="Q381" s="6">
        <v>2.2156337856140084E-2</v>
      </c>
      <c r="S381" s="6">
        <f t="shared" si="28"/>
        <v>-2.9183377480742491E-2</v>
      </c>
      <c r="T381" s="6">
        <f t="shared" si="29"/>
        <v>-0.10140938935086333</v>
      </c>
      <c r="U381" s="6">
        <f t="shared" si="30"/>
        <v>-3.9479991539652322E-2</v>
      </c>
      <c r="V381" s="6">
        <f t="shared" si="31"/>
        <v>-4.3571868883573138E-2</v>
      </c>
      <c r="W381" s="6">
        <f t="shared" si="32"/>
        <v>-3.7912491468333517E-2</v>
      </c>
      <c r="X381" s="6">
        <f t="shared" si="33"/>
        <v>-6.16641044233864E-2</v>
      </c>
      <c r="Y381" s="6">
        <f t="shared" si="34"/>
        <v>-4.913498570129067E-2</v>
      </c>
      <c r="Z381" s="6">
        <f t="shared" si="35"/>
        <v>-0.10840882351256043</v>
      </c>
      <c r="AA381" s="6">
        <f t="shared" si="36"/>
        <v>-0.20215228940842747</v>
      </c>
      <c r="AB381" s="6">
        <f t="shared" si="37"/>
        <v>0.16530437492178843</v>
      </c>
      <c r="AC381" s="6">
        <f t="shared" si="38"/>
        <v>-7.7470517944458459E-2</v>
      </c>
      <c r="AD381" s="6">
        <f t="shared" si="39"/>
        <v>5.7284304504890797E-3</v>
      </c>
      <c r="AE381" s="6">
        <f t="shared" si="40"/>
        <v>2.2931249557632906E-2</v>
      </c>
      <c r="AF381" s="6">
        <f t="shared" si="41"/>
        <v>2.5684039180585636E-2</v>
      </c>
    </row>
    <row r="382" spans="4:32" x14ac:dyDescent="0.3">
      <c r="D382" s="6">
        <v>-2.8717463965036286E-2</v>
      </c>
      <c r="E382" s="6">
        <v>-4.2172576854733891E-2</v>
      </c>
      <c r="F382" s="6">
        <v>-2.7460618339327472E-2</v>
      </c>
      <c r="G382" s="6">
        <v>-6.1877798924799811E-2</v>
      </c>
      <c r="H382" s="6">
        <v>-8.458198010695557E-2</v>
      </c>
      <c r="I382" s="6">
        <v>-3.4461101303110229E-3</v>
      </c>
      <c r="J382" s="6">
        <v>-2.3534492388506422E-2</v>
      </c>
      <c r="K382" s="6">
        <v>-7.7211072391337704E-2</v>
      </c>
      <c r="L382" s="6">
        <v>-0.1743783712174326</v>
      </c>
      <c r="M382" s="6">
        <v>-5.9371963995249251E-2</v>
      </c>
      <c r="N382" s="6">
        <v>-4.4195180912313801E-2</v>
      </c>
      <c r="O382" s="6">
        <v>-5.0225763778723613E-2</v>
      </c>
      <c r="P382" s="6">
        <v>-5.7751056620703047E-2</v>
      </c>
      <c r="Q382" s="6">
        <v>2.0511815305666658E-2</v>
      </c>
      <c r="S382" s="6">
        <f t="shared" si="28"/>
        <v>-3.050548195284622E-2</v>
      </c>
      <c r="T382" s="6">
        <f t="shared" si="29"/>
        <v>-5.2002053351178384E-2</v>
      </c>
      <c r="U382" s="6">
        <f t="shared" si="30"/>
        <v>-3.00199724855372E-2</v>
      </c>
      <c r="V382" s="6">
        <f t="shared" si="31"/>
        <v>-6.4587147260270913E-2</v>
      </c>
      <c r="W382" s="6">
        <f t="shared" si="32"/>
        <v>-8.5438757919566358E-2</v>
      </c>
      <c r="X382" s="6">
        <f t="shared" si="33"/>
        <v>-4.9257498515406549E-3</v>
      </c>
      <c r="Y382" s="6">
        <f t="shared" si="34"/>
        <v>-2.740007969870235E-2</v>
      </c>
      <c r="Z382" s="6">
        <f t="shared" si="35"/>
        <v>-6.9072190855507504E-2</v>
      </c>
      <c r="AA382" s="6">
        <f t="shared" si="36"/>
        <v>-0.17964705655996555</v>
      </c>
      <c r="AB382" s="6">
        <f t="shared" si="37"/>
        <v>-6.1626087366489696E-2</v>
      </c>
      <c r="AC382" s="6">
        <f t="shared" si="38"/>
        <v>-4.8353934672159198E-2</v>
      </c>
      <c r="AD382" s="6">
        <f t="shared" si="39"/>
        <v>-6.2503115456164687E-2</v>
      </c>
      <c r="AE382" s="6">
        <f t="shared" si="40"/>
        <v>-5.4679989972376788E-2</v>
      </c>
      <c r="AF382" s="6">
        <f t="shared" si="41"/>
        <v>2.4039516630112209E-2</v>
      </c>
    </row>
    <row r="383" spans="4:32" x14ac:dyDescent="0.3">
      <c r="D383" s="6">
        <v>8.6794204358200365E-3</v>
      </c>
      <c r="E383" s="6">
        <v>-5.256963063780689E-2</v>
      </c>
      <c r="F383" s="6">
        <v>-4.0256827131922419E-2</v>
      </c>
      <c r="G383" s="6">
        <v>-2.0380034626943772E-3</v>
      </c>
      <c r="H383" s="6">
        <v>-5.6767760614633483E-2</v>
      </c>
      <c r="I383" s="6">
        <v>-8.3381608939051013E-2</v>
      </c>
      <c r="J383" s="6">
        <v>4.7060599967013991E-2</v>
      </c>
      <c r="K383" s="6">
        <v>-0.35357184370111666</v>
      </c>
      <c r="L383" s="6">
        <v>-0.16181190096221826</v>
      </c>
      <c r="M383" s="6">
        <v>-0.1724988020979133</v>
      </c>
      <c r="N383" s="6">
        <v>-8.7745695095324108E-2</v>
      </c>
      <c r="O383" s="6">
        <v>-9.4060041758655913E-2</v>
      </c>
      <c r="P383" s="6">
        <v>-0.10528523996054961</v>
      </c>
      <c r="Q383" s="6">
        <v>-2.6987638890902239E-2</v>
      </c>
      <c r="S383" s="6">
        <f t="shared" si="28"/>
        <v>6.8914024480101026E-3</v>
      </c>
      <c r="T383" s="6">
        <f t="shared" si="29"/>
        <v>-6.2399107134251383E-2</v>
      </c>
      <c r="U383" s="6">
        <f t="shared" si="30"/>
        <v>-4.2816181278132144E-2</v>
      </c>
      <c r="V383" s="6">
        <f t="shared" si="31"/>
        <v>-4.7473517981654837E-3</v>
      </c>
      <c r="W383" s="6">
        <f t="shared" si="32"/>
        <v>-5.7624538427244271E-2</v>
      </c>
      <c r="X383" s="6">
        <f t="shared" si="33"/>
        <v>-8.486124866028065E-2</v>
      </c>
      <c r="Y383" s="6">
        <f t="shared" si="34"/>
        <v>4.3195012656818063E-2</v>
      </c>
      <c r="Z383" s="6">
        <f t="shared" si="35"/>
        <v>-0.34543296216528646</v>
      </c>
      <c r="AA383" s="6">
        <f t="shared" si="36"/>
        <v>-0.1670805863047512</v>
      </c>
      <c r="AB383" s="6">
        <f t="shared" si="37"/>
        <v>-0.17475292546915375</v>
      </c>
      <c r="AC383" s="6">
        <f t="shared" si="38"/>
        <v>-9.1904448855169504E-2</v>
      </c>
      <c r="AD383" s="6">
        <f t="shared" si="39"/>
        <v>-0.10633739343609699</v>
      </c>
      <c r="AE383" s="6">
        <f t="shared" si="40"/>
        <v>-0.10221417331222336</v>
      </c>
      <c r="AF383" s="6">
        <f t="shared" si="41"/>
        <v>-2.3459937566456687E-2</v>
      </c>
    </row>
    <row r="384" spans="4:32" x14ac:dyDescent="0.3">
      <c r="D384" s="6">
        <v>-1.6602078182525515E-2</v>
      </c>
      <c r="E384" s="6">
        <v>-2.377246180709067E-2</v>
      </c>
      <c r="F384" s="6">
        <v>-6.065014724071679E-3</v>
      </c>
      <c r="G384" s="6">
        <v>-1.8103603436268229E-2</v>
      </c>
      <c r="H384" s="6">
        <v>-3.7632914806850909E-2</v>
      </c>
      <c r="I384" s="6">
        <v>-5.7340976609045607E-3</v>
      </c>
      <c r="J384" s="6">
        <v>5.8928878256075894E-2</v>
      </c>
      <c r="K384" s="6">
        <v>-3.3680532777665806E-2</v>
      </c>
      <c r="L384" s="6">
        <v>0.10039156133463924</v>
      </c>
      <c r="M384" s="6">
        <v>-4.0681376350321832E-2</v>
      </c>
      <c r="N384" s="6">
        <v>0.15004957843147887</v>
      </c>
      <c r="O384" s="6">
        <v>0.19310929248793407</v>
      </c>
      <c r="P384" s="6">
        <v>3.6219775827201463E-2</v>
      </c>
      <c r="Q384" s="6">
        <v>-3.6741313768967887E-2</v>
      </c>
      <c r="S384" s="6">
        <f t="shared" si="28"/>
        <v>-1.8390096170335449E-2</v>
      </c>
      <c r="T384" s="6">
        <f t="shared" si="29"/>
        <v>-3.3601938303535167E-2</v>
      </c>
      <c r="U384" s="6">
        <f t="shared" si="30"/>
        <v>-8.6243688702814063E-3</v>
      </c>
      <c r="V384" s="6">
        <f t="shared" si="31"/>
        <v>-2.0812951771739335E-2</v>
      </c>
      <c r="W384" s="6">
        <f t="shared" si="32"/>
        <v>-3.8489692619461696E-2</v>
      </c>
      <c r="X384" s="6">
        <f t="shared" si="33"/>
        <v>-7.2137373821341928E-3</v>
      </c>
      <c r="Y384" s="6">
        <f t="shared" si="34"/>
        <v>5.5063290945879965E-2</v>
      </c>
      <c r="Z384" s="6">
        <f t="shared" si="35"/>
        <v>-2.5541651241835609E-2</v>
      </c>
      <c r="AA384" s="6">
        <f t="shared" si="36"/>
        <v>9.5122875992106282E-2</v>
      </c>
      <c r="AB384" s="6">
        <f t="shared" si="37"/>
        <v>-4.2935499721562277E-2</v>
      </c>
      <c r="AC384" s="6">
        <f t="shared" si="38"/>
        <v>0.14589082467163347</v>
      </c>
      <c r="AD384" s="6">
        <f t="shared" si="39"/>
        <v>0.180831940810493</v>
      </c>
      <c r="AE384" s="6">
        <f t="shared" si="40"/>
        <v>3.9290842475527721E-2</v>
      </c>
      <c r="AF384" s="6">
        <f t="shared" si="41"/>
        <v>-3.3213612444522332E-2</v>
      </c>
    </row>
    <row r="385" spans="4:32" x14ac:dyDescent="0.3">
      <c r="D385" s="6">
        <v>4.4367311772421959E-2</v>
      </c>
      <c r="E385" s="6">
        <v>0.17337152102375228</v>
      </c>
      <c r="F385" s="6">
        <v>3.0202783300064574E-2</v>
      </c>
      <c r="G385" s="6">
        <v>-4.3474335992420262E-3</v>
      </c>
      <c r="H385" s="6">
        <v>7.7516442427828347E-2</v>
      </c>
      <c r="I385" s="6">
        <v>5.8854191760312452E-2</v>
      </c>
      <c r="J385" s="6">
        <v>1.8466066869673742E-2</v>
      </c>
      <c r="K385" s="6">
        <v>1.9694290802925944E-2</v>
      </c>
      <c r="L385" s="6">
        <v>8.6021541754435785E-2</v>
      </c>
      <c r="M385" s="6">
        <v>4.4927874494915893E-2</v>
      </c>
      <c r="N385" s="6">
        <v>4.9804003861292537E-2</v>
      </c>
      <c r="O385" s="6">
        <v>6.6702123546037898E-2</v>
      </c>
      <c r="P385" s="6">
        <v>6.1243625240718594E-2</v>
      </c>
      <c r="Q385" s="6">
        <v>2.9534693697991915E-2</v>
      </c>
      <c r="S385" s="6">
        <f t="shared" si="28"/>
        <v>4.2579293784612025E-2</v>
      </c>
      <c r="T385" s="6">
        <f t="shared" si="29"/>
        <v>0.16354204452730778</v>
      </c>
      <c r="U385" s="6">
        <f t="shared" si="30"/>
        <v>2.7643429153854846E-2</v>
      </c>
      <c r="V385" s="6">
        <f t="shared" si="31"/>
        <v>-7.0567819347131331E-3</v>
      </c>
      <c r="W385" s="6">
        <f t="shared" si="32"/>
        <v>7.665966461521756E-2</v>
      </c>
      <c r="X385" s="6">
        <f t="shared" si="33"/>
        <v>5.7374552039082823E-2</v>
      </c>
      <c r="Y385" s="6">
        <f t="shared" si="34"/>
        <v>1.4600479559477813E-2</v>
      </c>
      <c r="Z385" s="6">
        <f t="shared" si="35"/>
        <v>2.7833172338756141E-2</v>
      </c>
      <c r="AA385" s="6">
        <f t="shared" si="36"/>
        <v>8.0752856411902829E-2</v>
      </c>
      <c r="AB385" s="6">
        <f t="shared" si="37"/>
        <v>4.2673751123675448E-2</v>
      </c>
      <c r="AC385" s="6">
        <f t="shared" si="38"/>
        <v>4.5645250101447141E-2</v>
      </c>
      <c r="AD385" s="6">
        <f t="shared" si="39"/>
        <v>5.4424771868596816E-2</v>
      </c>
      <c r="AE385" s="6">
        <f t="shared" si="40"/>
        <v>6.4314691889044845E-2</v>
      </c>
      <c r="AF385" s="6">
        <f t="shared" si="41"/>
        <v>3.306239502243747E-2</v>
      </c>
    </row>
    <row r="386" spans="4:32" x14ac:dyDescent="0.3">
      <c r="D386" s="6">
        <v>3.4887094052129782E-3</v>
      </c>
      <c r="E386" s="6">
        <v>3.772843610381113E-2</v>
      </c>
      <c r="F386" s="6">
        <v>-4.0227049433736121E-3</v>
      </c>
      <c r="G386" s="6">
        <v>1.6191235687003588E-2</v>
      </c>
      <c r="H386" s="6">
        <v>1.9247226004479676E-2</v>
      </c>
      <c r="I386" s="6">
        <v>-1.1296244010885181E-4</v>
      </c>
      <c r="J386" s="6">
        <v>1.099088625166261E-3</v>
      </c>
      <c r="K386" s="6">
        <v>2.1437048130605259E-2</v>
      </c>
      <c r="L386" s="6">
        <v>3.3706006796873862E-2</v>
      </c>
      <c r="M386" s="6">
        <v>2.9231041391464221E-2</v>
      </c>
      <c r="N386" s="6">
        <v>3.0889431415958124E-2</v>
      </c>
      <c r="O386" s="6">
        <v>-9.3956218897437698E-3</v>
      </c>
      <c r="P386" s="6">
        <v>0.16574009309389118</v>
      </c>
      <c r="Q386" s="6">
        <v>0.18884406532807349</v>
      </c>
      <c r="S386" s="6">
        <f t="shared" si="28"/>
        <v>1.7006914174030445E-3</v>
      </c>
      <c r="T386" s="6">
        <f t="shared" si="29"/>
        <v>2.7898959607366634E-2</v>
      </c>
      <c r="U386" s="6">
        <f t="shared" si="30"/>
        <v>-6.5820590895833385E-3</v>
      </c>
      <c r="V386" s="6">
        <f t="shared" si="31"/>
        <v>1.3481887351532482E-2</v>
      </c>
      <c r="W386" s="6">
        <f t="shared" si="32"/>
        <v>1.8390448191868886E-2</v>
      </c>
      <c r="X386" s="6">
        <f t="shared" si="33"/>
        <v>-1.5926021613384838E-3</v>
      </c>
      <c r="Y386" s="6">
        <f t="shared" si="34"/>
        <v>-2.7664986850296685E-3</v>
      </c>
      <c r="Z386" s="6">
        <f t="shared" si="35"/>
        <v>2.9575929666435456E-2</v>
      </c>
      <c r="AA386" s="6">
        <f t="shared" si="36"/>
        <v>2.8437321454340907E-2</v>
      </c>
      <c r="AB386" s="6">
        <f t="shared" si="37"/>
        <v>2.6976918020223777E-2</v>
      </c>
      <c r="AC386" s="6">
        <f t="shared" si="38"/>
        <v>2.6730677656112731E-2</v>
      </c>
      <c r="AD386" s="6">
        <f t="shared" si="39"/>
        <v>-2.1672973567184846E-2</v>
      </c>
      <c r="AE386" s="6">
        <f t="shared" si="40"/>
        <v>0.16881115974221744</v>
      </c>
      <c r="AF386" s="6">
        <f t="shared" si="41"/>
        <v>0.19237176665251904</v>
      </c>
    </row>
    <row r="387" spans="4:32" x14ac:dyDescent="0.3">
      <c r="D387" s="6">
        <v>9.4770804084122751E-3</v>
      </c>
      <c r="E387" s="6">
        <v>-8.0448602822863577E-2</v>
      </c>
      <c r="F387" s="6">
        <v>8.393990396089497E-4</v>
      </c>
      <c r="G387" s="6">
        <v>-1.3617231691830831E-2</v>
      </c>
      <c r="H387" s="6">
        <v>-2.859113332925892E-2</v>
      </c>
      <c r="I387" s="6">
        <v>8.2129054768996651E-3</v>
      </c>
      <c r="J387" s="6">
        <v>-1.2751409303988891E-2</v>
      </c>
      <c r="K387" s="6">
        <v>-9.5898444046148487E-3</v>
      </c>
      <c r="L387" s="6">
        <v>2.0918367795160681E-2</v>
      </c>
      <c r="M387" s="6">
        <v>-0.14230063990976244</v>
      </c>
      <c r="N387" s="6">
        <v>-1.5872272440853732E-2</v>
      </c>
      <c r="O387" s="6">
        <v>-9.4847375593674222E-3</v>
      </c>
      <c r="P387" s="6">
        <v>-2.0013815345456921E-2</v>
      </c>
      <c r="Q387" s="6">
        <v>-1.5227991433554196E-2</v>
      </c>
      <c r="S387" s="6">
        <f t="shared" si="28"/>
        <v>7.6890624206023411E-3</v>
      </c>
      <c r="T387" s="6">
        <f t="shared" si="29"/>
        <v>-9.0278079319308077E-2</v>
      </c>
      <c r="U387" s="6">
        <f t="shared" si="30"/>
        <v>-1.7199551066007773E-3</v>
      </c>
      <c r="V387" s="6">
        <f t="shared" si="31"/>
        <v>-1.6326580027301939E-2</v>
      </c>
      <c r="W387" s="6">
        <f t="shared" si="32"/>
        <v>-2.9447911141869711E-2</v>
      </c>
      <c r="X387" s="6">
        <f t="shared" si="33"/>
        <v>6.7332657556700331E-3</v>
      </c>
      <c r="Y387" s="6">
        <f t="shared" si="34"/>
        <v>-1.661699661418482E-2</v>
      </c>
      <c r="Z387" s="6">
        <f t="shared" si="35"/>
        <v>-1.4509628687846519E-3</v>
      </c>
      <c r="AA387" s="6">
        <f t="shared" si="36"/>
        <v>1.5649682452627725E-2</v>
      </c>
      <c r="AB387" s="6">
        <f t="shared" si="37"/>
        <v>-0.14455476328100289</v>
      </c>
      <c r="AC387" s="6">
        <f t="shared" si="38"/>
        <v>-2.0031026200699124E-2</v>
      </c>
      <c r="AD387" s="6">
        <f t="shared" si="39"/>
        <v>-2.1762089236808502E-2</v>
      </c>
      <c r="AE387" s="6">
        <f t="shared" si="40"/>
        <v>-1.6942748697130663E-2</v>
      </c>
      <c r="AF387" s="6">
        <f t="shared" si="41"/>
        <v>-1.1700290109108644E-2</v>
      </c>
    </row>
    <row r="388" spans="4:32" x14ac:dyDescent="0.3">
      <c r="D388" s="6">
        <v>-3.6374113543248744E-2</v>
      </c>
      <c r="E388" s="6">
        <v>-0.14915077386584782</v>
      </c>
      <c r="F388" s="6">
        <v>-3.7716355503252447E-2</v>
      </c>
      <c r="G388" s="6">
        <v>-7.9328880817613578E-2</v>
      </c>
      <c r="H388" s="6">
        <v>-1.5912208441964303E-2</v>
      </c>
      <c r="I388" s="6">
        <v>-4.0646939815213043E-2</v>
      </c>
      <c r="J388" s="6">
        <v>-4.1196921727614175E-2</v>
      </c>
      <c r="K388" s="6">
        <v>-8.0221167565149548E-2</v>
      </c>
      <c r="L388" s="6">
        <v>-0.11811217954708526</v>
      </c>
      <c r="M388" s="6">
        <v>-0.21864072434267109</v>
      </c>
      <c r="N388" s="6">
        <v>-4.9761509559063825E-2</v>
      </c>
      <c r="O388" s="6">
        <v>-3.7215101848712795E-2</v>
      </c>
      <c r="P388" s="6">
        <v>-5.1471933083496998E-2</v>
      </c>
      <c r="Q388" s="6">
        <v>-2.7889669094331087E-2</v>
      </c>
      <c r="S388" s="6">
        <f t="shared" si="28"/>
        <v>-3.8162131531058678E-2</v>
      </c>
      <c r="T388" s="6">
        <f t="shared" si="29"/>
        <v>-0.15898025036229232</v>
      </c>
      <c r="U388" s="6">
        <f t="shared" si="30"/>
        <v>-4.0275709649462171E-2</v>
      </c>
      <c r="V388" s="6">
        <f t="shared" si="31"/>
        <v>-8.2038229153084688E-2</v>
      </c>
      <c r="W388" s="6">
        <f t="shared" si="32"/>
        <v>-1.6768986254575093E-2</v>
      </c>
      <c r="X388" s="6">
        <f t="shared" si="33"/>
        <v>-4.2126579536442672E-2</v>
      </c>
      <c r="Y388" s="6">
        <f t="shared" si="34"/>
        <v>-4.5062509037810103E-2</v>
      </c>
      <c r="Z388" s="6">
        <f t="shared" si="35"/>
        <v>-7.2082286029319348E-2</v>
      </c>
      <c r="AA388" s="6">
        <f t="shared" si="36"/>
        <v>-0.12338086488961822</v>
      </c>
      <c r="AB388" s="6">
        <f t="shared" si="37"/>
        <v>-0.22089484771391155</v>
      </c>
      <c r="AC388" s="6">
        <f t="shared" si="38"/>
        <v>-5.3920263318909221E-2</v>
      </c>
      <c r="AD388" s="6">
        <f t="shared" si="39"/>
        <v>-4.9492453526153876E-2</v>
      </c>
      <c r="AE388" s="6">
        <f t="shared" si="40"/>
        <v>-4.840086643517074E-2</v>
      </c>
      <c r="AF388" s="6">
        <f t="shared" si="41"/>
        <v>-2.4361967769885536E-2</v>
      </c>
    </row>
    <row r="389" spans="4:32" x14ac:dyDescent="0.3">
      <c r="D389" s="6">
        <v>7.5792115953040879E-3</v>
      </c>
      <c r="E389" s="6">
        <v>0.14688633712015514</v>
      </c>
      <c r="F389" s="6">
        <v>6.9450819886162002E-2</v>
      </c>
      <c r="G389" s="6">
        <v>4.2421562660211479E-2</v>
      </c>
      <c r="H389" s="6">
        <v>8.8761691050803393E-2</v>
      </c>
      <c r="I389" s="6">
        <v>8.4435956938874179E-2</v>
      </c>
      <c r="J389" s="6">
        <v>4.7526238316572496E-2</v>
      </c>
      <c r="K389" s="6">
        <v>9.9309764127672326E-2</v>
      </c>
      <c r="L389" s="6">
        <v>5.0414219856278482E-2</v>
      </c>
      <c r="M389" s="6">
        <v>0.10124619305162462</v>
      </c>
      <c r="N389" s="6">
        <v>4.083349201092807E-2</v>
      </c>
      <c r="O389" s="6">
        <v>0.15992737782161165</v>
      </c>
      <c r="P389" s="6">
        <v>0.14869852830445077</v>
      </c>
      <c r="Q389" s="6">
        <v>6.0844589281159253E-3</v>
      </c>
      <c r="S389" s="6">
        <f t="shared" si="28"/>
        <v>5.791193607494154E-3</v>
      </c>
      <c r="T389" s="6">
        <f t="shared" si="29"/>
        <v>0.13705686062371064</v>
      </c>
      <c r="U389" s="6">
        <f t="shared" si="30"/>
        <v>6.6891465739952277E-2</v>
      </c>
      <c r="V389" s="6">
        <f t="shared" si="31"/>
        <v>3.9712214324740369E-2</v>
      </c>
      <c r="W389" s="6">
        <f t="shared" si="32"/>
        <v>8.7904913238192606E-2</v>
      </c>
      <c r="X389" s="6">
        <f t="shared" si="33"/>
        <v>8.2956317217644543E-2</v>
      </c>
      <c r="Y389" s="6">
        <f t="shared" si="34"/>
        <v>4.3660651006376568E-2</v>
      </c>
      <c r="Z389" s="6">
        <f t="shared" si="35"/>
        <v>0.10744864566350253</v>
      </c>
      <c r="AA389" s="6">
        <f t="shared" si="36"/>
        <v>4.5145534513745526E-2</v>
      </c>
      <c r="AB389" s="6">
        <f t="shared" si="37"/>
        <v>9.8992069680384168E-2</v>
      </c>
      <c r="AC389" s="6">
        <f t="shared" si="38"/>
        <v>3.6674738251082674E-2</v>
      </c>
      <c r="AD389" s="6">
        <f t="shared" si="39"/>
        <v>0.14765002614417058</v>
      </c>
      <c r="AE389" s="6">
        <f t="shared" si="40"/>
        <v>0.15176959495277703</v>
      </c>
      <c r="AF389" s="6">
        <f t="shared" si="41"/>
        <v>9.6121602525614767E-3</v>
      </c>
    </row>
    <row r="390" spans="4:32" x14ac:dyDescent="0.3">
      <c r="D390" s="6">
        <v>2.5295335821680285E-2</v>
      </c>
      <c r="E390" s="6">
        <v>-2.6373285254889738E-2</v>
      </c>
      <c r="F390" s="6">
        <v>1.081016694430483E-2</v>
      </c>
      <c r="G390" s="6">
        <v>3.8191839849758755E-2</v>
      </c>
      <c r="H390" s="6">
        <v>3.3981158274386788E-2</v>
      </c>
      <c r="I390" s="6">
        <v>2.7032247193405221E-2</v>
      </c>
      <c r="J390" s="6">
        <v>6.7670405913557732E-2</v>
      </c>
      <c r="K390" s="6">
        <v>5.4177785701810838E-2</v>
      </c>
      <c r="L390" s="6">
        <v>0.14595248333802965</v>
      </c>
      <c r="M390" s="6">
        <v>4.2270806490672171E-2</v>
      </c>
      <c r="N390" s="6">
        <v>1.9943291773761983E-2</v>
      </c>
      <c r="O390" s="6">
        <v>4.424406175699961E-2</v>
      </c>
      <c r="P390" s="6">
        <v>1.765024919212746E-2</v>
      </c>
      <c r="Q390" s="6">
        <v>-8.8809952551221788E-4</v>
      </c>
      <c r="S390" s="6">
        <f t="shared" si="28"/>
        <v>2.3507317833870351E-2</v>
      </c>
      <c r="T390" s="6">
        <f t="shared" si="29"/>
        <v>-3.6202761751334231E-2</v>
      </c>
      <c r="U390" s="6">
        <f t="shared" si="30"/>
        <v>8.2508127980951036E-3</v>
      </c>
      <c r="V390" s="6">
        <f t="shared" si="31"/>
        <v>3.5482491514287645E-2</v>
      </c>
      <c r="W390" s="6">
        <f t="shared" si="32"/>
        <v>3.3124380461776001E-2</v>
      </c>
      <c r="X390" s="6">
        <f t="shared" si="33"/>
        <v>2.5552607472175588E-2</v>
      </c>
      <c r="Y390" s="6">
        <f t="shared" si="34"/>
        <v>6.3804818603361804E-2</v>
      </c>
      <c r="Z390" s="6">
        <f t="shared" si="35"/>
        <v>6.2316667237641038E-2</v>
      </c>
      <c r="AA390" s="6">
        <f t="shared" si="36"/>
        <v>0.14068379799549671</v>
      </c>
      <c r="AB390" s="6">
        <f t="shared" si="37"/>
        <v>4.0016683119431726E-2</v>
      </c>
      <c r="AC390" s="6">
        <f t="shared" si="38"/>
        <v>1.5784538013916591E-2</v>
      </c>
      <c r="AD390" s="6">
        <f t="shared" si="39"/>
        <v>3.1966710079558536E-2</v>
      </c>
      <c r="AE390" s="6">
        <f t="shared" si="40"/>
        <v>2.0721315840453718E-2</v>
      </c>
      <c r="AF390" s="6">
        <f t="shared" si="41"/>
        <v>2.6396017989333341E-3</v>
      </c>
    </row>
    <row r="391" spans="4:32" x14ac:dyDescent="0.3">
      <c r="D391" s="6">
        <v>-1.798285534723234E-3</v>
      </c>
      <c r="E391" s="6">
        <v>4.5500687519033384E-2</v>
      </c>
      <c r="F391" s="6">
        <v>-1.6796604733708493E-2</v>
      </c>
      <c r="G391" s="6">
        <v>2.1982056845773717E-3</v>
      </c>
      <c r="H391" s="6">
        <v>8.912875600524553E-2</v>
      </c>
      <c r="I391" s="6">
        <v>-1.9127489908256093E-2</v>
      </c>
      <c r="J391" s="6">
        <v>1.0649425981054665E-2</v>
      </c>
      <c r="K391" s="6">
        <v>7.8434066628033136E-2</v>
      </c>
      <c r="L391" s="6">
        <v>-4.7780169133549689E-2</v>
      </c>
      <c r="M391" s="6">
        <v>0.11714918334888243</v>
      </c>
      <c r="N391" s="6">
        <v>2.4184490880992608E-2</v>
      </c>
      <c r="O391" s="6">
        <v>-9.7245498919947444E-3</v>
      </c>
      <c r="P391" s="6">
        <v>-2.140612215193282E-2</v>
      </c>
      <c r="Q391" s="6">
        <v>2.9473974782701227E-2</v>
      </c>
      <c r="S391" s="6">
        <f t="shared" si="28"/>
        <v>-3.5863035225331677E-3</v>
      </c>
      <c r="T391" s="6">
        <f t="shared" si="29"/>
        <v>3.5671211022588883E-2</v>
      </c>
      <c r="U391" s="6">
        <f t="shared" si="30"/>
        <v>-1.9355958879918221E-2</v>
      </c>
      <c r="V391" s="6">
        <f t="shared" si="31"/>
        <v>-5.1114265089373476E-4</v>
      </c>
      <c r="W391" s="6">
        <f t="shared" si="32"/>
        <v>8.8271978192634742E-2</v>
      </c>
      <c r="X391" s="6">
        <f t="shared" si="33"/>
        <v>-2.0607129629485726E-2</v>
      </c>
      <c r="Y391" s="6">
        <f t="shared" si="34"/>
        <v>6.7838386708587353E-3</v>
      </c>
      <c r="Z391" s="6">
        <f t="shared" si="35"/>
        <v>8.6572948163863336E-2</v>
      </c>
      <c r="AA391" s="6">
        <f t="shared" si="36"/>
        <v>-5.3048854476082645E-2</v>
      </c>
      <c r="AB391" s="6">
        <f t="shared" si="37"/>
        <v>0.11489505997764198</v>
      </c>
      <c r="AC391" s="6">
        <f t="shared" si="38"/>
        <v>2.0025737121147216E-2</v>
      </c>
      <c r="AD391" s="6">
        <f t="shared" si="39"/>
        <v>-2.2001901569435822E-2</v>
      </c>
      <c r="AE391" s="6">
        <f t="shared" si="40"/>
        <v>-1.8335055503606562E-2</v>
      </c>
      <c r="AF391" s="6">
        <f t="shared" si="41"/>
        <v>3.3001676107146778E-2</v>
      </c>
    </row>
    <row r="392" spans="4:32" x14ac:dyDescent="0.3">
      <c r="D392" s="6">
        <v>-4.3555800396549915E-3</v>
      </c>
      <c r="E392" s="6">
        <v>2.8582653789479846E-2</v>
      </c>
      <c r="F392" s="6">
        <v>-2.8340442831758256E-2</v>
      </c>
      <c r="G392" s="6">
        <v>1.8791526037102952E-2</v>
      </c>
      <c r="H392" s="6">
        <v>-4.066843186639052E-2</v>
      </c>
      <c r="I392" s="6">
        <v>-7.7975186791482722E-3</v>
      </c>
      <c r="J392" s="6">
        <v>4.914596797088764E-2</v>
      </c>
      <c r="K392" s="6">
        <v>-6.4605670029439059E-3</v>
      </c>
      <c r="L392" s="6">
        <v>2.2073202006057967E-2</v>
      </c>
      <c r="M392" s="6">
        <v>-0.11233978991446893</v>
      </c>
      <c r="N392" s="6">
        <v>-1.9596707904973497E-2</v>
      </c>
      <c r="O392" s="6">
        <v>8.25452114820375E-2</v>
      </c>
      <c r="P392" s="6">
        <v>1.9694582006651674E-2</v>
      </c>
      <c r="Q392" s="6">
        <v>-1.2879130339905936E-2</v>
      </c>
      <c r="S392" s="6">
        <f t="shared" si="28"/>
        <v>-6.1435980274649254E-3</v>
      </c>
      <c r="T392" s="6">
        <f t="shared" si="29"/>
        <v>1.8753177293035349E-2</v>
      </c>
      <c r="U392" s="6">
        <f t="shared" si="30"/>
        <v>-3.0899796977967985E-2</v>
      </c>
      <c r="V392" s="6">
        <f t="shared" si="31"/>
        <v>1.6082177701631846E-2</v>
      </c>
      <c r="W392" s="6">
        <f t="shared" si="32"/>
        <v>-4.1525209679001307E-2</v>
      </c>
      <c r="X392" s="6">
        <f t="shared" si="33"/>
        <v>-9.2771584003779051E-3</v>
      </c>
      <c r="Y392" s="6">
        <f t="shared" si="34"/>
        <v>4.5280380660691712E-2</v>
      </c>
      <c r="Z392" s="6">
        <f t="shared" si="35"/>
        <v>1.6783145328862908E-3</v>
      </c>
      <c r="AA392" s="6">
        <f t="shared" si="36"/>
        <v>1.6804516663525011E-2</v>
      </c>
      <c r="AB392" s="6">
        <f t="shared" si="37"/>
        <v>-0.11459391328570938</v>
      </c>
      <c r="AC392" s="6">
        <f t="shared" si="38"/>
        <v>-2.3755461664818889E-2</v>
      </c>
      <c r="AD392" s="6">
        <f t="shared" si="39"/>
        <v>7.0267859804596419E-2</v>
      </c>
      <c r="AE392" s="6">
        <f t="shared" si="40"/>
        <v>2.2765648654977932E-2</v>
      </c>
      <c r="AF392" s="6">
        <f t="shared" si="41"/>
        <v>-9.3514290154603844E-3</v>
      </c>
    </row>
    <row r="393" spans="4:32" x14ac:dyDescent="0.3">
      <c r="D393" s="6">
        <v>3.3014226090540026E-3</v>
      </c>
      <c r="E393" s="6">
        <v>7.6118666063328996E-2</v>
      </c>
      <c r="F393" s="6">
        <v>6.2471469390381002E-4</v>
      </c>
      <c r="G393" s="6">
        <v>-2.3131518790155292E-2</v>
      </c>
      <c r="H393" s="6">
        <v>-0.13820365617430636</v>
      </c>
      <c r="I393" s="6">
        <v>1.230932335501468E-2</v>
      </c>
      <c r="J393" s="6">
        <v>-1.0102203310802539E-2</v>
      </c>
      <c r="K393" s="6">
        <v>3.0098031157279565E-2</v>
      </c>
      <c r="L393" s="6">
        <v>9.1401648068875171E-2</v>
      </c>
      <c r="M393" s="6">
        <v>3.1503656299620909E-2</v>
      </c>
      <c r="N393" s="6">
        <v>0.15045125364282638</v>
      </c>
      <c r="O393" s="6">
        <v>8.3861373863444999E-2</v>
      </c>
      <c r="P393" s="6">
        <v>3.2156277648951868E-2</v>
      </c>
      <c r="Q393" s="6">
        <v>2.8995859421949866E-2</v>
      </c>
      <c r="S393" s="6">
        <f t="shared" si="28"/>
        <v>1.5134046212440689E-3</v>
      </c>
      <c r="T393" s="6">
        <f t="shared" si="29"/>
        <v>6.6289189566884496E-2</v>
      </c>
      <c r="U393" s="6">
        <f t="shared" si="30"/>
        <v>-1.9346394523059168E-3</v>
      </c>
      <c r="V393" s="6">
        <f t="shared" si="31"/>
        <v>-2.5840867125626398E-2</v>
      </c>
      <c r="W393" s="6">
        <f t="shared" si="32"/>
        <v>-0.13906043398691714</v>
      </c>
      <c r="X393" s="6">
        <f t="shared" si="33"/>
        <v>1.0829683633785048E-2</v>
      </c>
      <c r="Y393" s="6">
        <f t="shared" si="34"/>
        <v>-1.3967790620998469E-2</v>
      </c>
      <c r="Z393" s="6">
        <f t="shared" si="35"/>
        <v>3.8236912693109762E-2</v>
      </c>
      <c r="AA393" s="6">
        <f t="shared" si="36"/>
        <v>8.6132962726342216E-2</v>
      </c>
      <c r="AB393" s="6">
        <f t="shared" si="37"/>
        <v>2.9249532928380464E-2</v>
      </c>
      <c r="AC393" s="6">
        <f t="shared" si="38"/>
        <v>0.14629249988298099</v>
      </c>
      <c r="AD393" s="6">
        <f t="shared" si="39"/>
        <v>7.1584022186003918E-2</v>
      </c>
      <c r="AE393" s="6">
        <f t="shared" si="40"/>
        <v>3.5227344297278126E-2</v>
      </c>
      <c r="AF393" s="6">
        <f t="shared" si="41"/>
        <v>3.2523560746395418E-2</v>
      </c>
    </row>
    <row r="394" spans="4:32" x14ac:dyDescent="0.3">
      <c r="D394" s="6">
        <v>3.2215519681507911E-2</v>
      </c>
      <c r="E394" s="6">
        <v>2.3461486678997966E-2</v>
      </c>
      <c r="F394" s="6">
        <v>4.4099390805260145E-3</v>
      </c>
      <c r="G394" s="6">
        <v>1.1020634189564096E-3</v>
      </c>
      <c r="H394" s="6">
        <v>1.3227102763830515E-2</v>
      </c>
      <c r="I394" s="6">
        <v>8.9992330257574241E-4</v>
      </c>
      <c r="J394" s="6">
        <v>-2.3114487352164984E-2</v>
      </c>
      <c r="K394" s="6">
        <v>-5.9221742879247662E-2</v>
      </c>
      <c r="L394" s="6">
        <v>-3.1920979136775926E-2</v>
      </c>
      <c r="M394" s="6">
        <v>0.22194087805806614</v>
      </c>
      <c r="N394" s="6">
        <v>-8.682186939296653E-2</v>
      </c>
      <c r="O394" s="6">
        <v>-1.2488598945685018E-2</v>
      </c>
      <c r="P394" s="6">
        <v>2.1460051019769069E-2</v>
      </c>
      <c r="Q394" s="6">
        <v>-2.2662899218263027E-3</v>
      </c>
      <c r="S394" s="6">
        <f t="shared" si="28"/>
        <v>3.0427501693697977E-2</v>
      </c>
      <c r="T394" s="6">
        <f t="shared" si="29"/>
        <v>1.3632010182553469E-2</v>
      </c>
      <c r="U394" s="6">
        <f t="shared" si="30"/>
        <v>1.8505849343162877E-3</v>
      </c>
      <c r="V394" s="6">
        <f t="shared" si="31"/>
        <v>-1.6072849165146969E-3</v>
      </c>
      <c r="W394" s="6">
        <f t="shared" si="32"/>
        <v>1.2370324951219727E-2</v>
      </c>
      <c r="X394" s="6">
        <f t="shared" si="33"/>
        <v>-5.7971641865388964E-4</v>
      </c>
      <c r="Y394" s="6">
        <f t="shared" si="34"/>
        <v>-2.6980074662360912E-2</v>
      </c>
      <c r="Z394" s="6">
        <f t="shared" si="35"/>
        <v>-5.1082861343417468E-2</v>
      </c>
      <c r="AA394" s="6">
        <f t="shared" si="36"/>
        <v>-3.7189664479308882E-2</v>
      </c>
      <c r="AB394" s="6">
        <f t="shared" si="37"/>
        <v>0.21968675468682569</v>
      </c>
      <c r="AC394" s="6">
        <f t="shared" si="38"/>
        <v>-9.0980623152811926E-2</v>
      </c>
      <c r="AD394" s="6">
        <f t="shared" si="39"/>
        <v>-2.4765950623126094E-2</v>
      </c>
      <c r="AE394" s="6">
        <f t="shared" si="40"/>
        <v>2.4531117668095327E-2</v>
      </c>
      <c r="AF394" s="6">
        <f t="shared" si="41"/>
        <v>1.2614114026192492E-3</v>
      </c>
    </row>
    <row r="395" spans="4:32" x14ac:dyDescent="0.3">
      <c r="D395" s="6">
        <v>-1.5394485106578612E-2</v>
      </c>
      <c r="E395" s="6">
        <v>2.5328677490434021E-2</v>
      </c>
      <c r="F395" s="6">
        <v>2.3609467067534553E-2</v>
      </c>
      <c r="G395" s="6">
        <v>1.1256926196173668E-2</v>
      </c>
      <c r="H395" s="6">
        <v>0.19861313671538541</v>
      </c>
      <c r="I395" s="6">
        <v>-6.1568051816173535E-3</v>
      </c>
      <c r="J395" s="6">
        <v>-5.6013784557495082E-3</v>
      </c>
      <c r="K395" s="6">
        <v>-3.8204439973858815E-3</v>
      </c>
      <c r="L395" s="6">
        <v>-3.1209042714046401E-2</v>
      </c>
      <c r="M395" s="6">
        <v>-7.1376554462285247E-2</v>
      </c>
      <c r="N395" s="6">
        <v>-1.9645994793604665E-2</v>
      </c>
      <c r="O395" s="6">
        <v>4.3044331305158584E-2</v>
      </c>
      <c r="P395" s="6">
        <v>-6.1819603038101766E-2</v>
      </c>
      <c r="Q395" s="6">
        <v>2.948170208840737E-2</v>
      </c>
      <c r="S395" s="6">
        <f t="shared" si="28"/>
        <v>-1.7182503094388544E-2</v>
      </c>
      <c r="T395" s="6">
        <f t="shared" si="29"/>
        <v>1.5499200993989524E-2</v>
      </c>
      <c r="U395" s="6">
        <f t="shared" si="30"/>
        <v>2.1050112921324825E-2</v>
      </c>
      <c r="V395" s="6">
        <f t="shared" si="31"/>
        <v>8.547577860702562E-3</v>
      </c>
      <c r="W395" s="6">
        <f t="shared" si="32"/>
        <v>0.19775635890277463</v>
      </c>
      <c r="X395" s="6">
        <f t="shared" si="33"/>
        <v>-7.6364449028469856E-3</v>
      </c>
      <c r="Y395" s="6">
        <f t="shared" si="34"/>
        <v>-9.4669657659454381E-3</v>
      </c>
      <c r="Z395" s="6">
        <f t="shared" si="35"/>
        <v>4.3184375384443148E-3</v>
      </c>
      <c r="AA395" s="6">
        <f t="shared" si="36"/>
        <v>-3.6477728056579353E-2</v>
      </c>
      <c r="AB395" s="6">
        <f t="shared" si="37"/>
        <v>-7.3630677833525698E-2</v>
      </c>
      <c r="AC395" s="6">
        <f t="shared" si="38"/>
        <v>-2.3804748553450057E-2</v>
      </c>
      <c r="AD395" s="6">
        <f t="shared" si="39"/>
        <v>3.0766979627717506E-2</v>
      </c>
      <c r="AE395" s="6">
        <f t="shared" si="40"/>
        <v>-5.8748536389775508E-2</v>
      </c>
      <c r="AF395" s="6">
        <f t="shared" si="41"/>
        <v>3.3009403412852925E-2</v>
      </c>
    </row>
    <row r="396" spans="4:32" x14ac:dyDescent="0.3">
      <c r="D396" s="6">
        <v>-3.7422926484739362E-2</v>
      </c>
      <c r="E396" s="6">
        <v>-4.4349002169463948E-2</v>
      </c>
      <c r="F396" s="6">
        <v>-4.2414409702738291E-2</v>
      </c>
      <c r="G396" s="6">
        <v>3.5777526357158744E-2</v>
      </c>
      <c r="H396" s="6">
        <v>-7.8044878024436187E-2</v>
      </c>
      <c r="I396" s="6">
        <v>5.2376134407314888E-2</v>
      </c>
      <c r="J396" s="6">
        <v>-1.0680470868656745E-2</v>
      </c>
      <c r="K396" s="6">
        <v>0.18152379049715689</v>
      </c>
      <c r="L396" s="6">
        <v>8.3147476959898759E-3</v>
      </c>
      <c r="M396" s="6">
        <v>-0.11437488200931507</v>
      </c>
      <c r="N396" s="6">
        <v>-5.7946878043583609E-2</v>
      </c>
      <c r="O396" s="6">
        <v>-6.7783489079275464E-2</v>
      </c>
      <c r="P396" s="6">
        <v>-0.13598272355587571</v>
      </c>
      <c r="Q396" s="6">
        <v>4.0078223567410524E-2</v>
      </c>
      <c r="S396" s="6">
        <f t="shared" si="28"/>
        <v>-3.9210944472549296E-2</v>
      </c>
      <c r="T396" s="6">
        <f t="shared" si="29"/>
        <v>-5.4178478665908442E-2</v>
      </c>
      <c r="U396" s="6">
        <f t="shared" si="30"/>
        <v>-4.4973763848948016E-2</v>
      </c>
      <c r="V396" s="6">
        <f t="shared" si="31"/>
        <v>3.3068178021687634E-2</v>
      </c>
      <c r="W396" s="6">
        <f t="shared" si="32"/>
        <v>-7.8901655837046974E-2</v>
      </c>
      <c r="X396" s="6">
        <f t="shared" si="33"/>
        <v>5.0896494686085259E-2</v>
      </c>
      <c r="Y396" s="6">
        <f t="shared" si="34"/>
        <v>-1.4546058178852675E-2</v>
      </c>
      <c r="Z396" s="6">
        <f t="shared" si="35"/>
        <v>0.18966267203298709</v>
      </c>
      <c r="AA396" s="6">
        <f t="shared" si="36"/>
        <v>3.0460623534569221E-3</v>
      </c>
      <c r="AB396" s="6">
        <f t="shared" si="37"/>
        <v>-0.11662900538055553</v>
      </c>
      <c r="AC396" s="6">
        <f t="shared" si="38"/>
        <v>-6.2105631803429005E-2</v>
      </c>
      <c r="AD396" s="6">
        <f t="shared" si="39"/>
        <v>-8.0060840756716545E-2</v>
      </c>
      <c r="AE396" s="6">
        <f t="shared" si="40"/>
        <v>-0.13291165690754944</v>
      </c>
      <c r="AF396" s="6">
        <f t="shared" si="41"/>
        <v>4.3605924891856079E-2</v>
      </c>
    </row>
    <row r="397" spans="4:32" x14ac:dyDescent="0.3">
      <c r="D397" s="6">
        <v>1.8005687947755061E-2</v>
      </c>
      <c r="E397" s="6">
        <v>8.6475783067821915E-2</v>
      </c>
      <c r="F397" s="6">
        <v>2.9224925102625973E-2</v>
      </c>
      <c r="G397" s="6">
        <v>4.0389885295007026E-2</v>
      </c>
      <c r="H397" s="6">
        <v>0.25475367468111143</v>
      </c>
      <c r="I397" s="6">
        <v>5.0489657254678591E-2</v>
      </c>
      <c r="J397" s="6">
        <v>3.8361815813333922E-2</v>
      </c>
      <c r="K397" s="6">
        <v>-4.2386132816084679E-2</v>
      </c>
      <c r="L397" s="6">
        <v>8.5021803018383857E-2</v>
      </c>
      <c r="M397" s="6">
        <v>0.39232875071113965</v>
      </c>
      <c r="N397" s="6">
        <v>-1.6656727589421282E-2</v>
      </c>
      <c r="O397" s="6">
        <v>0.33138160228265956</v>
      </c>
      <c r="P397" s="6">
        <v>0.11653077211128754</v>
      </c>
      <c r="Q397" s="6">
        <v>7.4655819034779219E-2</v>
      </c>
      <c r="S397" s="6">
        <f t="shared" si="28"/>
        <v>1.6217669959945127E-2</v>
      </c>
      <c r="T397" s="6">
        <f t="shared" si="29"/>
        <v>7.6646306571377415E-2</v>
      </c>
      <c r="U397" s="6">
        <f t="shared" si="30"/>
        <v>2.6665570956416244E-2</v>
      </c>
      <c r="V397" s="6">
        <f t="shared" si="31"/>
        <v>3.7680536959535917E-2</v>
      </c>
      <c r="W397" s="6">
        <f t="shared" si="32"/>
        <v>0.25389689686850064</v>
      </c>
      <c r="X397" s="6">
        <f t="shared" si="33"/>
        <v>4.9010017533448962E-2</v>
      </c>
      <c r="Y397" s="6">
        <f t="shared" si="34"/>
        <v>3.4496228503137993E-2</v>
      </c>
      <c r="Z397" s="6">
        <f t="shared" si="35"/>
        <v>-3.4247251280254479E-2</v>
      </c>
      <c r="AA397" s="6">
        <f t="shared" si="36"/>
        <v>7.9753117675850901E-2</v>
      </c>
      <c r="AB397" s="6">
        <f t="shared" si="37"/>
        <v>0.39007462733989923</v>
      </c>
      <c r="AC397" s="6">
        <f t="shared" si="38"/>
        <v>-2.0815481349266675E-2</v>
      </c>
      <c r="AD397" s="6">
        <f t="shared" si="39"/>
        <v>0.31910425060521846</v>
      </c>
      <c r="AE397" s="6">
        <f t="shared" si="40"/>
        <v>0.11960183875961379</v>
      </c>
      <c r="AF397" s="6">
        <f t="shared" si="41"/>
        <v>7.8183520359224767E-2</v>
      </c>
    </row>
    <row r="398" spans="4:32" x14ac:dyDescent="0.3">
      <c r="D398" s="6">
        <v>-8.6733882961758553E-3</v>
      </c>
      <c r="E398" s="6">
        <v>-3.9022940934756778E-2</v>
      </c>
      <c r="F398" s="6">
        <v>-1.8005596641390301E-2</v>
      </c>
      <c r="G398" s="6">
        <v>-3.3408648028362915E-2</v>
      </c>
      <c r="H398" s="6">
        <v>-1.5577783004996771E-3</v>
      </c>
      <c r="I398" s="6">
        <v>-2.7120141149262408E-2</v>
      </c>
      <c r="J398" s="6">
        <v>-6.1694186028579158E-2</v>
      </c>
      <c r="K398" s="6">
        <v>-0.12488563497387067</v>
      </c>
      <c r="L398" s="6">
        <v>2.0157255871019374E-2</v>
      </c>
      <c r="M398" s="6">
        <v>0.12193583493093371</v>
      </c>
      <c r="N398" s="6">
        <v>1.6656727589421345E-2</v>
      </c>
      <c r="O398" s="6">
        <v>0.11901916501781334</v>
      </c>
      <c r="P398" s="6">
        <v>-6.9409028045245541E-2</v>
      </c>
      <c r="Q398" s="6">
        <v>-3.9360444419652731E-3</v>
      </c>
      <c r="S398" s="6">
        <f t="shared" si="28"/>
        <v>-1.0461406283985789E-2</v>
      </c>
      <c r="T398" s="6">
        <f t="shared" si="29"/>
        <v>-4.8852417431201278E-2</v>
      </c>
      <c r="U398" s="6">
        <f t="shared" si="30"/>
        <v>-2.0564950787600029E-2</v>
      </c>
      <c r="V398" s="6">
        <f t="shared" si="31"/>
        <v>-3.6117996363834025E-2</v>
      </c>
      <c r="W398" s="6">
        <f t="shared" si="32"/>
        <v>-2.4145561131104667E-3</v>
      </c>
      <c r="X398" s="6">
        <f t="shared" si="33"/>
        <v>-2.8599780870492041E-2</v>
      </c>
      <c r="Y398" s="6">
        <f t="shared" si="34"/>
        <v>-6.5559773338775093E-2</v>
      </c>
      <c r="Z398" s="6">
        <f t="shared" si="35"/>
        <v>-0.11674675343804047</v>
      </c>
      <c r="AA398" s="6">
        <f t="shared" si="36"/>
        <v>1.488857052848642E-2</v>
      </c>
      <c r="AB398" s="6">
        <f t="shared" si="37"/>
        <v>0.11968171155969326</v>
      </c>
      <c r="AC398" s="6">
        <f t="shared" si="38"/>
        <v>1.2497973829575952E-2</v>
      </c>
      <c r="AD398" s="6">
        <f t="shared" si="39"/>
        <v>0.10674181334037226</v>
      </c>
      <c r="AE398" s="6">
        <f t="shared" si="40"/>
        <v>-6.633796139691929E-2</v>
      </c>
      <c r="AF398" s="6">
        <f t="shared" si="41"/>
        <v>-4.083431175197212E-4</v>
      </c>
    </row>
    <row r="399" spans="4:32" x14ac:dyDescent="0.3">
      <c r="D399" s="6">
        <v>2.1413529531905433E-2</v>
      </c>
      <c r="E399" s="6">
        <v>-2.1131969225961531E-4</v>
      </c>
      <c r="F399" s="6">
        <v>4.8077015681030778E-3</v>
      </c>
      <c r="G399" s="6">
        <v>-4.5849394208657607E-2</v>
      </c>
      <c r="H399" s="6">
        <v>9.4652352199479983E-2</v>
      </c>
      <c r="I399" s="6">
        <v>-2.7470268592904974E-2</v>
      </c>
      <c r="J399" s="6">
        <v>9.0908083715072353E-3</v>
      </c>
      <c r="K399" s="6">
        <v>7.4512203109842787E-2</v>
      </c>
      <c r="L399" s="6">
        <v>0.10025171957971366</v>
      </c>
      <c r="M399" s="6">
        <v>-3.9640340855734459E-3</v>
      </c>
      <c r="N399" s="6">
        <v>-2.4040947836872044E-2</v>
      </c>
      <c r="O399" s="6">
        <v>-2.1826873271124019E-2</v>
      </c>
      <c r="P399" s="6">
        <v>4.7801930670168932E-3</v>
      </c>
      <c r="Q399" s="6">
        <v>5.6774915232279129E-2</v>
      </c>
      <c r="S399" s="6">
        <f t="shared" si="28"/>
        <v>1.96255115440955E-2</v>
      </c>
      <c r="T399" s="6">
        <f t="shared" si="29"/>
        <v>-1.0040796188704113E-2</v>
      </c>
      <c r="U399" s="6">
        <f t="shared" si="30"/>
        <v>2.2483474218933509E-3</v>
      </c>
      <c r="V399" s="6">
        <f t="shared" si="31"/>
        <v>-4.8558742544128716E-2</v>
      </c>
      <c r="W399" s="6">
        <f t="shared" si="32"/>
        <v>9.3795574386869196E-2</v>
      </c>
      <c r="X399" s="6">
        <f t="shared" si="33"/>
        <v>-2.8949908314134607E-2</v>
      </c>
      <c r="Y399" s="6">
        <f t="shared" si="34"/>
        <v>5.2252210613113054E-3</v>
      </c>
      <c r="Z399" s="6">
        <f t="shared" si="35"/>
        <v>8.2651084645672987E-2</v>
      </c>
      <c r="AA399" s="6">
        <f t="shared" si="36"/>
        <v>9.49830342371807E-2</v>
      </c>
      <c r="AB399" s="6">
        <f t="shared" si="37"/>
        <v>-6.2181574568138925E-3</v>
      </c>
      <c r="AC399" s="6">
        <f t="shared" si="38"/>
        <v>-2.8199701596717437E-2</v>
      </c>
      <c r="AD399" s="6">
        <f t="shared" si="39"/>
        <v>-3.4104224948565097E-2</v>
      </c>
      <c r="AE399" s="6">
        <f t="shared" si="40"/>
        <v>7.8512597153431504E-3</v>
      </c>
      <c r="AF399" s="6">
        <f t="shared" si="41"/>
        <v>6.0302616556724684E-2</v>
      </c>
    </row>
    <row r="400" spans="4:32" x14ac:dyDescent="0.3">
      <c r="D400" s="6">
        <v>3.1937645965089051E-2</v>
      </c>
      <c r="E400" s="6">
        <v>-2.6411242516535895E-2</v>
      </c>
      <c r="F400" s="6">
        <v>1.5372836828988743E-2</v>
      </c>
      <c r="G400" s="6">
        <v>2.5112943592418991E-2</v>
      </c>
      <c r="H400" s="6">
        <v>-2.1212742893624719E-2</v>
      </c>
      <c r="I400" s="6">
        <v>5.3196413313867777E-2</v>
      </c>
      <c r="J400" s="6">
        <v>2.6786843242608636E-2</v>
      </c>
      <c r="K400" s="6">
        <v>3.3580425981406765E-2</v>
      </c>
      <c r="L400" s="6">
        <v>-7.3240468773888248E-2</v>
      </c>
      <c r="M400" s="6">
        <v>-2.8095849769302041E-2</v>
      </c>
      <c r="N400" s="6">
        <v>6.273109022027613E-3</v>
      </c>
      <c r="O400" s="6">
        <v>4.1549002912872481E-2</v>
      </c>
      <c r="P400" s="6">
        <v>-2.4596699082397415E-3</v>
      </c>
      <c r="Q400" s="6">
        <v>-3.7852297276504923E-2</v>
      </c>
      <c r="S400" s="6">
        <f t="shared" si="28"/>
        <v>3.0149627977279117E-2</v>
      </c>
      <c r="T400" s="6">
        <f t="shared" si="29"/>
        <v>-3.6240719012980392E-2</v>
      </c>
      <c r="U400" s="6">
        <f t="shared" si="30"/>
        <v>1.2813482682779017E-2</v>
      </c>
      <c r="V400" s="6">
        <f t="shared" si="31"/>
        <v>2.2403595256947885E-2</v>
      </c>
      <c r="W400" s="6">
        <f t="shared" si="32"/>
        <v>-2.206952070623551E-2</v>
      </c>
      <c r="X400" s="6">
        <f t="shared" si="33"/>
        <v>5.1716773592638147E-2</v>
      </c>
      <c r="Y400" s="6">
        <f t="shared" si="34"/>
        <v>2.2921255932412708E-2</v>
      </c>
      <c r="Z400" s="6">
        <f t="shared" si="35"/>
        <v>4.1719307517236959E-2</v>
      </c>
      <c r="AA400" s="6">
        <f t="shared" si="36"/>
        <v>-7.8509154116421204E-2</v>
      </c>
      <c r="AB400" s="6">
        <f t="shared" si="37"/>
        <v>-3.034997314054249E-2</v>
      </c>
      <c r="AC400" s="6">
        <f t="shared" si="38"/>
        <v>2.1143552621822196E-3</v>
      </c>
      <c r="AD400" s="6">
        <f t="shared" si="39"/>
        <v>2.9271651235431403E-2</v>
      </c>
      <c r="AE400" s="6">
        <f t="shared" si="40"/>
        <v>6.113967400865161E-4</v>
      </c>
      <c r="AF400" s="6">
        <f t="shared" si="41"/>
        <v>-3.4324595952059368E-2</v>
      </c>
    </row>
    <row r="401" spans="4:32" x14ac:dyDescent="0.3">
      <c r="D401" s="6">
        <v>2.2951212560818574E-2</v>
      </c>
      <c r="E401" s="6">
        <v>2.9857218007132806E-2</v>
      </c>
      <c r="F401" s="6">
        <v>4.639656606737326E-2</v>
      </c>
      <c r="G401" s="6">
        <v>3.3524643326054357E-2</v>
      </c>
      <c r="H401" s="6">
        <v>0.12013665881291236</v>
      </c>
      <c r="I401" s="6">
        <v>8.807307368051126E-2</v>
      </c>
      <c r="J401" s="6">
        <v>8.2594978411714093E-2</v>
      </c>
      <c r="K401" s="6">
        <v>5.1970457101762402E-2</v>
      </c>
      <c r="L401" s="6">
        <v>5.5324525620661237E-2</v>
      </c>
      <c r="M401" s="6">
        <v>0.14850149380012254</v>
      </c>
      <c r="N401" s="6">
        <v>-8.5092959599970708E-2</v>
      </c>
      <c r="O401" s="6">
        <v>0.12931111036207568</v>
      </c>
      <c r="P401" s="6">
        <v>0.19770315811911487</v>
      </c>
      <c r="Q401" s="6">
        <v>4.1803493584913233E-2</v>
      </c>
      <c r="S401" s="6">
        <f t="shared" si="28"/>
        <v>2.116319457300864E-2</v>
      </c>
      <c r="T401" s="6">
        <f t="shared" si="29"/>
        <v>2.0027741510688309E-2</v>
      </c>
      <c r="U401" s="6">
        <f t="shared" si="30"/>
        <v>4.3837211921163535E-2</v>
      </c>
      <c r="V401" s="6">
        <f t="shared" si="31"/>
        <v>3.0815294990583251E-2</v>
      </c>
      <c r="W401" s="6">
        <f t="shared" si="32"/>
        <v>0.11927988100030157</v>
      </c>
      <c r="X401" s="6">
        <f t="shared" si="33"/>
        <v>8.6593433959281624E-2</v>
      </c>
      <c r="Y401" s="6">
        <f t="shared" si="34"/>
        <v>7.8729391101518165E-2</v>
      </c>
      <c r="Z401" s="6">
        <f t="shared" si="35"/>
        <v>6.0109338637592602E-2</v>
      </c>
      <c r="AA401" s="6">
        <f t="shared" si="36"/>
        <v>5.0055840278128282E-2</v>
      </c>
      <c r="AB401" s="6">
        <f t="shared" si="37"/>
        <v>0.14624737042888208</v>
      </c>
      <c r="AC401" s="6">
        <f t="shared" si="38"/>
        <v>-8.9251713359816104E-2</v>
      </c>
      <c r="AD401" s="6">
        <f t="shared" si="39"/>
        <v>0.1170337586846346</v>
      </c>
      <c r="AE401" s="6">
        <f t="shared" si="40"/>
        <v>0.20077422476744114</v>
      </c>
      <c r="AF401" s="6">
        <f t="shared" si="41"/>
        <v>4.5331194909358788E-2</v>
      </c>
    </row>
    <row r="402" spans="4:32" x14ac:dyDescent="0.3">
      <c r="D402" s="6">
        <v>2.1550012109691326E-2</v>
      </c>
      <c r="E402" s="6">
        <v>-5.9217125020602904E-2</v>
      </c>
      <c r="F402" s="6">
        <v>8.3068144132540205E-3</v>
      </c>
      <c r="G402" s="6">
        <v>8.2948798215992853E-2</v>
      </c>
      <c r="H402" s="6">
        <v>0.114024890740485</v>
      </c>
      <c r="I402" s="6">
        <v>1.8922314167646639E-3</v>
      </c>
      <c r="J402" s="6">
        <v>-5.4978757910612132E-3</v>
      </c>
      <c r="K402" s="6">
        <v>-9.5229797183004214E-2</v>
      </c>
      <c r="L402" s="6">
        <v>6.4606928012681765E-3</v>
      </c>
      <c r="M402" s="6">
        <v>-0.10109487849277794</v>
      </c>
      <c r="N402" s="6">
        <v>-9.7840235012267573E-2</v>
      </c>
      <c r="O402" s="6">
        <v>-3.543078307873997E-3</v>
      </c>
      <c r="P402" s="6">
        <v>-1.3524232224142502E-2</v>
      </c>
      <c r="Q402" s="6">
        <v>-2.8588500693793355E-2</v>
      </c>
      <c r="S402" s="6">
        <f t="shared" si="28"/>
        <v>1.9761994121881392E-2</v>
      </c>
      <c r="T402" s="6">
        <f t="shared" si="29"/>
        <v>-6.9046601517047404E-2</v>
      </c>
      <c r="U402" s="6">
        <f t="shared" si="30"/>
        <v>5.747460267044294E-3</v>
      </c>
      <c r="V402" s="6">
        <f t="shared" si="31"/>
        <v>8.0239449880521743E-2</v>
      </c>
      <c r="W402" s="6">
        <f t="shared" si="32"/>
        <v>0.11316811292787421</v>
      </c>
      <c r="X402" s="6">
        <f t="shared" si="33"/>
        <v>4.1259169553503183E-4</v>
      </c>
      <c r="Y402" s="6">
        <f t="shared" si="34"/>
        <v>-9.3634631012571422E-3</v>
      </c>
      <c r="Z402" s="6">
        <f t="shared" si="35"/>
        <v>-8.7090915647174014E-2</v>
      </c>
      <c r="AA402" s="6">
        <f t="shared" si="36"/>
        <v>1.1920074587352227E-3</v>
      </c>
      <c r="AB402" s="6">
        <f t="shared" si="37"/>
        <v>-0.10334900186401839</v>
      </c>
      <c r="AC402" s="6">
        <f t="shared" si="38"/>
        <v>-0.10199898877211297</v>
      </c>
      <c r="AD402" s="6">
        <f t="shared" si="39"/>
        <v>-1.5820429985315076E-2</v>
      </c>
      <c r="AE402" s="6">
        <f t="shared" si="40"/>
        <v>-1.0453165575816244E-2</v>
      </c>
      <c r="AF402" s="6">
        <f t="shared" si="41"/>
        <v>-2.5060799369347804E-2</v>
      </c>
    </row>
    <row r="403" spans="4:32" x14ac:dyDescent="0.3">
      <c r="D403" s="6">
        <v>2.5308740115828361E-2</v>
      </c>
      <c r="E403" s="6">
        <v>3.346350027344173E-3</v>
      </c>
      <c r="F403" s="6">
        <v>-2.4144994992573873E-2</v>
      </c>
      <c r="G403" s="6">
        <v>8.3414695556723317E-3</v>
      </c>
      <c r="H403" s="6">
        <v>-3.5394285851094734E-2</v>
      </c>
      <c r="I403" s="6">
        <v>-1.1229615332297601E-2</v>
      </c>
      <c r="J403" s="6">
        <v>-5.8244728517860424E-2</v>
      </c>
      <c r="K403" s="6">
        <v>7.9260652724207226E-3</v>
      </c>
      <c r="L403" s="6">
        <v>-1.5692288433397907E-2</v>
      </c>
      <c r="M403" s="6">
        <v>-0.10826970242135046</v>
      </c>
      <c r="N403" s="6">
        <v>1.3260595439390142E-2</v>
      </c>
      <c r="O403" s="6">
        <v>5.7224140613773573E-2</v>
      </c>
      <c r="P403" s="6">
        <v>-2.9345546273936603E-2</v>
      </c>
      <c r="Q403" s="6">
        <v>2.1371614522501216E-2</v>
      </c>
      <c r="S403" s="6">
        <f t="shared" si="28"/>
        <v>2.3520722128018427E-2</v>
      </c>
      <c r="T403" s="6">
        <f t="shared" si="29"/>
        <v>-6.4831264691003233E-3</v>
      </c>
      <c r="U403" s="6">
        <f t="shared" si="30"/>
        <v>-2.6704349138783601E-2</v>
      </c>
      <c r="V403" s="6">
        <f t="shared" si="31"/>
        <v>5.6321212202012257E-3</v>
      </c>
      <c r="W403" s="6">
        <f t="shared" si="32"/>
        <v>-3.6251063663705521E-2</v>
      </c>
      <c r="X403" s="6">
        <f t="shared" si="33"/>
        <v>-1.2709255053527234E-2</v>
      </c>
      <c r="Y403" s="6">
        <f t="shared" si="34"/>
        <v>-6.2110315828056352E-2</v>
      </c>
      <c r="Z403" s="6">
        <f t="shared" si="35"/>
        <v>1.6064946808250921E-2</v>
      </c>
      <c r="AA403" s="6">
        <f t="shared" si="36"/>
        <v>-2.0960973775930862E-2</v>
      </c>
      <c r="AB403" s="6">
        <f t="shared" si="37"/>
        <v>-0.11052382579259092</v>
      </c>
      <c r="AC403" s="6">
        <f t="shared" si="38"/>
        <v>9.1018416795447497E-3</v>
      </c>
      <c r="AD403" s="6">
        <f t="shared" si="39"/>
        <v>4.4946788936332499E-2</v>
      </c>
      <c r="AE403" s="6">
        <f t="shared" si="40"/>
        <v>-2.6274479625610345E-2</v>
      </c>
      <c r="AF403" s="6">
        <f t="shared" si="41"/>
        <v>2.4899315846946768E-2</v>
      </c>
    </row>
    <row r="404" spans="4:32" x14ac:dyDescent="0.3">
      <c r="D404" s="6">
        <v>4.3130556196045514E-3</v>
      </c>
      <c r="E404" s="6">
        <v>1.7003832448698949E-2</v>
      </c>
      <c r="F404" s="6">
        <v>-1.4000436264893463E-2</v>
      </c>
      <c r="G404" s="6">
        <v>7.0281675141135366E-3</v>
      </c>
      <c r="H404" s="6">
        <v>2.4862899988415111E-2</v>
      </c>
      <c r="I404" s="6">
        <v>-5.2154262690361558E-3</v>
      </c>
      <c r="J404" s="6">
        <v>2.4573832028983205E-2</v>
      </c>
      <c r="K404" s="6">
        <v>-3.6627586984919781E-2</v>
      </c>
      <c r="L404" s="6">
        <v>-2.0355376020253106E-2</v>
      </c>
      <c r="M404" s="6">
        <v>-4.7766326230091333E-2</v>
      </c>
      <c r="N404" s="6">
        <v>6.564934131150094E-3</v>
      </c>
      <c r="O404" s="6">
        <v>-1.8418111320567261E-2</v>
      </c>
      <c r="P404" s="6">
        <v>-4.5179615971545573E-2</v>
      </c>
      <c r="Q404" s="6">
        <v>-2.1013640650770937E-2</v>
      </c>
      <c r="S404" s="6">
        <f t="shared" si="28"/>
        <v>2.5250376317946174E-3</v>
      </c>
      <c r="T404" s="6">
        <f t="shared" si="29"/>
        <v>7.1743559522544527E-3</v>
      </c>
      <c r="U404" s="6">
        <f t="shared" si="30"/>
        <v>-1.6559790411103191E-2</v>
      </c>
      <c r="V404" s="6">
        <f t="shared" si="31"/>
        <v>4.3188191786424305E-3</v>
      </c>
      <c r="W404" s="6">
        <f t="shared" si="32"/>
        <v>2.400612217580432E-2</v>
      </c>
      <c r="X404" s="6">
        <f t="shared" si="33"/>
        <v>-6.6950659902657878E-3</v>
      </c>
      <c r="Y404" s="6">
        <f t="shared" si="34"/>
        <v>2.0708244718787277E-2</v>
      </c>
      <c r="Z404" s="6">
        <f t="shared" si="35"/>
        <v>-2.8488705449089585E-2</v>
      </c>
      <c r="AA404" s="6">
        <f t="shared" si="36"/>
        <v>-2.5624061362786062E-2</v>
      </c>
      <c r="AB404" s="6">
        <f t="shared" si="37"/>
        <v>-5.0020449601331778E-2</v>
      </c>
      <c r="AC404" s="6">
        <f t="shared" si="38"/>
        <v>2.4061803713047005E-3</v>
      </c>
      <c r="AD404" s="6">
        <f t="shared" si="39"/>
        <v>-3.0695462998008339E-2</v>
      </c>
      <c r="AE404" s="6">
        <f t="shared" si="40"/>
        <v>-4.2108549323219314E-2</v>
      </c>
      <c r="AF404" s="6">
        <f t="shared" si="41"/>
        <v>-1.7485939326325386E-2</v>
      </c>
    </row>
    <row r="405" spans="4:32" x14ac:dyDescent="0.3">
      <c r="D405" s="6">
        <v>-4.9032769596374787E-2</v>
      </c>
      <c r="E405" s="6">
        <v>5.3017957676272764E-2</v>
      </c>
      <c r="F405" s="6">
        <v>-1.6817747762663812E-2</v>
      </c>
      <c r="G405" s="6">
        <v>-5.0448683253868322E-3</v>
      </c>
      <c r="H405" s="6">
        <v>-5.0408486336816029E-2</v>
      </c>
      <c r="I405" s="6">
        <v>1.9645494553435752E-3</v>
      </c>
      <c r="J405" s="6">
        <v>8.0037622975390327E-3</v>
      </c>
      <c r="K405" s="6">
        <v>8.5417751154351768E-2</v>
      </c>
      <c r="L405" s="6">
        <v>1.128847717834683E-2</v>
      </c>
      <c r="M405" s="6">
        <v>1.8420984753385494E-2</v>
      </c>
      <c r="N405" s="6">
        <v>5.5056856003747406E-2</v>
      </c>
      <c r="O405" s="6">
        <v>1.0190690191534436E-2</v>
      </c>
      <c r="P405" s="6">
        <v>4.5333929074922886E-3</v>
      </c>
      <c r="Q405" s="6">
        <v>-1.3452040467279738E-2</v>
      </c>
      <c r="S405" s="6">
        <f t="shared" si="28"/>
        <v>-5.0820787584184721E-2</v>
      </c>
      <c r="T405" s="6">
        <f t="shared" si="29"/>
        <v>4.3188481179828264E-2</v>
      </c>
      <c r="U405" s="6">
        <f t="shared" si="30"/>
        <v>-1.937710190887354E-2</v>
      </c>
      <c r="V405" s="6">
        <f t="shared" si="31"/>
        <v>-7.7542166608579391E-3</v>
      </c>
      <c r="W405" s="6">
        <f t="shared" si="32"/>
        <v>-5.1265264149426816E-2</v>
      </c>
      <c r="X405" s="6">
        <f t="shared" si="33"/>
        <v>4.8490973411394319E-4</v>
      </c>
      <c r="Y405" s="6">
        <f t="shared" si="34"/>
        <v>4.1381749873431028E-3</v>
      </c>
      <c r="Z405" s="6">
        <f t="shared" si="35"/>
        <v>9.3556632690181968E-2</v>
      </c>
      <c r="AA405" s="6">
        <f t="shared" si="36"/>
        <v>6.0197918358138765E-3</v>
      </c>
      <c r="AB405" s="6">
        <f t="shared" si="37"/>
        <v>1.6166861382145049E-2</v>
      </c>
      <c r="AC405" s="6">
        <f t="shared" si="38"/>
        <v>5.089810224390201E-2</v>
      </c>
      <c r="AD405" s="6">
        <f t="shared" si="39"/>
        <v>-2.0866614859066414E-3</v>
      </c>
      <c r="AE405" s="6">
        <f t="shared" si="40"/>
        <v>7.6044595558185466E-3</v>
      </c>
      <c r="AF405" s="6">
        <f t="shared" si="41"/>
        <v>-9.9243391428341862E-3</v>
      </c>
    </row>
    <row r="406" spans="4:32" x14ac:dyDescent="0.3">
      <c r="D406" s="6">
        <v>-2.7114799141222005E-2</v>
      </c>
      <c r="E406" s="6">
        <v>-6.1078971574034066E-2</v>
      </c>
      <c r="F406" s="6">
        <v>-1.0447679028990815E-2</v>
      </c>
      <c r="G406" s="6">
        <v>1.302660215994348E-3</v>
      </c>
      <c r="H406" s="6">
        <v>-3.9002434668046884E-2</v>
      </c>
      <c r="I406" s="6">
        <v>-2.3696186933897148E-2</v>
      </c>
      <c r="J406" s="6">
        <v>1.840296427834465E-2</v>
      </c>
      <c r="K406" s="6">
        <v>4.0922240122063407E-2</v>
      </c>
      <c r="L406" s="6">
        <v>-2.876473288413928E-2</v>
      </c>
      <c r="M406" s="6">
        <v>-4.484819335518013E-2</v>
      </c>
      <c r="N406" s="6">
        <v>2.1140493190398062E-2</v>
      </c>
      <c r="O406" s="6">
        <v>-0.172084982181827</v>
      </c>
      <c r="P406" s="6">
        <v>2.3121678949954184E-2</v>
      </c>
      <c r="Q406" s="6">
        <v>-3.9965851643192829E-2</v>
      </c>
      <c r="S406" s="6">
        <f t="shared" si="28"/>
        <v>-2.8902817129031939E-2</v>
      </c>
      <c r="T406" s="6">
        <f t="shared" si="29"/>
        <v>-7.0908448070478566E-2</v>
      </c>
      <c r="U406" s="6">
        <f t="shared" si="30"/>
        <v>-1.3007033175200541E-2</v>
      </c>
      <c r="V406" s="6">
        <f t="shared" si="31"/>
        <v>-1.4066881194767585E-3</v>
      </c>
      <c r="W406" s="6">
        <f t="shared" si="32"/>
        <v>-3.9859212480657671E-2</v>
      </c>
      <c r="X406" s="6">
        <f t="shared" si="33"/>
        <v>-2.5175826655126781E-2</v>
      </c>
      <c r="Y406" s="6">
        <f t="shared" si="34"/>
        <v>1.453737696814872E-2</v>
      </c>
      <c r="Z406" s="6">
        <f t="shared" si="35"/>
        <v>4.90611216578936E-2</v>
      </c>
      <c r="AA406" s="6">
        <f t="shared" si="36"/>
        <v>-3.4033418226672232E-2</v>
      </c>
      <c r="AB406" s="6">
        <f t="shared" si="37"/>
        <v>-4.7102316726420575E-2</v>
      </c>
      <c r="AC406" s="6">
        <f t="shared" si="38"/>
        <v>1.6981739430552669E-2</v>
      </c>
      <c r="AD406" s="6">
        <f t="shared" si="39"/>
        <v>-0.18436233385926806</v>
      </c>
      <c r="AE406" s="6">
        <f t="shared" si="40"/>
        <v>2.6192745598280442E-2</v>
      </c>
      <c r="AF406" s="6">
        <f t="shared" si="41"/>
        <v>-3.6438150318747274E-2</v>
      </c>
    </row>
    <row r="407" spans="4:32" x14ac:dyDescent="0.3">
      <c r="D407" s="6">
        <v>-2.9434680749242069E-2</v>
      </c>
      <c r="E407" s="6">
        <v>1.3157122771778593E-2</v>
      </c>
      <c r="F407" s="6">
        <v>2.3775265493658267E-2</v>
      </c>
      <c r="G407" s="6">
        <v>2.0410975567777729E-2</v>
      </c>
      <c r="H407" s="6">
        <v>7.7385046605772362E-2</v>
      </c>
      <c r="I407" s="6">
        <v>3.1471757622371407E-2</v>
      </c>
      <c r="J407" s="6">
        <v>-5.0300033614477345E-3</v>
      </c>
      <c r="K407" s="6">
        <v>-0.1382394451861558</v>
      </c>
      <c r="L407" s="6">
        <v>2.3122417420854212E-2</v>
      </c>
      <c r="M407" s="6">
        <v>0.13262287277273044</v>
      </c>
      <c r="N407" s="6">
        <v>2.0554320498149006E-2</v>
      </c>
      <c r="O407" s="6">
        <v>6.4900855129856799E-2</v>
      </c>
      <c r="P407" s="6">
        <v>-4.2565104806499589E-2</v>
      </c>
      <c r="Q407" s="6">
        <v>-1.7647890254253347E-2</v>
      </c>
      <c r="S407" s="6">
        <f t="shared" si="28"/>
        <v>-3.1222698737052003E-2</v>
      </c>
      <c r="T407" s="6">
        <f t="shared" si="29"/>
        <v>3.3276462753340959E-3</v>
      </c>
      <c r="U407" s="6">
        <f t="shared" si="30"/>
        <v>2.1215911347448539E-2</v>
      </c>
      <c r="V407" s="6">
        <f t="shared" si="31"/>
        <v>1.7701627232306623E-2</v>
      </c>
      <c r="W407" s="6">
        <f t="shared" si="32"/>
        <v>7.6528268793161575E-2</v>
      </c>
      <c r="X407" s="6">
        <f t="shared" si="33"/>
        <v>2.9992117901141774E-2</v>
      </c>
      <c r="Y407" s="6">
        <f t="shared" si="34"/>
        <v>-8.8955906716436644E-3</v>
      </c>
      <c r="Z407" s="6">
        <f t="shared" si="35"/>
        <v>-0.1301005636503256</v>
      </c>
      <c r="AA407" s="6">
        <f t="shared" si="36"/>
        <v>1.7853732078321256E-2</v>
      </c>
      <c r="AB407" s="6">
        <f t="shared" si="37"/>
        <v>0.13036874940148999</v>
      </c>
      <c r="AC407" s="6">
        <f t="shared" si="38"/>
        <v>1.6395566738303613E-2</v>
      </c>
      <c r="AD407" s="6">
        <f t="shared" si="39"/>
        <v>5.2623503452415718E-2</v>
      </c>
      <c r="AE407" s="6">
        <f t="shared" si="40"/>
        <v>-3.9494038158173331E-2</v>
      </c>
      <c r="AF407" s="6">
        <f t="shared" si="41"/>
        <v>-1.4120188929807796E-2</v>
      </c>
    </row>
    <row r="408" spans="4:32" x14ac:dyDescent="0.3">
      <c r="D408" s="6">
        <v>-3.1807611203474903E-2</v>
      </c>
      <c r="E408" s="6">
        <v>3.5033725861122911E-2</v>
      </c>
      <c r="F408" s="6">
        <v>3.4432841884476414E-2</v>
      </c>
      <c r="G408" s="6">
        <v>2.1252156453090889E-2</v>
      </c>
      <c r="H408" s="6">
        <v>-4.7831655338815733E-2</v>
      </c>
      <c r="I408" s="6">
        <v>3.8677535174221463E-2</v>
      </c>
      <c r="J408" s="6">
        <v>5.5113687824549361E-2</v>
      </c>
      <c r="K408" s="6">
        <v>2.7586224390798823E-3</v>
      </c>
      <c r="L408" s="6">
        <v>4.8976888098646067E-2</v>
      </c>
      <c r="M408" s="6">
        <v>8.4923338448672815E-3</v>
      </c>
      <c r="N408" s="6">
        <v>1.7954860556595852E-2</v>
      </c>
      <c r="O408" s="6">
        <v>9.5728094416522941E-2</v>
      </c>
      <c r="P408" s="6">
        <v>6.8738084342659544E-2</v>
      </c>
      <c r="Q408" s="6">
        <v>2.6543519922660738E-2</v>
      </c>
      <c r="S408" s="6">
        <f t="shared" si="28"/>
        <v>-3.3595629191284837E-2</v>
      </c>
      <c r="T408" s="6">
        <f t="shared" si="29"/>
        <v>2.5204249364678414E-2</v>
      </c>
      <c r="U408" s="6">
        <f t="shared" si="30"/>
        <v>3.187348773826669E-2</v>
      </c>
      <c r="V408" s="6">
        <f t="shared" si="31"/>
        <v>1.8542808117619783E-2</v>
      </c>
      <c r="W408" s="6">
        <f t="shared" si="32"/>
        <v>-4.868843315142652E-2</v>
      </c>
      <c r="X408" s="6">
        <f t="shared" si="33"/>
        <v>3.7197895452991833E-2</v>
      </c>
      <c r="Y408" s="6">
        <f t="shared" si="34"/>
        <v>5.1248100514353433E-2</v>
      </c>
      <c r="Z408" s="6">
        <f t="shared" si="35"/>
        <v>1.0897503974910079E-2</v>
      </c>
      <c r="AA408" s="6">
        <f t="shared" si="36"/>
        <v>4.3708202756113111E-2</v>
      </c>
      <c r="AB408" s="6">
        <f t="shared" si="37"/>
        <v>6.2382104736268349E-3</v>
      </c>
      <c r="AC408" s="6">
        <f t="shared" si="38"/>
        <v>1.379610679675046E-2</v>
      </c>
      <c r="AD408" s="6">
        <f t="shared" si="39"/>
        <v>8.345074273908186E-2</v>
      </c>
      <c r="AE408" s="6">
        <f t="shared" si="40"/>
        <v>7.1809150990985796E-2</v>
      </c>
      <c r="AF408" s="6">
        <f t="shared" si="41"/>
        <v>3.0071221247106289E-2</v>
      </c>
    </row>
    <row r="409" spans="4:32" x14ac:dyDescent="0.3">
      <c r="D409" s="6">
        <v>5.7647067608566346E-2</v>
      </c>
      <c r="E409" s="6">
        <v>-0.17210884455753109</v>
      </c>
      <c r="F409" s="6">
        <v>-6.7536600343915731E-2</v>
      </c>
      <c r="G409" s="6">
        <v>1.8851212570764792E-2</v>
      </c>
      <c r="H409" s="6">
        <v>-4.8817868592728776E-3</v>
      </c>
      <c r="I409" s="6">
        <v>1.1978218681348254E-2</v>
      </c>
      <c r="J409" s="6">
        <v>6.2399135641081203E-2</v>
      </c>
      <c r="K409" s="6">
        <v>3.6072441216701404E-2</v>
      </c>
      <c r="L409" s="6">
        <v>5.9915199338169696E-2</v>
      </c>
      <c r="M409" s="6">
        <v>-2.2636841231032191E-2</v>
      </c>
      <c r="N409" s="6">
        <v>-2.5257970741572273E-2</v>
      </c>
      <c r="O409" s="6">
        <v>4.3482418014136909E-2</v>
      </c>
      <c r="P409" s="6">
        <v>1.7921845118861295E-2</v>
      </c>
      <c r="Q409" s="6">
        <v>8.1068845505785622E-2</v>
      </c>
      <c r="S409" s="6">
        <f t="shared" si="28"/>
        <v>5.5859049620756412E-2</v>
      </c>
      <c r="T409" s="6">
        <f t="shared" si="29"/>
        <v>-0.18193832105397559</v>
      </c>
      <c r="U409" s="6">
        <f t="shared" si="30"/>
        <v>-7.0095954490125456E-2</v>
      </c>
      <c r="V409" s="6">
        <f t="shared" si="31"/>
        <v>1.6141864235293686E-2</v>
      </c>
      <c r="W409" s="6">
        <f t="shared" si="32"/>
        <v>-5.7385646718836674E-3</v>
      </c>
      <c r="X409" s="6">
        <f t="shared" si="33"/>
        <v>1.0498578960118621E-2</v>
      </c>
      <c r="Y409" s="6">
        <f t="shared" si="34"/>
        <v>5.8533548330885275E-2</v>
      </c>
      <c r="Z409" s="6">
        <f t="shared" si="35"/>
        <v>4.4211322752531604E-2</v>
      </c>
      <c r="AA409" s="6">
        <f t="shared" si="36"/>
        <v>5.464651399563674E-2</v>
      </c>
      <c r="AB409" s="6">
        <f t="shared" si="37"/>
        <v>-2.4890964602272636E-2</v>
      </c>
      <c r="AC409" s="6">
        <f t="shared" si="38"/>
        <v>-2.9416724501417666E-2</v>
      </c>
      <c r="AD409" s="6">
        <f t="shared" si="39"/>
        <v>3.1205066336695831E-2</v>
      </c>
      <c r="AE409" s="6">
        <f t="shared" si="40"/>
        <v>2.0992911767187553E-2</v>
      </c>
      <c r="AF409" s="6">
        <f t="shared" si="41"/>
        <v>8.459654683023117E-2</v>
      </c>
    </row>
    <row r="410" spans="4:32" x14ac:dyDescent="0.3">
      <c r="D410" s="6">
        <v>-3.6110301266312858E-2</v>
      </c>
      <c r="E410" s="6">
        <v>7.8228017163709224E-2</v>
      </c>
      <c r="F410" s="6">
        <v>-1.2875870469575232E-2</v>
      </c>
      <c r="G410" s="6">
        <v>-9.6026052095827485E-2</v>
      </c>
      <c r="H410" s="6">
        <v>-0.11230498801063743</v>
      </c>
      <c r="I410" s="6">
        <v>-3.6548420199219084E-2</v>
      </c>
      <c r="J410" s="6">
        <v>3.6108503500613634E-2</v>
      </c>
      <c r="K410" s="6">
        <v>-3.3321407844811558E-2</v>
      </c>
      <c r="L410" s="6">
        <v>5.740540856430848E-2</v>
      </c>
      <c r="M410" s="6">
        <v>-5.9541814860866273E-2</v>
      </c>
      <c r="N410" s="6">
        <v>0.10968920366176307</v>
      </c>
      <c r="O410" s="6">
        <v>0.29550086218968008</v>
      </c>
      <c r="P410" s="6">
        <v>2.6706403612974095E-2</v>
      </c>
      <c r="Q410" s="6">
        <v>-9.4765530644836445E-3</v>
      </c>
      <c r="S410" s="6">
        <f t="shared" si="28"/>
        <v>-3.7898319254122792E-2</v>
      </c>
      <c r="T410" s="6">
        <f t="shared" si="29"/>
        <v>6.8398540667264723E-2</v>
      </c>
      <c r="U410" s="6">
        <f t="shared" si="30"/>
        <v>-1.5435224615784959E-2</v>
      </c>
      <c r="V410" s="6">
        <f t="shared" si="31"/>
        <v>-9.8735400431298595E-2</v>
      </c>
      <c r="W410" s="6">
        <f t="shared" si="32"/>
        <v>-0.11316176582324822</v>
      </c>
      <c r="X410" s="6">
        <f t="shared" si="33"/>
        <v>-3.8028059920448713E-2</v>
      </c>
      <c r="Y410" s="6">
        <f t="shared" si="34"/>
        <v>3.2242916190417706E-2</v>
      </c>
      <c r="Z410" s="6">
        <f t="shared" si="35"/>
        <v>-2.5182526308981362E-2</v>
      </c>
      <c r="AA410" s="6">
        <f t="shared" si="36"/>
        <v>5.2136723221775524E-2</v>
      </c>
      <c r="AB410" s="6">
        <f t="shared" si="37"/>
        <v>-6.1795938232106717E-2</v>
      </c>
      <c r="AC410" s="6">
        <f t="shared" si="38"/>
        <v>0.10553044990191768</v>
      </c>
      <c r="AD410" s="6">
        <f t="shared" si="39"/>
        <v>0.28322351051223899</v>
      </c>
      <c r="AE410" s="6">
        <f t="shared" si="40"/>
        <v>2.9777470261300353E-2</v>
      </c>
      <c r="AF410" s="6">
        <f t="shared" si="41"/>
        <v>-5.9488517400380931E-3</v>
      </c>
    </row>
    <row r="411" spans="4:32" x14ac:dyDescent="0.3">
      <c r="D411" s="6">
        <v>7.1902719493774789E-2</v>
      </c>
      <c r="E411" s="6">
        <v>6.7091290546472768E-2</v>
      </c>
      <c r="F411" s="6">
        <v>-3.2266766365797958E-3</v>
      </c>
      <c r="G411" s="6">
        <v>-5.936800239137093E-4</v>
      </c>
      <c r="H411" s="6">
        <v>-1.6112745100844924E-2</v>
      </c>
      <c r="I411" s="6">
        <v>-2.0531645593625599E-3</v>
      </c>
      <c r="J411" s="6">
        <v>3.0529042139645631E-2</v>
      </c>
      <c r="K411" s="6">
        <v>-6.4308903302904025E-3</v>
      </c>
      <c r="L411" s="6">
        <v>6.907351530932275E-2</v>
      </c>
      <c r="M411" s="6">
        <v>-6.559766999073781E-4</v>
      </c>
      <c r="N411" s="6">
        <v>6.2609718493390421E-2</v>
      </c>
      <c r="O411" s="6">
        <v>7.2289191782761025E-2</v>
      </c>
      <c r="P411" s="6">
        <v>0.15317541449462227</v>
      </c>
      <c r="Q411" s="6">
        <v>-1.191463691683395E-2</v>
      </c>
      <c r="S411" s="6">
        <f t="shared" si="28"/>
        <v>7.0114701505964855E-2</v>
      </c>
      <c r="T411" s="6">
        <f t="shared" si="29"/>
        <v>5.7261814050028267E-2</v>
      </c>
      <c r="U411" s="6">
        <f t="shared" si="30"/>
        <v>-5.7860307827895226E-3</v>
      </c>
      <c r="V411" s="6">
        <f t="shared" si="31"/>
        <v>-3.3030283593848157E-3</v>
      </c>
      <c r="W411" s="6">
        <f t="shared" si="32"/>
        <v>-1.6969522913455715E-2</v>
      </c>
      <c r="X411" s="6">
        <f t="shared" si="33"/>
        <v>-3.5328042805921919E-3</v>
      </c>
      <c r="Y411" s="6">
        <f t="shared" si="34"/>
        <v>2.6663454829449703E-2</v>
      </c>
      <c r="Z411" s="6">
        <f t="shared" si="35"/>
        <v>1.7079912055397942E-3</v>
      </c>
      <c r="AA411" s="6">
        <f t="shared" si="36"/>
        <v>6.3804829966789794E-2</v>
      </c>
      <c r="AB411" s="6">
        <f t="shared" si="37"/>
        <v>-2.9101000711478247E-3</v>
      </c>
      <c r="AC411" s="6">
        <f t="shared" si="38"/>
        <v>5.8450964733545024E-2</v>
      </c>
      <c r="AD411" s="6">
        <f t="shared" si="39"/>
        <v>6.0011840105319944E-2</v>
      </c>
      <c r="AE411" s="6">
        <f t="shared" si="40"/>
        <v>0.15624648114294853</v>
      </c>
      <c r="AF411" s="6">
        <f t="shared" si="41"/>
        <v>-8.3869355923883986E-3</v>
      </c>
    </row>
    <row r="412" spans="4:32" x14ac:dyDescent="0.3">
      <c r="D412" s="6">
        <v>3.876369232181725E-3</v>
      </c>
      <c r="E412" s="6">
        <v>-3.2350596286647056E-2</v>
      </c>
      <c r="F412" s="6">
        <v>-5.3879311648257812E-4</v>
      </c>
      <c r="G412" s="6">
        <v>-3.0532120333571007E-2</v>
      </c>
      <c r="H412" s="6">
        <v>-5.2027187248463051E-2</v>
      </c>
      <c r="I412" s="6">
        <v>-5.4363652195537196E-2</v>
      </c>
      <c r="J412" s="6">
        <v>-7.4840224342328135E-2</v>
      </c>
      <c r="K412" s="6">
        <v>-4.8145210906185412E-2</v>
      </c>
      <c r="L412" s="6">
        <v>-0.10508015768312563</v>
      </c>
      <c r="M412" s="6">
        <v>-0.1530576242640824</v>
      </c>
      <c r="N412" s="6">
        <v>-6.6957485961071641E-3</v>
      </c>
      <c r="O412" s="6">
        <v>-0.16188725494707254</v>
      </c>
      <c r="P412" s="6">
        <v>-0.10876457347717644</v>
      </c>
      <c r="Q412" s="6">
        <v>-3.1028742238693067E-2</v>
      </c>
      <c r="S412" s="6">
        <f t="shared" si="28"/>
        <v>2.0883512443717915E-3</v>
      </c>
      <c r="T412" s="6">
        <f t="shared" si="29"/>
        <v>-4.2180072783091549E-2</v>
      </c>
      <c r="U412" s="6">
        <f t="shared" si="30"/>
        <v>-3.0981472626923049E-3</v>
      </c>
      <c r="V412" s="6">
        <f t="shared" si="31"/>
        <v>-3.3241468669042117E-2</v>
      </c>
      <c r="W412" s="6">
        <f t="shared" si="32"/>
        <v>-5.2883965061073838E-2</v>
      </c>
      <c r="X412" s="6">
        <f t="shared" si="33"/>
        <v>-5.5843291916766825E-2</v>
      </c>
      <c r="Y412" s="6">
        <f t="shared" si="34"/>
        <v>-7.8705811652524063E-2</v>
      </c>
      <c r="Z412" s="6">
        <f t="shared" si="35"/>
        <v>-4.0006329370355212E-2</v>
      </c>
      <c r="AA412" s="6">
        <f t="shared" si="36"/>
        <v>-0.11034884302565859</v>
      </c>
      <c r="AB412" s="6">
        <f t="shared" si="37"/>
        <v>-0.15531174763532285</v>
      </c>
      <c r="AC412" s="6">
        <f t="shared" si="38"/>
        <v>-1.0854502355952558E-2</v>
      </c>
      <c r="AD412" s="6">
        <f t="shared" si="39"/>
        <v>-0.17416460662451361</v>
      </c>
      <c r="AE412" s="6">
        <f t="shared" si="40"/>
        <v>-0.10569350682885019</v>
      </c>
      <c r="AF412" s="6">
        <f t="shared" si="41"/>
        <v>-2.7501040914247515E-2</v>
      </c>
    </row>
    <row r="413" spans="4:32" x14ac:dyDescent="0.3">
      <c r="D413" s="6">
        <v>-1.5224242014051039E-2</v>
      </c>
      <c r="E413" s="6">
        <v>-7.337008505128359E-2</v>
      </c>
      <c r="F413" s="6">
        <v>-2.7870656417808899E-2</v>
      </c>
      <c r="G413" s="6">
        <v>-5.3622034841108925E-2</v>
      </c>
      <c r="H413" s="6">
        <v>-0.14234965707207572</v>
      </c>
      <c r="I413" s="6">
        <v>-2.0053836240539257E-2</v>
      </c>
      <c r="J413" s="6">
        <v>-2.2712276455344998E-2</v>
      </c>
      <c r="K413" s="6">
        <v>-8.742163495865915E-3</v>
      </c>
      <c r="L413" s="6">
        <v>-4.2752071389219125E-2</v>
      </c>
      <c r="M413" s="6">
        <v>-8.7683630338544358E-2</v>
      </c>
      <c r="N413" s="6">
        <v>-3.7189566529049159E-2</v>
      </c>
      <c r="O413" s="6">
        <v>-0.17687023606295368</v>
      </c>
      <c r="P413" s="6">
        <v>-6.2095712342624294E-2</v>
      </c>
      <c r="Q413" s="6">
        <v>-0.1127954941453444</v>
      </c>
      <c r="S413" s="6">
        <f t="shared" si="28"/>
        <v>-1.7012260001860971E-2</v>
      </c>
      <c r="T413" s="6">
        <f t="shared" si="29"/>
        <v>-8.319956154772809E-2</v>
      </c>
      <c r="U413" s="6">
        <f t="shared" si="30"/>
        <v>-3.0430010564018627E-2</v>
      </c>
      <c r="V413" s="6">
        <f t="shared" si="31"/>
        <v>-5.6331383176580034E-2</v>
      </c>
      <c r="W413" s="6">
        <f t="shared" si="32"/>
        <v>-0.14320643488468651</v>
      </c>
      <c r="X413" s="6">
        <f t="shared" si="33"/>
        <v>-2.153347596176889E-2</v>
      </c>
      <c r="Y413" s="6">
        <f t="shared" si="34"/>
        <v>-2.6577863765540926E-2</v>
      </c>
      <c r="Z413" s="6">
        <f t="shared" si="35"/>
        <v>-6.0328196003571824E-4</v>
      </c>
      <c r="AA413" s="6">
        <f t="shared" si="36"/>
        <v>-4.802075673175208E-2</v>
      </c>
      <c r="AB413" s="6">
        <f t="shared" si="37"/>
        <v>-8.993775370978481E-2</v>
      </c>
      <c r="AC413" s="6">
        <f t="shared" si="38"/>
        <v>-4.1348320288894555E-2</v>
      </c>
      <c r="AD413" s="6">
        <f t="shared" si="39"/>
        <v>-0.18914758774039475</v>
      </c>
      <c r="AE413" s="6">
        <f t="shared" si="40"/>
        <v>-5.9024645694298036E-2</v>
      </c>
      <c r="AF413" s="6">
        <f t="shared" si="41"/>
        <v>-0.10926779282089885</v>
      </c>
    </row>
    <row r="414" spans="4:32" x14ac:dyDescent="0.3">
      <c r="D414" s="6">
        <v>-1.1519954393436168E-2</v>
      </c>
      <c r="E414" s="6">
        <v>-0.10303284645061994</v>
      </c>
      <c r="F414" s="6">
        <v>-9.3129864549867832E-3</v>
      </c>
      <c r="G414" s="6">
        <v>2.0806236690966678E-2</v>
      </c>
      <c r="H414" s="6">
        <v>-0.10920585583704641</v>
      </c>
      <c r="I414" s="6">
        <v>-6.3345840289369834E-2</v>
      </c>
      <c r="J414" s="6">
        <v>-6.5780437362037522E-2</v>
      </c>
      <c r="K414" s="6">
        <v>-5.3092087112069405E-2</v>
      </c>
      <c r="L414" s="6">
        <v>-0.15563169866206281</v>
      </c>
      <c r="M414" s="6">
        <v>8.4513399326754165E-3</v>
      </c>
      <c r="N414" s="6">
        <v>3.4147655981979805E-3</v>
      </c>
      <c r="O414" s="6">
        <v>-1.1776482378329952E-4</v>
      </c>
      <c r="P414" s="6">
        <v>-8.5455887594335034E-2</v>
      </c>
      <c r="Q414" s="6">
        <v>3.0467348564188628E-2</v>
      </c>
      <c r="S414" s="6">
        <f t="shared" si="28"/>
        <v>-1.3307972381246102E-2</v>
      </c>
      <c r="T414" s="6">
        <f t="shared" si="29"/>
        <v>-0.11286232294706444</v>
      </c>
      <c r="U414" s="6">
        <f t="shared" si="30"/>
        <v>-1.187234060119651E-2</v>
      </c>
      <c r="V414" s="6">
        <f t="shared" si="31"/>
        <v>1.8096888355495572E-2</v>
      </c>
      <c r="W414" s="6">
        <f t="shared" si="32"/>
        <v>-0.1100626336496572</v>
      </c>
      <c r="X414" s="6">
        <f t="shared" si="33"/>
        <v>-6.4825480010599471E-2</v>
      </c>
      <c r="Y414" s="6">
        <f t="shared" si="34"/>
        <v>-6.964602467223345E-2</v>
      </c>
      <c r="Z414" s="6">
        <f t="shared" si="35"/>
        <v>-4.4953205576239205E-2</v>
      </c>
      <c r="AA414" s="6">
        <f t="shared" si="36"/>
        <v>-0.16090038400459575</v>
      </c>
      <c r="AB414" s="6">
        <f t="shared" si="37"/>
        <v>6.1972165614349699E-3</v>
      </c>
      <c r="AC414" s="6">
        <f t="shared" si="38"/>
        <v>-7.4398816164741302E-4</v>
      </c>
      <c r="AD414" s="6">
        <f t="shared" si="39"/>
        <v>-1.2395116501224377E-2</v>
      </c>
      <c r="AE414" s="6">
        <f t="shared" si="40"/>
        <v>-8.2384820946008783E-2</v>
      </c>
      <c r="AF414" s="6">
        <f t="shared" si="41"/>
        <v>3.399504988863418E-2</v>
      </c>
    </row>
    <row r="415" spans="4:32" x14ac:dyDescent="0.3">
      <c r="D415" s="6">
        <v>-0.1131664029135338</v>
      </c>
      <c r="E415" s="6">
        <v>7.6671775835099779E-2</v>
      </c>
      <c r="F415" s="6">
        <v>-1.2150506960591625E-2</v>
      </c>
      <c r="G415" s="6">
        <v>-4.9339607620066464E-2</v>
      </c>
      <c r="H415" s="6">
        <v>-4.9517576802501802E-2</v>
      </c>
      <c r="I415" s="6">
        <v>-6.5458441181848268E-3</v>
      </c>
      <c r="J415" s="6">
        <v>-2.929032183900087E-2</v>
      </c>
      <c r="K415" s="6">
        <v>-0.11778303565638351</v>
      </c>
      <c r="L415" s="6">
        <v>5.8891044901013288E-2</v>
      </c>
      <c r="M415" s="6">
        <v>-0.17182726339933602</v>
      </c>
      <c r="N415" s="6">
        <v>-6.3883170173687248E-2</v>
      </c>
      <c r="O415" s="6">
        <v>1.554223514941489E-2</v>
      </c>
      <c r="P415" s="6">
        <v>-0.1232433313918978</v>
      </c>
      <c r="Q415" s="6">
        <v>-2.3705997586144723E-2</v>
      </c>
      <c r="S415" s="6">
        <f t="shared" si="28"/>
        <v>-0.11495442090134374</v>
      </c>
      <c r="T415" s="6">
        <f t="shared" si="29"/>
        <v>6.6842299338655278E-2</v>
      </c>
      <c r="U415" s="6">
        <f t="shared" si="30"/>
        <v>-1.4709861106801352E-2</v>
      </c>
      <c r="V415" s="6">
        <f t="shared" si="31"/>
        <v>-5.2048955955537574E-2</v>
      </c>
      <c r="W415" s="6">
        <f t="shared" si="32"/>
        <v>-5.0374354615112589E-2</v>
      </c>
      <c r="X415" s="6">
        <f t="shared" si="33"/>
        <v>-8.025483839414458E-3</v>
      </c>
      <c r="Y415" s="6">
        <f t="shared" si="34"/>
        <v>-3.3155909149196798E-2</v>
      </c>
      <c r="Z415" s="6">
        <f t="shared" si="35"/>
        <v>-0.10964415412055331</v>
      </c>
      <c r="AA415" s="6">
        <f t="shared" si="36"/>
        <v>5.3622359558480333E-2</v>
      </c>
      <c r="AB415" s="6">
        <f t="shared" si="37"/>
        <v>-0.17408138677057647</v>
      </c>
      <c r="AC415" s="6">
        <f t="shared" si="38"/>
        <v>-6.8041923933532644E-2</v>
      </c>
      <c r="AD415" s="6">
        <f t="shared" si="39"/>
        <v>3.2648834719738121E-3</v>
      </c>
      <c r="AE415" s="6">
        <f t="shared" si="40"/>
        <v>-0.12017226474357155</v>
      </c>
      <c r="AF415" s="6">
        <f t="shared" si="41"/>
        <v>-2.0178296261699171E-2</v>
      </c>
    </row>
    <row r="416" spans="4:32" x14ac:dyDescent="0.3">
      <c r="D416" s="6">
        <v>2.2142835386753528E-2</v>
      </c>
      <c r="E416" s="6">
        <v>-3.3173447533126628E-2</v>
      </c>
      <c r="F416" s="6">
        <v>6.9247025956766066E-3</v>
      </c>
      <c r="G416" s="6">
        <v>-9.1053196754976515E-3</v>
      </c>
      <c r="H416" s="6">
        <v>-5.0933555738266389E-3</v>
      </c>
      <c r="I416" s="6">
        <v>-8.8289593201292937E-3</v>
      </c>
      <c r="J416" s="6">
        <v>-1.885672851906689E-2</v>
      </c>
      <c r="K416" s="6">
        <v>7.6832432043288046E-2</v>
      </c>
      <c r="L416" s="6">
        <v>2.3773065318071825E-2</v>
      </c>
      <c r="M416" s="6">
        <v>3.6145282809341144E-2</v>
      </c>
      <c r="N416" s="6">
        <v>5.8229351944306576E-2</v>
      </c>
      <c r="O416" s="6">
        <v>5.3285742281593586E-2</v>
      </c>
      <c r="P416" s="6">
        <v>0.14415271474091751</v>
      </c>
      <c r="Q416" s="6">
        <v>2.3574375341795309E-2</v>
      </c>
      <c r="S416" s="6">
        <f t="shared" si="28"/>
        <v>2.0354817398943594E-2</v>
      </c>
      <c r="T416" s="6">
        <f t="shared" si="29"/>
        <v>-4.3002924029571121E-2</v>
      </c>
      <c r="U416" s="6">
        <f t="shared" si="30"/>
        <v>4.3653484494668802E-3</v>
      </c>
      <c r="V416" s="6">
        <f t="shared" si="31"/>
        <v>-1.1814668010968758E-2</v>
      </c>
      <c r="W416" s="6">
        <f t="shared" si="32"/>
        <v>-5.9501333864374287E-3</v>
      </c>
      <c r="X416" s="6">
        <f t="shared" si="33"/>
        <v>-1.0308599041358925E-2</v>
      </c>
      <c r="Y416" s="6">
        <f t="shared" si="34"/>
        <v>-2.2722315829262818E-2</v>
      </c>
      <c r="Z416" s="6">
        <f t="shared" si="35"/>
        <v>8.4971313579118246E-2</v>
      </c>
      <c r="AA416" s="6">
        <f t="shared" si="36"/>
        <v>1.8504379975538873E-2</v>
      </c>
      <c r="AB416" s="6">
        <f t="shared" si="37"/>
        <v>3.3891159438100699E-2</v>
      </c>
      <c r="AC416" s="6">
        <f t="shared" si="38"/>
        <v>5.407059818446118E-2</v>
      </c>
      <c r="AD416" s="6">
        <f t="shared" si="39"/>
        <v>4.1008390604152511E-2</v>
      </c>
      <c r="AE416" s="6">
        <f t="shared" si="40"/>
        <v>0.14722378138924377</v>
      </c>
      <c r="AF416" s="6">
        <f t="shared" si="41"/>
        <v>2.710207666624086E-2</v>
      </c>
    </row>
    <row r="417" spans="4:32" x14ac:dyDescent="0.3">
      <c r="D417" s="6">
        <v>-1.696586600412E-3</v>
      </c>
      <c r="E417" s="6">
        <v>-7.0663157494113574E-2</v>
      </c>
      <c r="F417" s="6">
        <v>-3.236393932124268E-2</v>
      </c>
      <c r="G417" s="6">
        <v>-6.0712283442614083E-2</v>
      </c>
      <c r="H417" s="6">
        <v>5.7955544212966927E-2</v>
      </c>
      <c r="I417" s="6">
        <v>-1.7947155925394323E-2</v>
      </c>
      <c r="J417" s="6">
        <v>-3.3268483833895822E-2</v>
      </c>
      <c r="K417" s="6">
        <v>-4.8307965333439139E-2</v>
      </c>
      <c r="L417" s="6">
        <v>-1.4263118006044124E-2</v>
      </c>
      <c r="M417" s="6">
        <v>-8.7634039033590599E-2</v>
      </c>
      <c r="N417" s="6">
        <v>-4.1596951895164526E-2</v>
      </c>
      <c r="O417" s="6">
        <v>-5.7818262098796064E-2</v>
      </c>
      <c r="P417" s="6">
        <v>-7.697125960703663E-2</v>
      </c>
      <c r="Q417" s="6">
        <v>-1.498602410924132E-2</v>
      </c>
      <c r="S417" s="6">
        <f t="shared" si="28"/>
        <v>-3.4846045882219335E-3</v>
      </c>
      <c r="T417" s="6">
        <f t="shared" si="29"/>
        <v>-8.0492633990558074E-2</v>
      </c>
      <c r="U417" s="6">
        <f t="shared" si="30"/>
        <v>-3.4923293467452404E-2</v>
      </c>
      <c r="V417" s="6">
        <f t="shared" si="31"/>
        <v>-6.3421631778085186E-2</v>
      </c>
      <c r="W417" s="6">
        <f t="shared" si="32"/>
        <v>5.7098766400356139E-2</v>
      </c>
      <c r="X417" s="6">
        <f t="shared" si="33"/>
        <v>-1.9426795646623956E-2</v>
      </c>
      <c r="Y417" s="6">
        <f t="shared" si="34"/>
        <v>-3.713407114409175E-2</v>
      </c>
      <c r="Z417" s="6">
        <f t="shared" si="35"/>
        <v>-4.0169083797608945E-2</v>
      </c>
      <c r="AA417" s="6">
        <f t="shared" si="36"/>
        <v>-1.9531803348577077E-2</v>
      </c>
      <c r="AB417" s="6">
        <f t="shared" si="37"/>
        <v>-8.9888162404831051E-2</v>
      </c>
      <c r="AC417" s="6">
        <f t="shared" si="38"/>
        <v>-4.5755705655009922E-2</v>
      </c>
      <c r="AD417" s="6">
        <f t="shared" si="39"/>
        <v>-7.0095613776237145E-2</v>
      </c>
      <c r="AE417" s="6">
        <f t="shared" si="40"/>
        <v>-7.3900192958710378E-2</v>
      </c>
      <c r="AF417" s="6">
        <f t="shared" si="41"/>
        <v>-1.1458322784795768E-2</v>
      </c>
    </row>
    <row r="418" spans="4:32" x14ac:dyDescent="0.3">
      <c r="D418" s="6">
        <v>-0.1455750425559032</v>
      </c>
      <c r="E418" s="6">
        <v>-0.15088862821632401</v>
      </c>
      <c r="F418" s="6">
        <v>-5.1348873100917736E-2</v>
      </c>
      <c r="G418" s="6">
        <v>-5.8230031150154599E-2</v>
      </c>
      <c r="H418" s="6">
        <v>-9.5982004745188726E-2</v>
      </c>
      <c r="I418" s="6">
        <v>-0.11957480180395609</v>
      </c>
      <c r="J418" s="6">
        <v>-0.13336792553677057</v>
      </c>
      <c r="K418" s="6">
        <v>-9.9254958095341142E-2</v>
      </c>
      <c r="L418" s="6">
        <v>-0.10464204103246126</v>
      </c>
      <c r="M418" s="6">
        <v>-8.0047498884538895E-2</v>
      </c>
      <c r="N418" s="6">
        <v>-0.1185049456552496</v>
      </c>
      <c r="O418" s="6">
        <v>-0.14840136813410942</v>
      </c>
      <c r="P418" s="6">
        <v>-0.27103744185337192</v>
      </c>
      <c r="Q418" s="6">
        <v>-9.9528041646078591E-2</v>
      </c>
      <c r="S418" s="6">
        <f t="shared" si="28"/>
        <v>-0.14736306054371312</v>
      </c>
      <c r="T418" s="6">
        <f t="shared" si="29"/>
        <v>-0.16071810471276851</v>
      </c>
      <c r="U418" s="6">
        <f t="shared" si="30"/>
        <v>-5.390822724712746E-2</v>
      </c>
      <c r="V418" s="6">
        <f t="shared" si="31"/>
        <v>-6.0939379485625708E-2</v>
      </c>
      <c r="W418" s="6">
        <f t="shared" si="32"/>
        <v>-9.6838782557799513E-2</v>
      </c>
      <c r="X418" s="6">
        <f t="shared" si="33"/>
        <v>-0.12105444152518573</v>
      </c>
      <c r="Y418" s="6">
        <f t="shared" si="34"/>
        <v>-0.1372335128469665</v>
      </c>
      <c r="Z418" s="6">
        <f t="shared" si="35"/>
        <v>-9.1116076559510942E-2</v>
      </c>
      <c r="AA418" s="6">
        <f t="shared" si="36"/>
        <v>-0.10991072637499422</v>
      </c>
      <c r="AB418" s="6">
        <f t="shared" si="37"/>
        <v>-8.2301622255779347E-2</v>
      </c>
      <c r="AC418" s="6">
        <f t="shared" si="38"/>
        <v>-0.122663699415095</v>
      </c>
      <c r="AD418" s="6">
        <f t="shared" si="39"/>
        <v>-0.16067871981155049</v>
      </c>
      <c r="AE418" s="6">
        <f t="shared" si="40"/>
        <v>-0.26796637520504568</v>
      </c>
      <c r="AF418" s="6">
        <f t="shared" si="41"/>
        <v>-9.6000340321633043E-2</v>
      </c>
    </row>
    <row r="419" spans="4:32" x14ac:dyDescent="0.3">
      <c r="D419" s="6">
        <v>5.0563120241773035E-2</v>
      </c>
      <c r="E419" s="6">
        <v>0.1623121431947748</v>
      </c>
      <c r="F419" s="6">
        <v>7.6504973185424194E-2</v>
      </c>
      <c r="G419" s="6">
        <v>7.6273991985089884E-2</v>
      </c>
      <c r="H419" s="6">
        <v>5.2397391660261278E-2</v>
      </c>
      <c r="I419" s="6">
        <v>7.7989318861694329E-2</v>
      </c>
      <c r="J419" s="6">
        <v>7.4134860284241461E-2</v>
      </c>
      <c r="K419" s="6">
        <v>-1.1243091574180467E-2</v>
      </c>
      <c r="L419" s="6">
        <v>0.16122779381918509</v>
      </c>
      <c r="M419" s="6">
        <v>8.9033622370397456E-2</v>
      </c>
      <c r="N419" s="6">
        <v>0.11202350532767556</v>
      </c>
      <c r="O419" s="6">
        <v>0.17936714501946738</v>
      </c>
      <c r="P419" s="6">
        <v>8.5593343594173282E-2</v>
      </c>
      <c r="Q419" s="6">
        <v>5.1632720170935217E-2</v>
      </c>
      <c r="S419" s="6">
        <f t="shared" si="28"/>
        <v>4.8775102253963101E-2</v>
      </c>
      <c r="T419" s="6">
        <f t="shared" si="29"/>
        <v>0.1524826666983303</v>
      </c>
      <c r="U419" s="6">
        <f t="shared" si="30"/>
        <v>7.3945619039214469E-2</v>
      </c>
      <c r="V419" s="6">
        <f t="shared" si="31"/>
        <v>7.3564643649618774E-2</v>
      </c>
      <c r="W419" s="6">
        <f t="shared" si="32"/>
        <v>5.154061384765049E-2</v>
      </c>
      <c r="X419" s="6">
        <f t="shared" si="33"/>
        <v>7.6509679140464693E-2</v>
      </c>
      <c r="Y419" s="6">
        <f t="shared" si="34"/>
        <v>7.0269272974045532E-2</v>
      </c>
      <c r="Z419" s="6">
        <f t="shared" si="35"/>
        <v>-3.1042100383502705E-3</v>
      </c>
      <c r="AA419" s="6">
        <f t="shared" si="36"/>
        <v>0.15595910847665215</v>
      </c>
      <c r="AB419" s="6">
        <f t="shared" si="37"/>
        <v>8.6779498999157004E-2</v>
      </c>
      <c r="AC419" s="6">
        <f t="shared" si="38"/>
        <v>0.10786475156783017</v>
      </c>
      <c r="AD419" s="6">
        <f t="shared" si="39"/>
        <v>0.16708979334202631</v>
      </c>
      <c r="AE419" s="6">
        <f t="shared" si="40"/>
        <v>8.8664410242499533E-2</v>
      </c>
      <c r="AF419" s="6">
        <f t="shared" si="41"/>
        <v>5.5160421495380772E-2</v>
      </c>
    </row>
    <row r="420" spans="4:32" x14ac:dyDescent="0.3">
      <c r="D420" s="6">
        <v>-5.9221188948877729E-3</v>
      </c>
      <c r="E420" s="6">
        <v>-8.8939100289841561E-2</v>
      </c>
      <c r="F420" s="6">
        <v>-5.467952808372268E-2</v>
      </c>
      <c r="G420" s="6">
        <v>-3.8798249266387301E-2</v>
      </c>
      <c r="H420" s="6">
        <v>-4.4327464337780301E-2</v>
      </c>
      <c r="I420" s="6">
        <v>-6.8618160965756195E-2</v>
      </c>
      <c r="J420" s="6">
        <v>-8.0594766868301596E-2</v>
      </c>
      <c r="K420" s="6">
        <v>-1.0101095986503933E-2</v>
      </c>
      <c r="L420" s="6">
        <v>-6.0516163026518698E-3</v>
      </c>
      <c r="M420" s="6">
        <v>-2.6816551031763618E-3</v>
      </c>
      <c r="N420" s="6">
        <v>4.0135538708801849E-2</v>
      </c>
      <c r="O420" s="6">
        <v>5.7384249432597671E-2</v>
      </c>
      <c r="P420" s="6">
        <v>-2.9661763370487898E-2</v>
      </c>
      <c r="Q420" s="6">
        <v>2.1003998480149462E-3</v>
      </c>
      <c r="S420" s="6">
        <f t="shared" si="28"/>
        <v>-7.7101368826977068E-3</v>
      </c>
      <c r="T420" s="6">
        <f t="shared" si="29"/>
        <v>-9.8768576786286061E-2</v>
      </c>
      <c r="U420" s="6">
        <f t="shared" si="30"/>
        <v>-5.7238882229932404E-2</v>
      </c>
      <c r="V420" s="6">
        <f t="shared" si="31"/>
        <v>-4.1507597601858411E-2</v>
      </c>
      <c r="W420" s="6">
        <f t="shared" si="32"/>
        <v>-4.5184242150391088E-2</v>
      </c>
      <c r="X420" s="6">
        <f t="shared" si="33"/>
        <v>-7.0097800686985831E-2</v>
      </c>
      <c r="Y420" s="6">
        <f t="shared" si="34"/>
        <v>-8.4460354178497524E-2</v>
      </c>
      <c r="Z420" s="6">
        <f t="shared" si="35"/>
        <v>-1.9622144506737365E-3</v>
      </c>
      <c r="AA420" s="6">
        <f t="shared" si="36"/>
        <v>-1.1320301645184824E-2</v>
      </c>
      <c r="AB420" s="6">
        <f t="shared" si="37"/>
        <v>-4.935778474416808E-3</v>
      </c>
      <c r="AC420" s="6">
        <f t="shared" si="38"/>
        <v>3.5976784948956453E-2</v>
      </c>
      <c r="AD420" s="6">
        <f t="shared" si="39"/>
        <v>4.5106897755156597E-2</v>
      </c>
      <c r="AE420" s="6">
        <f t="shared" si="40"/>
        <v>-2.659069672216164E-2</v>
      </c>
      <c r="AF420" s="6">
        <f t="shared" si="41"/>
        <v>5.6281011724604981E-3</v>
      </c>
    </row>
    <row r="421" spans="4:32" x14ac:dyDescent="0.3">
      <c r="D421" s="6">
        <v>6.0570867527277729E-2</v>
      </c>
      <c r="E421" s="6">
        <v>8.9660015883829006E-2</v>
      </c>
      <c r="F421" s="6">
        <v>6.3394180186166674E-2</v>
      </c>
      <c r="G421" s="6">
        <v>6.9010512682672318E-2</v>
      </c>
      <c r="H421" s="6">
        <v>0.16598270040250021</v>
      </c>
      <c r="I421" s="6">
        <v>9.0659389208348137E-2</v>
      </c>
      <c r="J421" s="6">
        <v>8.7378555855550238E-2</v>
      </c>
      <c r="K421" s="6">
        <v>8.0433103930690614E-2</v>
      </c>
      <c r="L421" s="6">
        <v>0.12322878206135236</v>
      </c>
      <c r="M421" s="6">
        <v>0.18043438613122129</v>
      </c>
      <c r="N421" s="6">
        <v>3.2815546626513939E-2</v>
      </c>
      <c r="O421" s="6">
        <v>0.18448740471759575</v>
      </c>
      <c r="P421" s="6">
        <v>0.11690836122667658</v>
      </c>
      <c r="Q421" s="6">
        <v>6.1570419461584994E-2</v>
      </c>
      <c r="S421" s="6">
        <f t="shared" si="28"/>
        <v>5.8782849539467795E-2</v>
      </c>
      <c r="T421" s="6">
        <f t="shared" si="29"/>
        <v>7.9830539387384505E-2</v>
      </c>
      <c r="U421" s="6">
        <f t="shared" si="30"/>
        <v>6.0834826039956949E-2</v>
      </c>
      <c r="V421" s="6">
        <f t="shared" si="31"/>
        <v>6.6301164347201208E-2</v>
      </c>
      <c r="W421" s="6">
        <f t="shared" si="32"/>
        <v>0.16512592258988942</v>
      </c>
      <c r="X421" s="6">
        <f t="shared" si="33"/>
        <v>8.9179749487118501E-2</v>
      </c>
      <c r="Y421" s="6">
        <f t="shared" si="34"/>
        <v>8.351296854535431E-2</v>
      </c>
      <c r="Z421" s="6">
        <f t="shared" si="35"/>
        <v>8.8571985466520814E-2</v>
      </c>
      <c r="AA421" s="6">
        <f t="shared" si="36"/>
        <v>0.11796009671881941</v>
      </c>
      <c r="AB421" s="6">
        <f t="shared" si="37"/>
        <v>0.17818026275998083</v>
      </c>
      <c r="AC421" s="6">
        <f t="shared" si="38"/>
        <v>2.8656792866668546E-2</v>
      </c>
      <c r="AD421" s="6">
        <f t="shared" si="39"/>
        <v>0.17221005304015469</v>
      </c>
      <c r="AE421" s="6">
        <f t="shared" si="40"/>
        <v>0.11997942787500283</v>
      </c>
      <c r="AF421" s="6">
        <f t="shared" si="41"/>
        <v>6.5098120786030542E-2</v>
      </c>
    </row>
    <row r="422" spans="4:32" x14ac:dyDescent="0.3">
      <c r="D422" s="6">
        <v>-1.8957227866266368E-2</v>
      </c>
      <c r="E422" s="6">
        <v>3.0954535649738522E-2</v>
      </c>
      <c r="F422" s="6">
        <v>0.10511038867879624</v>
      </c>
      <c r="G422" s="6">
        <v>1.2699946760433995E-2</v>
      </c>
      <c r="H422" s="6">
        <v>7.8999292283994955E-3</v>
      </c>
      <c r="I422" s="6">
        <v>5.2246998550901117E-3</v>
      </c>
      <c r="J422" s="6">
        <v>8.7008331565607763E-2</v>
      </c>
      <c r="K422" s="6">
        <v>-1.0594566431396028E-2</v>
      </c>
      <c r="L422" s="6">
        <v>3.6285264577430386E-2</v>
      </c>
      <c r="M422" s="6">
        <v>-2.2723316522097831E-2</v>
      </c>
      <c r="N422" s="6">
        <v>8.064603787664483E-2</v>
      </c>
      <c r="O422" s="6">
        <v>9.709806614581068E-2</v>
      </c>
      <c r="P422" s="6">
        <v>-6.5401268279313904E-2</v>
      </c>
      <c r="Q422" s="6">
        <v>2.8525206456644012E-2</v>
      </c>
      <c r="S422" s="6">
        <f t="shared" si="28"/>
        <v>-2.0745245854076302E-2</v>
      </c>
      <c r="T422" s="6">
        <f t="shared" si="29"/>
        <v>2.1125059153294025E-2</v>
      </c>
      <c r="U422" s="6">
        <f t="shared" si="30"/>
        <v>0.10255103453258652</v>
      </c>
      <c r="V422" s="6">
        <f t="shared" si="31"/>
        <v>9.9905984249628894E-3</v>
      </c>
      <c r="W422" s="6">
        <f t="shared" si="32"/>
        <v>7.0431514157887056E-3</v>
      </c>
      <c r="X422" s="6">
        <f t="shared" si="33"/>
        <v>3.7450601338604797E-3</v>
      </c>
      <c r="Y422" s="6">
        <f t="shared" si="34"/>
        <v>8.3142744255411835E-2</v>
      </c>
      <c r="Z422" s="6">
        <f t="shared" si="35"/>
        <v>-2.4556848955658312E-3</v>
      </c>
      <c r="AA422" s="6">
        <f t="shared" si="36"/>
        <v>3.101657923489743E-2</v>
      </c>
      <c r="AB422" s="6">
        <f t="shared" si="37"/>
        <v>-2.4977439893338275E-2</v>
      </c>
      <c r="AC422" s="6">
        <f t="shared" si="38"/>
        <v>7.6487284116799434E-2</v>
      </c>
      <c r="AD422" s="6">
        <f t="shared" si="39"/>
        <v>8.4820714468369598E-2</v>
      </c>
      <c r="AE422" s="6">
        <f t="shared" si="40"/>
        <v>-6.2330201630987646E-2</v>
      </c>
      <c r="AF422" s="6">
        <f t="shared" si="41"/>
        <v>3.2052907781089567E-2</v>
      </c>
    </row>
    <row r="423" spans="4:32" x14ac:dyDescent="0.3">
      <c r="D423" s="6">
        <v>-3.3775618193580069E-2</v>
      </c>
      <c r="E423" s="6">
        <v>1.8603175473144776E-2</v>
      </c>
      <c r="F423" s="6">
        <v>7.8946875178374388E-3</v>
      </c>
      <c r="G423" s="6">
        <v>-7.1246739872689646E-2</v>
      </c>
      <c r="H423" s="6">
        <v>3.7751933825228276E-2</v>
      </c>
      <c r="I423" s="6">
        <v>1.6082217958432791E-2</v>
      </c>
      <c r="J423" s="6">
        <v>-7.6166184392559072E-3</v>
      </c>
      <c r="K423" s="6">
        <v>-2.3953241022492758E-2</v>
      </c>
      <c r="L423" s="6">
        <v>-7.0545602585090919E-2</v>
      </c>
      <c r="M423" s="6">
        <v>-2.7756883998663828E-2</v>
      </c>
      <c r="N423" s="6">
        <v>-1.7595761890379601E-2</v>
      </c>
      <c r="O423" s="6">
        <v>-5.7802328865416905E-2</v>
      </c>
      <c r="P423" s="6">
        <v>-1.0124188370059488E-2</v>
      </c>
      <c r="Q423" s="6">
        <v>3.8615804522756883E-2</v>
      </c>
      <c r="S423" s="6">
        <f t="shared" si="28"/>
        <v>-3.5563636181390003E-2</v>
      </c>
      <c r="T423" s="6">
        <f t="shared" si="29"/>
        <v>8.7736989767002796E-3</v>
      </c>
      <c r="U423" s="6">
        <f t="shared" si="30"/>
        <v>5.3353333716277124E-3</v>
      </c>
      <c r="V423" s="6">
        <f t="shared" si="31"/>
        <v>-7.3956088208160756E-2</v>
      </c>
      <c r="W423" s="6">
        <f t="shared" si="32"/>
        <v>3.6895156012617489E-2</v>
      </c>
      <c r="X423" s="6">
        <f t="shared" si="33"/>
        <v>1.4602578237203158E-2</v>
      </c>
      <c r="Y423" s="6">
        <f t="shared" si="34"/>
        <v>-1.1482205749451836E-2</v>
      </c>
      <c r="Z423" s="6">
        <f t="shared" si="35"/>
        <v>-1.5814359486662561E-2</v>
      </c>
      <c r="AA423" s="6">
        <f t="shared" si="36"/>
        <v>-7.5814287927623875E-2</v>
      </c>
      <c r="AB423" s="6">
        <f t="shared" si="37"/>
        <v>-3.0011007369904273E-2</v>
      </c>
      <c r="AC423" s="6">
        <f t="shared" si="38"/>
        <v>-2.1754515650224994E-2</v>
      </c>
      <c r="AD423" s="6">
        <f t="shared" si="39"/>
        <v>-7.0079680542857986E-2</v>
      </c>
      <c r="AE423" s="6">
        <f t="shared" si="40"/>
        <v>-7.0531217217332295E-3</v>
      </c>
      <c r="AF423" s="6">
        <f t="shared" si="41"/>
        <v>4.2143505847202438E-2</v>
      </c>
    </row>
    <row r="424" spans="4:32" x14ac:dyDescent="0.3">
      <c r="D424" s="6">
        <v>6.2149380186028572E-2</v>
      </c>
      <c r="E424" s="6">
        <v>0.1490553620107356</v>
      </c>
      <c r="F424" s="6">
        <v>3.4807545230144135E-2</v>
      </c>
      <c r="G424" s="6">
        <v>8.4329114087727169E-2</v>
      </c>
      <c r="H424" s="6">
        <v>0.1599104206589651</v>
      </c>
      <c r="I424" s="6">
        <v>6.2882872845372889E-2</v>
      </c>
      <c r="J424" s="6">
        <v>7.7665290060667483E-2</v>
      </c>
      <c r="K424" s="6">
        <v>5.8840500022933395E-2</v>
      </c>
      <c r="L424" s="6">
        <v>6.7545054780123168E-2</v>
      </c>
      <c r="M424" s="6">
        <v>0.290312565118862</v>
      </c>
      <c r="N424" s="6">
        <v>0.1029545321853909</v>
      </c>
      <c r="O424" s="6">
        <v>9.9100553709950009E-2</v>
      </c>
      <c r="P424" s="6">
        <v>0.15815194872257299</v>
      </c>
      <c r="Q424" s="6">
        <v>3.9901635072175243E-2</v>
      </c>
      <c r="S424" s="6">
        <f t="shared" si="28"/>
        <v>6.0361362198218638E-2</v>
      </c>
      <c r="T424" s="6">
        <f t="shared" si="29"/>
        <v>0.1392258855142911</v>
      </c>
      <c r="U424" s="6">
        <f t="shared" si="30"/>
        <v>3.224819108393441E-2</v>
      </c>
      <c r="V424" s="6">
        <f t="shared" si="31"/>
        <v>8.161976575225606E-2</v>
      </c>
      <c r="W424" s="6">
        <f t="shared" si="32"/>
        <v>0.15905364284635432</v>
      </c>
      <c r="X424" s="6">
        <f t="shared" si="33"/>
        <v>6.140323312414326E-2</v>
      </c>
      <c r="Y424" s="6">
        <f t="shared" si="34"/>
        <v>7.3799702750471555E-2</v>
      </c>
      <c r="Z424" s="6">
        <f t="shared" si="35"/>
        <v>6.6979381558763595E-2</v>
      </c>
      <c r="AA424" s="6">
        <f t="shared" si="36"/>
        <v>6.2276369437590212E-2</v>
      </c>
      <c r="AB424" s="6">
        <f t="shared" si="37"/>
        <v>0.28805844174762157</v>
      </c>
      <c r="AC424" s="6">
        <f t="shared" si="38"/>
        <v>9.8795778425545502E-2</v>
      </c>
      <c r="AD424" s="6">
        <f t="shared" si="39"/>
        <v>8.6823202032508928E-2</v>
      </c>
      <c r="AE424" s="6">
        <f t="shared" si="40"/>
        <v>0.16122301537089925</v>
      </c>
      <c r="AF424" s="6">
        <f t="shared" si="41"/>
        <v>4.3429336396620798E-2</v>
      </c>
    </row>
    <row r="425" spans="4:32" x14ac:dyDescent="0.3">
      <c r="D425" s="6">
        <v>-7.8706386142610413E-2</v>
      </c>
      <c r="E425" s="6">
        <v>-3.0824743532155724E-2</v>
      </c>
      <c r="F425" s="6">
        <v>-9.0442321399590245E-3</v>
      </c>
      <c r="G425" s="6">
        <v>1.3625980258680842E-2</v>
      </c>
      <c r="H425" s="6">
        <v>-3.0873455378807927E-2</v>
      </c>
      <c r="I425" s="6">
        <v>-2.2628738688181521E-2</v>
      </c>
      <c r="J425" s="6">
        <v>-2.0957055455926767E-2</v>
      </c>
      <c r="K425" s="6">
        <v>-6.1267685680544574E-2</v>
      </c>
      <c r="L425" s="6">
        <v>3.6501789367397557E-2</v>
      </c>
      <c r="M425" s="6">
        <v>-1.2461926314268559E-2</v>
      </c>
      <c r="N425" s="6">
        <v>-4.5011496885024441E-2</v>
      </c>
      <c r="O425" s="6">
        <v>-4.9133799486940646E-2</v>
      </c>
      <c r="P425" s="6">
        <v>-3.3626191350465517E-2</v>
      </c>
      <c r="Q425" s="6">
        <v>-6.5184755270188882E-2</v>
      </c>
      <c r="S425" s="6">
        <f t="shared" si="28"/>
        <v>-8.0494404130420347E-2</v>
      </c>
      <c r="T425" s="6">
        <f t="shared" si="29"/>
        <v>-4.0654220028600224E-2</v>
      </c>
      <c r="U425" s="6">
        <f t="shared" si="30"/>
        <v>-1.1603586286168751E-2</v>
      </c>
      <c r="V425" s="6">
        <f t="shared" si="31"/>
        <v>1.0916631923209736E-2</v>
      </c>
      <c r="W425" s="6">
        <f t="shared" si="32"/>
        <v>-3.1730233191418718E-2</v>
      </c>
      <c r="X425" s="6">
        <f t="shared" si="33"/>
        <v>-2.4108378409411154E-2</v>
      </c>
      <c r="Y425" s="6">
        <f t="shared" si="34"/>
        <v>-2.4822642766122695E-2</v>
      </c>
      <c r="Z425" s="6">
        <f t="shared" si="35"/>
        <v>-5.3128804144714381E-2</v>
      </c>
      <c r="AA425" s="6">
        <f t="shared" si="36"/>
        <v>3.1233104024864601E-2</v>
      </c>
      <c r="AB425" s="6">
        <f t="shared" si="37"/>
        <v>-1.4716049685509006E-2</v>
      </c>
      <c r="AC425" s="6">
        <f t="shared" si="38"/>
        <v>-4.9170250644869837E-2</v>
      </c>
      <c r="AD425" s="6">
        <f t="shared" si="39"/>
        <v>-6.1411151164381728E-2</v>
      </c>
      <c r="AE425" s="6">
        <f t="shared" si="40"/>
        <v>-3.0555124702139259E-2</v>
      </c>
      <c r="AF425" s="6">
        <f t="shared" si="41"/>
        <v>-6.1657053945743327E-2</v>
      </c>
    </row>
    <row r="426" spans="4:32" x14ac:dyDescent="0.3">
      <c r="D426" s="6">
        <v>2.8175144552885455E-2</v>
      </c>
      <c r="E426" s="6">
        <v>2.8828661103975677E-2</v>
      </c>
      <c r="F426" s="6">
        <v>2.2361289314598017E-2</v>
      </c>
      <c r="G426" s="6">
        <v>1.9224012846226129E-2</v>
      </c>
      <c r="H426" s="6">
        <v>2.0764817236001498E-2</v>
      </c>
      <c r="I426" s="6">
        <v>1.9803602858823263E-2</v>
      </c>
      <c r="J426" s="6">
        <v>3.2061119604521605E-2</v>
      </c>
      <c r="K426" s="6">
        <v>2.4271856576111375E-3</v>
      </c>
      <c r="L426" s="6">
        <v>3.4050066002282782E-2</v>
      </c>
      <c r="M426" s="6">
        <v>-6.4913521775412764E-2</v>
      </c>
      <c r="N426" s="6">
        <v>-4.1772113356575512E-2</v>
      </c>
      <c r="O426" s="6">
        <v>6.6432355603234725E-2</v>
      </c>
      <c r="P426" s="6">
        <v>4.8783263834420457E-2</v>
      </c>
      <c r="Q426" s="6">
        <v>2.4544931188114249E-2</v>
      </c>
      <c r="S426" s="6">
        <f t="shared" si="28"/>
        <v>2.6387126565075521E-2</v>
      </c>
      <c r="T426" s="6">
        <f t="shared" si="29"/>
        <v>1.899918460753118E-2</v>
      </c>
      <c r="U426" s="6">
        <f t="shared" si="30"/>
        <v>1.9801935168388289E-2</v>
      </c>
      <c r="V426" s="6">
        <f t="shared" si="31"/>
        <v>1.6514664510755023E-2</v>
      </c>
      <c r="W426" s="6">
        <f t="shared" si="32"/>
        <v>1.9908039423390707E-2</v>
      </c>
      <c r="X426" s="6">
        <f t="shared" si="33"/>
        <v>1.832396313759363E-2</v>
      </c>
      <c r="Y426" s="6">
        <f t="shared" si="34"/>
        <v>2.8195532294325677E-2</v>
      </c>
      <c r="Z426" s="6">
        <f t="shared" si="35"/>
        <v>1.0566067193441334E-2</v>
      </c>
      <c r="AA426" s="6">
        <f t="shared" si="36"/>
        <v>2.8781380659749826E-2</v>
      </c>
      <c r="AB426" s="6">
        <f t="shared" si="37"/>
        <v>-6.7167645146653215E-2</v>
      </c>
      <c r="AC426" s="6">
        <f t="shared" si="38"/>
        <v>-4.5930867116420908E-2</v>
      </c>
      <c r="AD426" s="6">
        <f t="shared" si="39"/>
        <v>5.4155003925793643E-2</v>
      </c>
      <c r="AE426" s="6">
        <f t="shared" si="40"/>
        <v>5.1854330482746715E-2</v>
      </c>
      <c r="AF426" s="6">
        <f t="shared" si="41"/>
        <v>2.80726325125598E-2</v>
      </c>
    </row>
    <row r="427" spans="4:32" x14ac:dyDescent="0.3">
      <c r="D427" s="6">
        <v>1.516939926256883E-2</v>
      </c>
      <c r="E427" s="6">
        <v>4.7616001947276582E-2</v>
      </c>
      <c r="F427" s="6">
        <v>2.1532086573450491E-2</v>
      </c>
      <c r="G427" s="6">
        <v>1.1232820325697741E-2</v>
      </c>
      <c r="H427" s="6">
        <v>-0.16031755181549134</v>
      </c>
      <c r="I427" s="6">
        <v>4.090588934740786E-2</v>
      </c>
      <c r="J427" s="6">
        <v>7.4700194211285445E-2</v>
      </c>
      <c r="K427" s="6">
        <v>2.4213086890103454E-3</v>
      </c>
      <c r="L427" s="6">
        <v>-6.2993674864920161E-3</v>
      </c>
      <c r="M427" s="6">
        <v>1.8679367752880517E-2</v>
      </c>
      <c r="N427" s="6">
        <v>1.6965534158296668E-2</v>
      </c>
      <c r="O427" s="6">
        <v>-3.1293497639092616E-2</v>
      </c>
      <c r="P427" s="6">
        <v>8.0063939321431757E-2</v>
      </c>
      <c r="Q427" s="6">
        <v>-1.1138729026325293E-2</v>
      </c>
      <c r="S427" s="6">
        <f t="shared" si="28"/>
        <v>1.3381381274758896E-2</v>
      </c>
      <c r="T427" s="6">
        <f t="shared" si="29"/>
        <v>3.7786525450832081E-2</v>
      </c>
      <c r="U427" s="6">
        <f t="shared" si="30"/>
        <v>1.8972732427240763E-2</v>
      </c>
      <c r="V427" s="6">
        <f t="shared" si="31"/>
        <v>8.5234719902266345E-3</v>
      </c>
      <c r="W427" s="6">
        <f t="shared" si="32"/>
        <v>-0.16117432962810213</v>
      </c>
      <c r="X427" s="6">
        <f t="shared" si="33"/>
        <v>3.9426249626178231E-2</v>
      </c>
      <c r="Y427" s="6">
        <f t="shared" si="34"/>
        <v>7.0834606901089517E-2</v>
      </c>
      <c r="Z427" s="6">
        <f t="shared" si="35"/>
        <v>1.0560190224840543E-2</v>
      </c>
      <c r="AA427" s="6">
        <f t="shared" si="36"/>
        <v>-1.1568052829024969E-2</v>
      </c>
      <c r="AB427" s="6">
        <f t="shared" si="37"/>
        <v>1.6425244381640072E-2</v>
      </c>
      <c r="AC427" s="6">
        <f t="shared" si="38"/>
        <v>1.2806780398451276E-2</v>
      </c>
      <c r="AD427" s="6">
        <f t="shared" si="39"/>
        <v>-4.3570849316533697E-2</v>
      </c>
      <c r="AE427" s="6">
        <f t="shared" si="40"/>
        <v>8.3135005969758008E-2</v>
      </c>
      <c r="AF427" s="6">
        <f t="shared" si="41"/>
        <v>-7.6110277018797412E-3</v>
      </c>
    </row>
    <row r="428" spans="4:32" x14ac:dyDescent="0.3">
      <c r="D428" s="6">
        <v>-3.7319814063391285E-2</v>
      </c>
      <c r="E428" s="6">
        <v>1.7624876782112813E-3</v>
      </c>
      <c r="F428" s="6">
        <v>9.6897112886791519E-3</v>
      </c>
      <c r="G428" s="6">
        <v>5.6839538702649767E-3</v>
      </c>
      <c r="H428" s="6">
        <v>9.7328753826107783E-2</v>
      </c>
      <c r="I428" s="6">
        <v>-6.9067862132547652E-3</v>
      </c>
      <c r="J428" s="6">
        <v>-2.1499038945456135E-2</v>
      </c>
      <c r="K428" s="6">
        <v>-4.0721233776555454E-2</v>
      </c>
      <c r="L428" s="6">
        <v>2.5732956315064778E-2</v>
      </c>
      <c r="M428" s="6">
        <v>-3.4660743180097021E-2</v>
      </c>
      <c r="N428" s="6">
        <v>-1.970216505296005E-2</v>
      </c>
      <c r="O428" s="6">
        <v>7.3056011941667845E-2</v>
      </c>
      <c r="P428" s="6">
        <v>-5.3508283379192917E-2</v>
      </c>
      <c r="Q428" s="6">
        <v>-4.7403447201208627E-2</v>
      </c>
      <c r="S428" s="6">
        <f t="shared" si="28"/>
        <v>-3.9107832051201219E-2</v>
      </c>
      <c r="T428" s="6">
        <f t="shared" si="29"/>
        <v>-8.0669888182332162E-3</v>
      </c>
      <c r="U428" s="6">
        <f t="shared" si="30"/>
        <v>7.1303571424694255E-3</v>
      </c>
      <c r="V428" s="6">
        <f t="shared" si="31"/>
        <v>2.9746055347938702E-3</v>
      </c>
      <c r="W428" s="6">
        <f t="shared" si="32"/>
        <v>9.6471976013496996E-2</v>
      </c>
      <c r="X428" s="6">
        <f t="shared" si="33"/>
        <v>-8.3864259344843973E-3</v>
      </c>
      <c r="Y428" s="6">
        <f t="shared" si="34"/>
        <v>-2.5364626255652063E-2</v>
      </c>
      <c r="Z428" s="6">
        <f t="shared" si="35"/>
        <v>-3.2582352240725254E-2</v>
      </c>
      <c r="AA428" s="6">
        <f t="shared" si="36"/>
        <v>2.0464270972531826E-2</v>
      </c>
      <c r="AB428" s="6">
        <f t="shared" si="37"/>
        <v>-3.6914866551337466E-2</v>
      </c>
      <c r="AC428" s="6">
        <f t="shared" si="38"/>
        <v>-2.3860918812805443E-2</v>
      </c>
      <c r="AD428" s="6">
        <f t="shared" si="39"/>
        <v>6.0778660264226764E-2</v>
      </c>
      <c r="AE428" s="6">
        <f t="shared" si="40"/>
        <v>-5.0437216730866659E-2</v>
      </c>
      <c r="AF428" s="6">
        <f t="shared" si="41"/>
        <v>-4.3875745876763073E-2</v>
      </c>
    </row>
    <row r="429" spans="4:32" x14ac:dyDescent="0.3">
      <c r="D429" s="6">
        <v>2.2896962054607065E-2</v>
      </c>
      <c r="E429" s="6">
        <v>1.3155322322074356E-2</v>
      </c>
      <c r="F429" s="6">
        <v>5.1241239423098278E-3</v>
      </c>
      <c r="G429" s="6">
        <v>-4.7062682487584974E-2</v>
      </c>
      <c r="H429" s="6">
        <v>-9.7302573182123341E-3</v>
      </c>
      <c r="I429" s="6">
        <v>-1.1427611971982485E-2</v>
      </c>
      <c r="J429" s="6">
        <v>-7.6178202069536677E-4</v>
      </c>
      <c r="K429" s="6">
        <v>8.7774858212234415E-3</v>
      </c>
      <c r="L429" s="6">
        <v>-9.0290292780446004E-3</v>
      </c>
      <c r="M429" s="6">
        <v>0.23946547372803861</v>
      </c>
      <c r="N429" s="6">
        <v>-1.7888025758474413E-3</v>
      </c>
      <c r="O429" s="6">
        <v>-7.2806701432350895E-4</v>
      </c>
      <c r="P429" s="6">
        <v>8.4735348851728565E-2</v>
      </c>
      <c r="Q429" s="6">
        <v>1.7591968360093652E-2</v>
      </c>
      <c r="S429" s="6">
        <f t="shared" si="28"/>
        <v>2.1108944066797131E-2</v>
      </c>
      <c r="T429" s="6">
        <f t="shared" si="29"/>
        <v>3.3258458256298588E-3</v>
      </c>
      <c r="U429" s="6">
        <f t="shared" si="30"/>
        <v>2.5647697961001009E-3</v>
      </c>
      <c r="V429" s="6">
        <f t="shared" si="31"/>
        <v>-4.9772030823056083E-2</v>
      </c>
      <c r="W429" s="6">
        <f t="shared" si="32"/>
        <v>-1.0587035130823123E-2</v>
      </c>
      <c r="X429" s="6">
        <f t="shared" si="33"/>
        <v>-1.2907251693212118E-2</v>
      </c>
      <c r="Y429" s="6">
        <f t="shared" si="34"/>
        <v>-4.6273693308912962E-3</v>
      </c>
      <c r="Z429" s="6">
        <f t="shared" si="35"/>
        <v>1.6916367357053638E-2</v>
      </c>
      <c r="AA429" s="6">
        <f t="shared" si="36"/>
        <v>-1.4297714620577554E-2</v>
      </c>
      <c r="AB429" s="6">
        <f t="shared" si="37"/>
        <v>0.23721135035679816</v>
      </c>
      <c r="AC429" s="6">
        <f t="shared" si="38"/>
        <v>-5.9475563356928343E-3</v>
      </c>
      <c r="AD429" s="6">
        <f t="shared" si="39"/>
        <v>-1.3005418691764586E-2</v>
      </c>
      <c r="AE429" s="6">
        <f t="shared" si="40"/>
        <v>8.7806415500054816E-2</v>
      </c>
      <c r="AF429" s="6">
        <f t="shared" si="41"/>
        <v>2.1119669684539204E-2</v>
      </c>
    </row>
    <row r="430" spans="4:32" x14ac:dyDescent="0.3">
      <c r="D430" s="6">
        <v>3.9793076529873232E-4</v>
      </c>
      <c r="E430" s="6">
        <v>9.2240411423765711E-2</v>
      </c>
      <c r="F430" s="6">
        <v>3.810023776107499E-2</v>
      </c>
      <c r="G430" s="6">
        <v>6.8920857372153824E-2</v>
      </c>
      <c r="H430" s="6">
        <v>4.5525713898407682E-3</v>
      </c>
      <c r="I430" s="6">
        <v>6.2885909247458072E-2</v>
      </c>
      <c r="J430" s="6">
        <v>7.2462091642270049E-2</v>
      </c>
      <c r="K430" s="6">
        <v>8.4928476840620604E-2</v>
      </c>
      <c r="L430" s="6">
        <v>4.7219292012535413E-2</v>
      </c>
      <c r="M430" s="6">
        <v>0.13635265718293113</v>
      </c>
      <c r="N430" s="6">
        <v>8.8472471877799233E-2</v>
      </c>
      <c r="O430" s="6">
        <v>-4.8957694589341849E-2</v>
      </c>
      <c r="P430" s="6">
        <v>7.0892535299747622E-2</v>
      </c>
      <c r="Q430" s="6">
        <v>4.9881794290786577E-3</v>
      </c>
      <c r="S430" s="6">
        <f t="shared" si="28"/>
        <v>-1.3900872225112014E-3</v>
      </c>
      <c r="T430" s="6">
        <f t="shared" si="29"/>
        <v>8.2410934927321211E-2</v>
      </c>
      <c r="U430" s="6">
        <f t="shared" si="30"/>
        <v>3.5540883614865265E-2</v>
      </c>
      <c r="V430" s="6">
        <f t="shared" si="31"/>
        <v>6.6211509036682714E-2</v>
      </c>
      <c r="W430" s="6">
        <f t="shared" si="32"/>
        <v>3.6957935772299788E-3</v>
      </c>
      <c r="X430" s="6">
        <f t="shared" si="33"/>
        <v>6.1406269526228442E-2</v>
      </c>
      <c r="Y430" s="6">
        <f t="shared" si="34"/>
        <v>6.8596504332074121E-2</v>
      </c>
      <c r="Z430" s="6">
        <f t="shared" si="35"/>
        <v>9.3067358376450804E-2</v>
      </c>
      <c r="AA430" s="6">
        <f t="shared" si="36"/>
        <v>4.1950606670002458E-2</v>
      </c>
      <c r="AB430" s="6">
        <f t="shared" si="37"/>
        <v>0.13409853381169068</v>
      </c>
      <c r="AC430" s="6">
        <f t="shared" si="38"/>
        <v>8.4313718117953837E-2</v>
      </c>
      <c r="AD430" s="6">
        <f t="shared" si="39"/>
        <v>-6.123504626678293E-2</v>
      </c>
      <c r="AE430" s="6">
        <f t="shared" si="40"/>
        <v>7.3963601948073873E-2</v>
      </c>
      <c r="AF430" s="6">
        <f t="shared" si="41"/>
        <v>8.51588075352421E-3</v>
      </c>
    </row>
    <row r="431" spans="4:32" x14ac:dyDescent="0.3">
      <c r="D431" s="6">
        <v>6.0168158463101098E-2</v>
      </c>
      <c r="E431" s="6">
        <v>1.0028782530897366E-2</v>
      </c>
      <c r="F431" s="6">
        <v>5.8304513867416963E-3</v>
      </c>
      <c r="G431" s="6">
        <v>5.5856705578670009E-3</v>
      </c>
      <c r="H431" s="6">
        <v>-2.5917754823379213E-2</v>
      </c>
      <c r="I431" s="6">
        <v>4.9248954455159005E-4</v>
      </c>
      <c r="J431" s="6">
        <v>-2.0129548496222855E-2</v>
      </c>
      <c r="K431" s="6">
        <v>6.1164141656875406E-2</v>
      </c>
      <c r="L431" s="6">
        <v>2.9150599242108867E-2</v>
      </c>
      <c r="M431" s="6">
        <v>6.6833293055972307E-3</v>
      </c>
      <c r="N431" s="6">
        <v>2.2684057554109766E-2</v>
      </c>
      <c r="O431" s="6">
        <v>2.7312146559508619E-2</v>
      </c>
      <c r="P431" s="6">
        <v>1.518207347149555E-2</v>
      </c>
      <c r="Q431" s="6">
        <v>2.5484213588283936E-3</v>
      </c>
      <c r="S431" s="6">
        <f t="shared" si="28"/>
        <v>5.8380140475291165E-2</v>
      </c>
      <c r="T431" s="6">
        <f t="shared" si="29"/>
        <v>1.9930603445286917E-4</v>
      </c>
      <c r="U431" s="6">
        <f t="shared" si="30"/>
        <v>3.2710972405319695E-3</v>
      </c>
      <c r="V431" s="6">
        <f t="shared" si="31"/>
        <v>2.8763222223958944E-3</v>
      </c>
      <c r="W431" s="6">
        <f t="shared" si="32"/>
        <v>-2.6774532635990004E-2</v>
      </c>
      <c r="X431" s="6">
        <f t="shared" si="33"/>
        <v>-9.8715017667804199E-4</v>
      </c>
      <c r="Y431" s="6">
        <f t="shared" si="34"/>
        <v>-2.3995135806418783E-2</v>
      </c>
      <c r="Z431" s="6">
        <f t="shared" si="35"/>
        <v>6.9303023192705607E-2</v>
      </c>
      <c r="AA431" s="6">
        <f t="shared" si="36"/>
        <v>2.3881913899575911E-2</v>
      </c>
      <c r="AB431" s="6">
        <f t="shared" si="37"/>
        <v>4.4292059343567841E-3</v>
      </c>
      <c r="AC431" s="6">
        <f t="shared" si="38"/>
        <v>1.8525303794264373E-2</v>
      </c>
      <c r="AD431" s="6">
        <f t="shared" si="39"/>
        <v>1.5034794882067541E-2</v>
      </c>
      <c r="AE431" s="6">
        <f t="shared" si="40"/>
        <v>1.8253140119821806E-2</v>
      </c>
      <c r="AF431" s="6">
        <f t="shared" si="41"/>
        <v>6.0761226832739459E-3</v>
      </c>
    </row>
    <row r="432" spans="4:32" x14ac:dyDescent="0.3">
      <c r="D432" s="6">
        <v>-1.1254857332060055E-2</v>
      </c>
      <c r="E432" s="6">
        <v>3.4420223886479154E-2</v>
      </c>
      <c r="F432" s="6">
        <v>8.9407476712208746E-3</v>
      </c>
      <c r="G432" s="6">
        <v>3.669524855985365E-3</v>
      </c>
      <c r="H432" s="6">
        <v>-5.8518756187781696E-3</v>
      </c>
      <c r="I432" s="6">
        <v>7.1806387522621046E-3</v>
      </c>
      <c r="J432" s="6">
        <v>-2.0883810112867873E-3</v>
      </c>
      <c r="K432" s="6">
        <v>-1.7410668305896888E-2</v>
      </c>
      <c r="L432" s="6">
        <v>-7.1866086836187226E-2</v>
      </c>
      <c r="M432" s="6">
        <v>8.4210944540470567E-2</v>
      </c>
      <c r="N432" s="6">
        <v>1.8622906206319078E-2</v>
      </c>
      <c r="O432" s="6">
        <v>5.6008270358962761E-2</v>
      </c>
      <c r="P432" s="6">
        <v>8.1237048366293411E-3</v>
      </c>
      <c r="Q432" s="6">
        <v>-6.8193278509843747E-2</v>
      </c>
      <c r="S432" s="6">
        <f t="shared" si="28"/>
        <v>-1.3042875319869989E-2</v>
      </c>
      <c r="T432" s="6">
        <f t="shared" si="29"/>
        <v>2.4590747390034657E-2</v>
      </c>
      <c r="U432" s="6">
        <f t="shared" si="30"/>
        <v>6.3813935250111482E-3</v>
      </c>
      <c r="V432" s="6">
        <f t="shared" si="31"/>
        <v>9.6017652051425852E-4</v>
      </c>
      <c r="W432" s="6">
        <f t="shared" si="32"/>
        <v>-6.7086534313889595E-3</v>
      </c>
      <c r="X432" s="6">
        <f t="shared" si="33"/>
        <v>5.7009990310324726E-3</v>
      </c>
      <c r="Y432" s="6">
        <f t="shared" si="34"/>
        <v>-5.9539683214827168E-3</v>
      </c>
      <c r="Z432" s="6">
        <f t="shared" si="35"/>
        <v>-9.2717867700666916E-3</v>
      </c>
      <c r="AA432" s="6">
        <f t="shared" si="36"/>
        <v>-7.7134772178720182E-2</v>
      </c>
      <c r="AB432" s="6">
        <f t="shared" si="37"/>
        <v>8.1956821169230115E-2</v>
      </c>
      <c r="AC432" s="6">
        <f t="shared" si="38"/>
        <v>1.4464152446473685E-2</v>
      </c>
      <c r="AD432" s="6">
        <f t="shared" si="39"/>
        <v>4.373091868152168E-2</v>
      </c>
      <c r="AE432" s="6">
        <f t="shared" si="40"/>
        <v>1.1194771484955599E-2</v>
      </c>
      <c r="AF432" s="6">
        <f t="shared" si="41"/>
        <v>-6.4665577185398199E-2</v>
      </c>
    </row>
    <row r="433" spans="3:32" x14ac:dyDescent="0.3">
      <c r="D433" s="6">
        <v>9.4710422952809772E-5</v>
      </c>
      <c r="E433" s="6">
        <v>4.4414853349060708E-2</v>
      </c>
      <c r="F433" s="6">
        <v>1.3282609404760705E-2</v>
      </c>
      <c r="G433" s="6">
        <v>2.6668247082161273E-2</v>
      </c>
      <c r="H433" s="6">
        <v>5.0200228068426445E-2</v>
      </c>
      <c r="I433" s="6">
        <v>4.9207679919768526E-3</v>
      </c>
      <c r="J433" s="6">
        <v>-1.8610880460639745E-2</v>
      </c>
      <c r="K433" s="6">
        <v>9.4211882055262222E-2</v>
      </c>
      <c r="L433" s="6">
        <v>-5.2178951383191514E-3</v>
      </c>
      <c r="M433" s="6">
        <v>8.1151044745264606E-2</v>
      </c>
      <c r="N433" s="6">
        <v>-5.1629919475920223E-2</v>
      </c>
      <c r="O433" s="6">
        <v>7.7299816596389528E-2</v>
      </c>
      <c r="P433" s="6">
        <v>4.7188917104098997E-2</v>
      </c>
      <c r="Q433" s="6">
        <v>1.9562175245167342E-2</v>
      </c>
      <c r="S433" s="6">
        <f t="shared" si="28"/>
        <v>-1.693307564857124E-3</v>
      </c>
      <c r="T433" s="6">
        <f t="shared" si="29"/>
        <v>3.4585376852616215E-2</v>
      </c>
      <c r="U433" s="6">
        <f t="shared" si="30"/>
        <v>1.0723255258550978E-2</v>
      </c>
      <c r="V433" s="6">
        <f t="shared" si="31"/>
        <v>2.3958898746690167E-2</v>
      </c>
      <c r="W433" s="6">
        <f t="shared" si="32"/>
        <v>4.9343450255815657E-2</v>
      </c>
      <c r="X433" s="6">
        <f t="shared" si="33"/>
        <v>3.4411282707472205E-3</v>
      </c>
      <c r="Y433" s="6">
        <f t="shared" si="34"/>
        <v>-2.2476467770835673E-2</v>
      </c>
      <c r="Z433" s="6">
        <f t="shared" si="35"/>
        <v>0.10235076359109242</v>
      </c>
      <c r="AA433" s="6">
        <f t="shared" si="36"/>
        <v>-1.0486580480852105E-2</v>
      </c>
      <c r="AB433" s="6">
        <f t="shared" si="37"/>
        <v>7.8896921374024154E-2</v>
      </c>
      <c r="AC433" s="6">
        <f t="shared" si="38"/>
        <v>-5.5788673235765619E-2</v>
      </c>
      <c r="AD433" s="6">
        <f t="shared" si="39"/>
        <v>6.5022464918948447E-2</v>
      </c>
      <c r="AE433" s="6">
        <f t="shared" si="40"/>
        <v>5.0259983752425255E-2</v>
      </c>
      <c r="AF433" s="6">
        <f t="shared" si="41"/>
        <v>2.3089876569612894E-2</v>
      </c>
    </row>
    <row r="434" spans="3:32" x14ac:dyDescent="0.3">
      <c r="D434" s="6">
        <v>1.2704259702162508E-2</v>
      </c>
      <c r="E434" s="6">
        <v>6.3022381991541471E-3</v>
      </c>
      <c r="F434" s="6">
        <v>7.1501437699780001E-3</v>
      </c>
      <c r="G434" s="6">
        <v>4.2942299930265639E-2</v>
      </c>
      <c r="H434" s="6">
        <v>-4.2099416578350937E-2</v>
      </c>
      <c r="I434" s="6">
        <v>2.3210605532976956E-2</v>
      </c>
      <c r="J434" s="6">
        <v>1.1856507457525582E-2</v>
      </c>
      <c r="K434" s="6">
        <v>-2.4268127272437923E-2</v>
      </c>
      <c r="L434" s="6">
        <v>-1.7036475952182266E-2</v>
      </c>
      <c r="M434" s="6">
        <v>-6.9336648028779591E-2</v>
      </c>
      <c r="N434" s="6">
        <v>7.697420895792906E-3</v>
      </c>
      <c r="O434" s="6">
        <v>3.3814697113590864E-2</v>
      </c>
      <c r="P434" s="6">
        <v>-3.4570805408825955E-2</v>
      </c>
      <c r="Q434" s="6">
        <v>-4.0088194563730242E-4</v>
      </c>
      <c r="S434" s="6">
        <f t="shared" si="28"/>
        <v>1.0916241714352574E-2</v>
      </c>
      <c r="T434" s="6">
        <f t="shared" si="29"/>
        <v>-3.5272382972903497E-3</v>
      </c>
      <c r="U434" s="6">
        <f t="shared" si="30"/>
        <v>4.5907896237682728E-3</v>
      </c>
      <c r="V434" s="6">
        <f t="shared" si="31"/>
        <v>4.0232951594794529E-2</v>
      </c>
      <c r="W434" s="6">
        <f t="shared" si="32"/>
        <v>-4.2956194390961724E-2</v>
      </c>
      <c r="X434" s="6">
        <f t="shared" si="33"/>
        <v>2.1730965811747324E-2</v>
      </c>
      <c r="Y434" s="6">
        <f t="shared" si="34"/>
        <v>7.9909201473296523E-3</v>
      </c>
      <c r="Z434" s="6">
        <f t="shared" si="35"/>
        <v>-1.6129245736607727E-2</v>
      </c>
      <c r="AA434" s="6">
        <f t="shared" si="36"/>
        <v>-2.2305161294715221E-2</v>
      </c>
      <c r="AB434" s="6">
        <f t="shared" si="37"/>
        <v>-7.1590771400020042E-2</v>
      </c>
      <c r="AC434" s="6">
        <f t="shared" si="38"/>
        <v>3.5386671359475125E-3</v>
      </c>
      <c r="AD434" s="6">
        <f t="shared" si="39"/>
        <v>2.1537345436149786E-2</v>
      </c>
      <c r="AE434" s="6">
        <f t="shared" si="40"/>
        <v>-3.1499738760499697E-2</v>
      </c>
      <c r="AF434" s="6">
        <f t="shared" si="41"/>
        <v>3.1268193788082494E-3</v>
      </c>
    </row>
    <row r="435" spans="3:32" x14ac:dyDescent="0.3">
      <c r="D435" s="6">
        <v>-5.5267991778916913E-2</v>
      </c>
      <c r="E435" s="6">
        <v>1.2672082797072644E-3</v>
      </c>
      <c r="F435" s="6">
        <v>2.0042682055769194E-2</v>
      </c>
      <c r="G435" s="6">
        <v>-2.1187787450786845E-2</v>
      </c>
      <c r="H435" s="6">
        <v>-4.3421131760917012E-2</v>
      </c>
      <c r="I435" s="6">
        <v>-7.4846099803514865E-2</v>
      </c>
      <c r="J435" s="6">
        <v>5.1054027959032348E-2</v>
      </c>
      <c r="K435" s="6">
        <v>-7.6551708342856475E-2</v>
      </c>
      <c r="L435" s="6">
        <v>-4.6499662342441794E-2</v>
      </c>
      <c r="M435" s="6">
        <v>-0.21880608921809042</v>
      </c>
      <c r="N435" s="6">
        <v>-4.9168152127620803E-2</v>
      </c>
      <c r="O435" s="6">
        <v>-2.894123478918726E-2</v>
      </c>
      <c r="P435" s="6">
        <v>-0.11936551214537142</v>
      </c>
      <c r="Q435" s="6">
        <v>-5.2827976383108453E-2</v>
      </c>
      <c r="S435" s="6">
        <f t="shared" si="28"/>
        <v>-5.7056009766726846E-2</v>
      </c>
      <c r="T435" s="6">
        <f t="shared" si="29"/>
        <v>-8.5622682167372319E-3</v>
      </c>
      <c r="U435" s="6">
        <f t="shared" si="30"/>
        <v>1.7483327909559466E-2</v>
      </c>
      <c r="V435" s="6">
        <f t="shared" si="31"/>
        <v>-2.3897135786257951E-2</v>
      </c>
      <c r="W435" s="6">
        <f t="shared" si="32"/>
        <v>-4.4277909573527799E-2</v>
      </c>
      <c r="X435" s="6">
        <f t="shared" si="33"/>
        <v>-7.6325739524744501E-2</v>
      </c>
      <c r="Y435" s="6">
        <f t="shared" si="34"/>
        <v>4.718844064883642E-2</v>
      </c>
      <c r="Z435" s="6">
        <f t="shared" si="35"/>
        <v>-6.8412826807026275E-2</v>
      </c>
      <c r="AA435" s="6">
        <f t="shared" si="36"/>
        <v>-5.176834768497475E-2</v>
      </c>
      <c r="AB435" s="6">
        <f t="shared" si="37"/>
        <v>-0.22106021258933087</v>
      </c>
      <c r="AC435" s="6">
        <f t="shared" si="38"/>
        <v>-5.3326905887466199E-2</v>
      </c>
      <c r="AD435" s="6">
        <f t="shared" si="39"/>
        <v>-4.1218586466628335E-2</v>
      </c>
      <c r="AE435" s="6">
        <f t="shared" si="40"/>
        <v>-0.11629444549704517</v>
      </c>
      <c r="AF435" s="6">
        <f t="shared" si="41"/>
        <v>-4.9300275058662898E-2</v>
      </c>
    </row>
    <row r="436" spans="3:32" x14ac:dyDescent="0.3">
      <c r="D436" s="6">
        <v>0.12510210274156713</v>
      </c>
      <c r="E436" s="6">
        <v>5.0400655717339808E-2</v>
      </c>
      <c r="F436" s="6">
        <v>-3.9573726549483063E-3</v>
      </c>
      <c r="G436" s="6">
        <v>6.2957670919635514E-2</v>
      </c>
      <c r="H436" s="6">
        <v>8.5520548339267866E-2</v>
      </c>
      <c r="I436" s="6">
        <v>3.6306108933200416E-2</v>
      </c>
      <c r="J436" s="6">
        <v>2.5394470690087597E-2</v>
      </c>
      <c r="K436" s="6">
        <v>-0.19993431840383932</v>
      </c>
      <c r="L436" s="6">
        <v>-5.0909230444430645E-2</v>
      </c>
      <c r="M436" s="6">
        <v>-1.3275309717576208E-2</v>
      </c>
      <c r="N436" s="6">
        <v>3.0035691281185384E-2</v>
      </c>
      <c r="O436" s="6">
        <v>0.1921903762067543</v>
      </c>
      <c r="P436" s="6">
        <v>3.9590929493666098E-2</v>
      </c>
      <c r="Q436" s="6">
        <v>8.4187392136146014E-3</v>
      </c>
      <c r="S436" s="6">
        <f t="shared" si="28"/>
        <v>0.1233140847537572</v>
      </c>
      <c r="T436" s="6">
        <f t="shared" si="29"/>
        <v>4.0571179220895315E-2</v>
      </c>
      <c r="U436" s="6">
        <f t="shared" si="30"/>
        <v>-6.5167268011580327E-3</v>
      </c>
      <c r="V436" s="6">
        <f t="shared" si="31"/>
        <v>6.0248322584164404E-2</v>
      </c>
      <c r="W436" s="6">
        <f t="shared" si="32"/>
        <v>8.4663770526657078E-2</v>
      </c>
      <c r="X436" s="6">
        <f t="shared" si="33"/>
        <v>3.4826469211970787E-2</v>
      </c>
      <c r="Y436" s="6">
        <f t="shared" si="34"/>
        <v>2.1528883379891669E-2</v>
      </c>
      <c r="Z436" s="6">
        <f t="shared" si="35"/>
        <v>-0.19179543686800912</v>
      </c>
      <c r="AA436" s="6">
        <f t="shared" si="36"/>
        <v>-5.61779157869636E-2</v>
      </c>
      <c r="AB436" s="6">
        <f t="shared" si="37"/>
        <v>-1.5529433088816654E-2</v>
      </c>
      <c r="AC436" s="6">
        <f t="shared" si="38"/>
        <v>2.5876937521339991E-2</v>
      </c>
      <c r="AD436" s="6">
        <f t="shared" si="39"/>
        <v>0.17991302452931324</v>
      </c>
      <c r="AE436" s="6">
        <f t="shared" si="40"/>
        <v>4.2661996141992356E-2</v>
      </c>
      <c r="AF436" s="6">
        <f t="shared" si="41"/>
        <v>1.1946440538060153E-2</v>
      </c>
    </row>
    <row r="437" spans="3:32" x14ac:dyDescent="0.3">
      <c r="D437" s="6">
        <v>9.7193458305482976E-3</v>
      </c>
      <c r="E437" s="6">
        <v>-1.2391732295163497E-2</v>
      </c>
      <c r="F437" s="6">
        <v>-3.58853207463576E-3</v>
      </c>
      <c r="G437" s="6">
        <v>1.2237397360410983E-2</v>
      </c>
      <c r="H437" s="6">
        <v>2.7567003719651032E-3</v>
      </c>
      <c r="I437" s="6">
        <v>3.6766902421703163E-2</v>
      </c>
      <c r="J437" s="6">
        <v>2.0495658033841117E-2</v>
      </c>
      <c r="K437" s="6">
        <v>-3.5718082602079232E-2</v>
      </c>
      <c r="L437" s="6">
        <v>8.0010750748730625E-3</v>
      </c>
      <c r="M437" s="6">
        <v>2.2322568695960155E-2</v>
      </c>
      <c r="N437" s="6">
        <v>3.3380349921579539E-2</v>
      </c>
      <c r="O437" s="6">
        <v>-5.3784966618256692E-2</v>
      </c>
      <c r="P437" s="6">
        <v>8.1659179407049476E-2</v>
      </c>
      <c r="Q437" s="6">
        <v>2.169942097072906E-2</v>
      </c>
      <c r="S437" s="6">
        <f t="shared" si="28"/>
        <v>7.9313278427383636E-3</v>
      </c>
      <c r="T437" s="6">
        <f t="shared" si="29"/>
        <v>-2.2221208791607994E-2</v>
      </c>
      <c r="U437" s="6">
        <f t="shared" si="30"/>
        <v>-6.1478862208454868E-3</v>
      </c>
      <c r="V437" s="6">
        <f t="shared" si="31"/>
        <v>9.5280490249398768E-3</v>
      </c>
      <c r="W437" s="6">
        <f t="shared" si="32"/>
        <v>1.8999225593543138E-3</v>
      </c>
      <c r="X437" s="6">
        <f t="shared" si="33"/>
        <v>3.5287262700473533E-2</v>
      </c>
      <c r="Y437" s="6">
        <f t="shared" si="34"/>
        <v>1.6630070723645189E-2</v>
      </c>
      <c r="Z437" s="6">
        <f t="shared" si="35"/>
        <v>-2.7579201066249035E-2</v>
      </c>
      <c r="AA437" s="6">
        <f t="shared" si="36"/>
        <v>2.7323897323401087E-3</v>
      </c>
      <c r="AB437" s="6">
        <f t="shared" si="37"/>
        <v>2.0068445324719707E-2</v>
      </c>
      <c r="AC437" s="6">
        <f t="shared" si="38"/>
        <v>2.9221596161734146E-2</v>
      </c>
      <c r="AD437" s="6">
        <f t="shared" si="39"/>
        <v>-6.6062318295697767E-2</v>
      </c>
      <c r="AE437" s="6">
        <f t="shared" si="40"/>
        <v>8.4730246055375727E-2</v>
      </c>
      <c r="AF437" s="6">
        <f t="shared" si="41"/>
        <v>2.5227122295174612E-2</v>
      </c>
    </row>
    <row r="438" spans="3:32" x14ac:dyDescent="0.3">
      <c r="D438" s="6">
        <v>-1.6676123903947196E-2</v>
      </c>
      <c r="E438" s="6">
        <v>-1.3726362150135884E-2</v>
      </c>
      <c r="F438" s="6">
        <v>-2.5191131585880294E-2</v>
      </c>
      <c r="G438" s="6">
        <v>1.0683289003007603E-2</v>
      </c>
      <c r="H438" s="6">
        <v>2.8186843011121804E-2</v>
      </c>
      <c r="I438" s="6">
        <v>-9.5245028189404439E-3</v>
      </c>
      <c r="J438" s="6">
        <v>-3.9537103634758035E-2</v>
      </c>
      <c r="K438" s="6">
        <v>6.9686693160932152E-3</v>
      </c>
      <c r="L438" s="6">
        <v>-1.7326145014324747E-2</v>
      </c>
      <c r="M438" s="6">
        <v>7.2168496471627652E-3</v>
      </c>
      <c r="N438" s="6">
        <v>4.425454150886364E-2</v>
      </c>
      <c r="O438" s="6">
        <v>-0.10984207994961644</v>
      </c>
      <c r="P438" s="6">
        <v>4.2605760952507218E-2</v>
      </c>
      <c r="Q438" s="6">
        <v>0.12005917812402891</v>
      </c>
      <c r="S438" s="6">
        <f t="shared" si="28"/>
        <v>-1.846414189175713E-2</v>
      </c>
      <c r="T438" s="6">
        <f t="shared" si="29"/>
        <v>-2.3555838646580382E-2</v>
      </c>
      <c r="U438" s="6">
        <f t="shared" si="30"/>
        <v>-2.7750485732090022E-2</v>
      </c>
      <c r="V438" s="6">
        <f t="shared" si="31"/>
        <v>7.9739406675364971E-3</v>
      </c>
      <c r="W438" s="6">
        <f t="shared" si="32"/>
        <v>2.7330065198511014E-2</v>
      </c>
      <c r="X438" s="6">
        <f t="shared" si="33"/>
        <v>-1.1004142540170077E-2</v>
      </c>
      <c r="Y438" s="6">
        <f t="shared" si="34"/>
        <v>-4.3402690944953963E-2</v>
      </c>
      <c r="Z438" s="6">
        <f t="shared" si="35"/>
        <v>1.5107550851923411E-2</v>
      </c>
      <c r="AA438" s="6">
        <f t="shared" si="36"/>
        <v>-2.2594830356857699E-2</v>
      </c>
      <c r="AB438" s="6">
        <f t="shared" si="37"/>
        <v>4.9627262759223186E-3</v>
      </c>
      <c r="AC438" s="6">
        <f t="shared" si="38"/>
        <v>4.0095787749018244E-2</v>
      </c>
      <c r="AD438" s="6">
        <f t="shared" si="39"/>
        <v>-0.12211943162705752</v>
      </c>
      <c r="AE438" s="6">
        <f t="shared" si="40"/>
        <v>4.5676827600833476E-2</v>
      </c>
      <c r="AF438" s="6">
        <f t="shared" si="41"/>
        <v>0.12358687944847446</v>
      </c>
    </row>
    <row r="439" spans="3:32" x14ac:dyDescent="0.3">
      <c r="D439" s="6">
        <v>1.9048194970694411E-2</v>
      </c>
      <c r="E439" s="6">
        <v>-2.1638121674068093E-2</v>
      </c>
      <c r="F439" s="6">
        <v>-1.0651728954093041E-3</v>
      </c>
      <c r="G439" s="6">
        <v>3.2556574621584185E-2</v>
      </c>
      <c r="H439" s="6">
        <v>-1.822333328895202E-2</v>
      </c>
      <c r="I439" s="6">
        <v>6.9893415391157881E-4</v>
      </c>
      <c r="J439" s="6">
        <v>-2.1547680329279891E-2</v>
      </c>
      <c r="K439" s="6">
        <v>-8.3682496705166903E-3</v>
      </c>
      <c r="L439" s="6">
        <v>7.4622792240671967E-3</v>
      </c>
      <c r="M439" s="6">
        <v>-4.904969448356019E-2</v>
      </c>
      <c r="N439" s="6">
        <v>-3.191201831047713E-2</v>
      </c>
      <c r="O439" s="6">
        <v>-1.2870680127604882E-2</v>
      </c>
      <c r="P439" s="6">
        <v>2.4532103517381141E-2</v>
      </c>
      <c r="Q439" s="6">
        <v>-1.281364777043118E-2</v>
      </c>
      <c r="S439" s="6">
        <f t="shared" si="28"/>
        <v>1.7260176982884477E-2</v>
      </c>
      <c r="T439" s="6">
        <f t="shared" si="29"/>
        <v>-3.146759817051259E-2</v>
      </c>
      <c r="U439" s="6">
        <f t="shared" si="30"/>
        <v>-3.6245270416190309E-3</v>
      </c>
      <c r="V439" s="6">
        <f t="shared" si="31"/>
        <v>2.9847226286113079E-2</v>
      </c>
      <c r="W439" s="6">
        <f t="shared" si="32"/>
        <v>-1.9080111101562811E-2</v>
      </c>
      <c r="X439" s="6">
        <f t="shared" si="33"/>
        <v>-7.8070556731805324E-4</v>
      </c>
      <c r="Y439" s="6">
        <f t="shared" si="34"/>
        <v>-2.5413267639475819E-2</v>
      </c>
      <c r="Z439" s="6">
        <f t="shared" si="35"/>
        <v>-2.2936813468649349E-4</v>
      </c>
      <c r="AA439" s="6">
        <f t="shared" si="36"/>
        <v>2.1935938815342429E-3</v>
      </c>
      <c r="AB439" s="6">
        <f t="shared" si="37"/>
        <v>-5.1303817854800635E-2</v>
      </c>
      <c r="AC439" s="6">
        <f t="shared" si="38"/>
        <v>-3.6070772070322527E-2</v>
      </c>
      <c r="AD439" s="6">
        <f t="shared" si="39"/>
        <v>-2.5148031805045962E-2</v>
      </c>
      <c r="AE439" s="6">
        <f t="shared" si="40"/>
        <v>2.7603170165707399E-2</v>
      </c>
      <c r="AF439" s="6">
        <f t="shared" si="41"/>
        <v>-9.2859464459856284E-3</v>
      </c>
    </row>
    <row r="440" spans="3:32" x14ac:dyDescent="0.3">
      <c r="D440" s="6">
        <v>3.2005783814422532E-2</v>
      </c>
      <c r="E440" s="6">
        <v>-4.1975681539510132E-2</v>
      </c>
      <c r="F440" s="6">
        <v>-2.3341614174711103E-2</v>
      </c>
      <c r="G440" s="6">
        <v>9.8715972939157806E-2</v>
      </c>
      <c r="H440" s="6">
        <v>4.9578583429737401E-2</v>
      </c>
      <c r="I440" s="6">
        <v>1.4436771232957042E-2</v>
      </c>
      <c r="J440" s="6">
        <v>1.8442664698035603E-2</v>
      </c>
      <c r="K440" s="6">
        <v>2.3530497410194036E-2</v>
      </c>
      <c r="L440" s="6">
        <v>-1.4429784563927898E-2</v>
      </c>
      <c r="M440" s="6">
        <v>-1.8124781709864209E-2</v>
      </c>
      <c r="N440" s="6">
        <v>-2.988205448192079E-2</v>
      </c>
      <c r="O440" s="6">
        <v>-2.3240346218120832E-2</v>
      </c>
      <c r="P440" s="6">
        <v>-1.3764555170614071E-2</v>
      </c>
      <c r="Q440" s="6">
        <v>2.7379057241779959E-2</v>
      </c>
      <c r="S440" s="6">
        <f t="shared" si="28"/>
        <v>3.0217765826612598E-2</v>
      </c>
      <c r="T440" s="6">
        <f t="shared" si="29"/>
        <v>-5.1805158035954632E-2</v>
      </c>
      <c r="U440" s="6">
        <f t="shared" si="30"/>
        <v>-2.5900968320920831E-2</v>
      </c>
      <c r="V440" s="6">
        <f t="shared" si="31"/>
        <v>9.6006624603686697E-2</v>
      </c>
      <c r="W440" s="6">
        <f t="shared" si="32"/>
        <v>4.8721805617126614E-2</v>
      </c>
      <c r="X440" s="6">
        <f t="shared" si="33"/>
        <v>1.2957131511727411E-2</v>
      </c>
      <c r="Y440" s="6">
        <f t="shared" si="34"/>
        <v>1.4577077387839673E-2</v>
      </c>
      <c r="Z440" s="6">
        <f t="shared" si="35"/>
        <v>3.1669378946024229E-2</v>
      </c>
      <c r="AA440" s="6">
        <f t="shared" si="36"/>
        <v>-1.9698469906460854E-2</v>
      </c>
      <c r="AB440" s="6">
        <f t="shared" si="37"/>
        <v>-2.0378905081104653E-2</v>
      </c>
      <c r="AC440" s="6">
        <f t="shared" si="38"/>
        <v>-3.4040808241766182E-2</v>
      </c>
      <c r="AD440" s="6">
        <f t="shared" si="39"/>
        <v>-3.551769789556191E-2</v>
      </c>
      <c r="AE440" s="6">
        <f t="shared" si="40"/>
        <v>-1.0693488522287813E-2</v>
      </c>
      <c r="AF440" s="6">
        <f t="shared" si="41"/>
        <v>3.090675856622551E-2</v>
      </c>
    </row>
    <row r="441" spans="3:32" x14ac:dyDescent="0.3">
      <c r="D441" s="6">
        <v>-2.3726205833086097E-2</v>
      </c>
      <c r="E441" s="6">
        <v>6.2658236967909467E-2</v>
      </c>
      <c r="F441" s="6">
        <v>2.9656865492419617E-2</v>
      </c>
      <c r="G441" s="6">
        <v>2.4381199290507111E-2</v>
      </c>
      <c r="H441" s="6">
        <v>0.12093240554020449</v>
      </c>
      <c r="I441" s="6">
        <v>-1.8155467413785025E-2</v>
      </c>
      <c r="J441" s="6">
        <v>4.1643517914331241E-3</v>
      </c>
      <c r="K441" s="6">
        <v>4.0955688647372019E-3</v>
      </c>
      <c r="L441" s="6">
        <v>4.3275701780135269E-2</v>
      </c>
      <c r="M441" s="6">
        <v>7.7098494861805145E-2</v>
      </c>
      <c r="N441" s="6">
        <v>5.2452090796990494E-2</v>
      </c>
      <c r="O441" s="6">
        <v>0.11301840270238588</v>
      </c>
      <c r="P441" s="6">
        <v>-7.5885692999549644E-3</v>
      </c>
      <c r="Q441" s="6">
        <v>3.5786749394344157E-3</v>
      </c>
      <c r="S441" s="6">
        <f t="shared" si="28"/>
        <v>-2.5514223820896031E-2</v>
      </c>
      <c r="T441" s="6">
        <f t="shared" si="29"/>
        <v>5.2828760471464967E-2</v>
      </c>
      <c r="U441" s="6">
        <f t="shared" si="30"/>
        <v>2.7097511346209888E-2</v>
      </c>
      <c r="V441" s="6">
        <f t="shared" si="31"/>
        <v>2.1671850955036005E-2</v>
      </c>
      <c r="W441" s="6">
        <f t="shared" si="32"/>
        <v>0.1200756277275937</v>
      </c>
      <c r="X441" s="6">
        <f t="shared" si="33"/>
        <v>-1.9635107135014658E-2</v>
      </c>
      <c r="Y441" s="6">
        <f t="shared" si="34"/>
        <v>2.987644812371946E-4</v>
      </c>
      <c r="Z441" s="6">
        <f t="shared" si="35"/>
        <v>1.22344504005674E-2</v>
      </c>
      <c r="AA441" s="6">
        <f t="shared" si="36"/>
        <v>3.8007016437602313E-2</v>
      </c>
      <c r="AB441" s="6">
        <f t="shared" si="37"/>
        <v>7.4844371490564693E-2</v>
      </c>
      <c r="AC441" s="6">
        <f t="shared" si="38"/>
        <v>4.8293337037145098E-2</v>
      </c>
      <c r="AD441" s="6">
        <f t="shared" si="39"/>
        <v>0.10074105102494479</v>
      </c>
      <c r="AE441" s="6">
        <f t="shared" si="40"/>
        <v>-4.5175026516287072E-3</v>
      </c>
      <c r="AF441" s="6">
        <f t="shared" si="41"/>
        <v>7.1063762638799675E-3</v>
      </c>
    </row>
    <row r="442" spans="3:32" x14ac:dyDescent="0.3">
      <c r="D442" s="6">
        <v>4.7676731312762365E-2</v>
      </c>
      <c r="E442" s="6">
        <v>-6.4882170684038313E-3</v>
      </c>
      <c r="F442" s="6">
        <v>1.5625469931662771E-2</v>
      </c>
      <c r="G442" s="6">
        <v>5.6198189221352224E-2</v>
      </c>
      <c r="H442" s="6">
        <v>7.3340967395882514E-2</v>
      </c>
      <c r="I442" s="6">
        <v>1.4490169332226367E-2</v>
      </c>
      <c r="J442" s="6">
        <v>2.9715935786815265E-2</v>
      </c>
      <c r="K442" s="6">
        <v>0.10590532634959142</v>
      </c>
      <c r="L442" s="6">
        <v>0.14182356262202814</v>
      </c>
      <c r="M442" s="6">
        <v>5.8378707996297526E-2</v>
      </c>
      <c r="N442" s="6">
        <v>2.6956364701997911E-2</v>
      </c>
      <c r="O442" s="6">
        <v>6.1972231556516585E-2</v>
      </c>
      <c r="P442" s="6">
        <v>7.4002168841979632E-2</v>
      </c>
      <c r="Q442" s="6">
        <v>2.141073733352435E-3</v>
      </c>
      <c r="S442" s="6">
        <f t="shared" si="28"/>
        <v>4.5888713324952431E-2</v>
      </c>
      <c r="T442" s="6">
        <f t="shared" si="29"/>
        <v>-1.6317693564848329E-2</v>
      </c>
      <c r="U442" s="6">
        <f t="shared" si="30"/>
        <v>1.3066115785453044E-2</v>
      </c>
      <c r="V442" s="6">
        <f t="shared" si="31"/>
        <v>5.3488840885881114E-2</v>
      </c>
      <c r="W442" s="6">
        <f t="shared" si="32"/>
        <v>7.2484189583271727E-2</v>
      </c>
      <c r="X442" s="6">
        <f t="shared" si="33"/>
        <v>1.3010529610996736E-2</v>
      </c>
      <c r="Y442" s="6">
        <f t="shared" si="34"/>
        <v>2.5850348476619336E-2</v>
      </c>
      <c r="Z442" s="6">
        <f t="shared" si="35"/>
        <v>0.11404420788542162</v>
      </c>
      <c r="AA442" s="6">
        <f t="shared" si="36"/>
        <v>0.1365548772794952</v>
      </c>
      <c r="AB442" s="6">
        <f t="shared" si="37"/>
        <v>5.6124584625057081E-2</v>
      </c>
      <c r="AC442" s="6">
        <f t="shared" si="38"/>
        <v>2.2797610942152519E-2</v>
      </c>
      <c r="AD442" s="6">
        <f t="shared" si="39"/>
        <v>4.9694879879075504E-2</v>
      </c>
      <c r="AE442" s="6">
        <f t="shared" si="40"/>
        <v>7.7073235490305883E-2</v>
      </c>
      <c r="AF442" s="6">
        <f t="shared" si="41"/>
        <v>5.6687750577979869E-3</v>
      </c>
    </row>
    <row r="443" spans="3:32" x14ac:dyDescent="0.3">
      <c r="D443" s="6">
        <v>3.9768894380055562E-2</v>
      </c>
      <c r="E443" s="6">
        <v>8.5668111147343875E-3</v>
      </c>
      <c r="F443" s="6">
        <v>-1.2570717027502081E-2</v>
      </c>
      <c r="G443" s="6">
        <v>-3.2640650532644852E-2</v>
      </c>
      <c r="H443" s="6">
        <v>3.3079752829257195E-2</v>
      </c>
      <c r="I443" s="6">
        <v>-5.1866430686859935E-2</v>
      </c>
      <c r="J443" s="6">
        <v>-4.5509879951136541E-2</v>
      </c>
      <c r="K443" s="6">
        <v>1.3390340059584258E-2</v>
      </c>
      <c r="L443" s="6">
        <v>-4.2955067492453224E-2</v>
      </c>
      <c r="M443" s="6">
        <v>-9.1262434848408056E-2</v>
      </c>
      <c r="N443" s="6">
        <v>-6.0926078245324622E-4</v>
      </c>
      <c r="O443" s="6">
        <v>-2.6782354205162957E-2</v>
      </c>
      <c r="P443" s="6">
        <v>-2.1651456570134151E-2</v>
      </c>
      <c r="Q443" s="6">
        <v>4.1501215669912245E-3</v>
      </c>
      <c r="S443" s="6">
        <f t="shared" ref="S443:S445" si="42">IFERROR(D443-D$448,"NA")</f>
        <v>3.7980876392245629E-2</v>
      </c>
      <c r="T443" s="6">
        <f t="shared" ref="T443:T445" si="43">IFERROR(E443-E$448,"NA")</f>
        <v>-1.2626653817101093E-3</v>
      </c>
      <c r="U443" s="6">
        <f t="shared" ref="U443:U445" si="44">IFERROR(F443-F$448,"NA")</f>
        <v>-1.5130071173711807E-2</v>
      </c>
      <c r="V443" s="6">
        <f t="shared" ref="V443:V445" si="45">IFERROR(G443-G$448,"NA")</f>
        <v>-3.5349998868115962E-2</v>
      </c>
      <c r="W443" s="6">
        <f t="shared" ref="W443:W445" si="46">IFERROR(H443-H$448,"NA")</f>
        <v>3.2222975016646407E-2</v>
      </c>
      <c r="X443" s="6">
        <f t="shared" ref="X443:X445" si="47">IFERROR(I443-I$448,"NA")</f>
        <v>-5.3346070408089565E-2</v>
      </c>
      <c r="Y443" s="6">
        <f t="shared" ref="Y443:Y445" si="48">IFERROR(J443-J$448,"NA")</f>
        <v>-4.9375467261332469E-2</v>
      </c>
      <c r="Z443" s="6">
        <f t="shared" ref="Z443:Z445" si="49">IFERROR(K443-K$448,"NA")</f>
        <v>2.1529221595414455E-2</v>
      </c>
      <c r="AA443" s="6">
        <f t="shared" ref="AA443:AA445" si="50">IFERROR(L443-L$448,"NA")</f>
        <v>-4.8223752834986179E-2</v>
      </c>
      <c r="AB443" s="6">
        <f t="shared" ref="AB443:AB445" si="51">IFERROR(M443-M$448,"NA")</f>
        <v>-9.3516558219648507E-2</v>
      </c>
      <c r="AC443" s="6">
        <f t="shared" ref="AC443:AC445" si="52">IFERROR(N443-N$448,"NA")</f>
        <v>-4.7680145422986393E-3</v>
      </c>
      <c r="AD443" s="6">
        <f t="shared" ref="AD443:AD445" si="53">IFERROR(O443-O$448,"NA")</f>
        <v>-3.9059705882604032E-2</v>
      </c>
      <c r="AE443" s="6">
        <f t="shared" ref="AE443:AE445" si="54">IFERROR(P443-P$448,"NA")</f>
        <v>-1.8580389921807893E-2</v>
      </c>
      <c r="AF443" s="6">
        <f t="shared" ref="AF443:AF445" si="55">IFERROR(Q443-Q$448,"NA")</f>
        <v>7.6778228914367759E-3</v>
      </c>
    </row>
    <row r="444" spans="3:32" x14ac:dyDescent="0.3">
      <c r="D444" s="6">
        <v>9.9712596823596112E-3</v>
      </c>
      <c r="E444" s="6">
        <v>5.1568243958481599E-2</v>
      </c>
      <c r="F444" s="6">
        <v>1.1450247085688954E-2</v>
      </c>
      <c r="G444" s="6">
        <v>-4.838489587460932E-3</v>
      </c>
      <c r="H444" s="6">
        <v>-2.4293623169081461E-2</v>
      </c>
      <c r="I444" s="6">
        <v>-1.2292564547297443E-3</v>
      </c>
      <c r="J444" s="6">
        <v>-4.5651565316047402E-2</v>
      </c>
      <c r="K444" s="6">
        <v>3.2126498764878504E-2</v>
      </c>
      <c r="L444" s="6">
        <v>1.7420393174790941E-2</v>
      </c>
      <c r="M444" s="6">
        <v>0.19533145520196873</v>
      </c>
      <c r="N444" s="6">
        <v>-1.8970063866662289E-2</v>
      </c>
      <c r="O444" s="6">
        <v>-2.5668760433835577E-2</v>
      </c>
      <c r="P444" s="6">
        <v>4.1785385731568848E-2</v>
      </c>
      <c r="Q444" s="6">
        <v>-4.291466501723562E-2</v>
      </c>
      <c r="S444" s="6">
        <f t="shared" si="42"/>
        <v>8.1832416945496773E-3</v>
      </c>
      <c r="T444" s="6">
        <f t="shared" si="43"/>
        <v>4.1738767462037099E-2</v>
      </c>
      <c r="U444" s="6">
        <f t="shared" si="44"/>
        <v>8.890892939479228E-3</v>
      </c>
      <c r="V444" s="6">
        <f t="shared" si="45"/>
        <v>-7.547837922932038E-3</v>
      </c>
      <c r="W444" s="6">
        <f t="shared" si="46"/>
        <v>-2.5150400981692252E-2</v>
      </c>
      <c r="X444" s="6">
        <f t="shared" si="47"/>
        <v>-2.7088961759593761E-3</v>
      </c>
      <c r="Y444" s="6">
        <f t="shared" si="48"/>
        <v>-4.951715262624333E-2</v>
      </c>
      <c r="Z444" s="6">
        <f t="shared" si="49"/>
        <v>4.0265380300708697E-2</v>
      </c>
      <c r="AA444" s="6">
        <f t="shared" si="50"/>
        <v>1.2151707832257988E-2</v>
      </c>
      <c r="AB444" s="6">
        <f t="shared" si="51"/>
        <v>0.19307733183072828</v>
      </c>
      <c r="AC444" s="6">
        <f t="shared" si="52"/>
        <v>-2.3128817626507682E-2</v>
      </c>
      <c r="AD444" s="6">
        <f t="shared" si="53"/>
        <v>-3.7946112111276659E-2</v>
      </c>
      <c r="AE444" s="6">
        <f t="shared" si="54"/>
        <v>4.4856452379895106E-2</v>
      </c>
      <c r="AF444" s="6">
        <f t="shared" si="55"/>
        <v>-3.9386963692790065E-2</v>
      </c>
    </row>
    <row r="445" spans="3:32" x14ac:dyDescent="0.3">
      <c r="D445" s="6">
        <v>-5.0677456737145084E-2</v>
      </c>
      <c r="E445" s="6">
        <v>-2.4058552908910263E-2</v>
      </c>
      <c r="F445" s="6">
        <v>-1.2428318797625971E-2</v>
      </c>
      <c r="G445" s="6">
        <v>-3.6441615311596433E-2</v>
      </c>
      <c r="H445" s="6">
        <v>-3.8756451304986173E-2</v>
      </c>
      <c r="I445" s="6">
        <v>-1.4407884364709968E-2</v>
      </c>
      <c r="J445" s="6">
        <v>-7.4301473296585745E-3</v>
      </c>
      <c r="K445" s="6">
        <v>-9.320466961017812E-2</v>
      </c>
      <c r="L445" s="6">
        <v>7.686557966491165E-3</v>
      </c>
      <c r="M445" s="6">
        <v>-6.2460090322571458E-2</v>
      </c>
      <c r="N445" s="6">
        <v>-3.3687395983675247E-2</v>
      </c>
      <c r="O445" s="6">
        <v>1.3600967172725074E-2</v>
      </c>
      <c r="P445" s="6">
        <v>-0.12094160559479879</v>
      </c>
      <c r="Q445" s="6">
        <v>-8.4346816110179162E-3</v>
      </c>
      <c r="S445" s="6">
        <f t="shared" si="42"/>
        <v>-5.2465474724955018E-2</v>
      </c>
      <c r="T445" s="6">
        <f t="shared" si="43"/>
        <v>-3.3888029405354764E-2</v>
      </c>
      <c r="U445" s="6">
        <f t="shared" si="44"/>
        <v>-1.4987672943835698E-2</v>
      </c>
      <c r="V445" s="6">
        <f t="shared" si="45"/>
        <v>-3.9150963647067542E-2</v>
      </c>
      <c r="W445" s="6">
        <f t="shared" si="46"/>
        <v>-3.961322911759696E-2</v>
      </c>
      <c r="X445" s="6">
        <f t="shared" si="47"/>
        <v>-1.5887524085939599E-2</v>
      </c>
      <c r="Y445" s="6">
        <f t="shared" si="48"/>
        <v>-1.1295734639854504E-2</v>
      </c>
      <c r="Z445" s="6">
        <f t="shared" si="49"/>
        <v>-8.506578807434792E-2</v>
      </c>
      <c r="AA445" s="6">
        <f t="shared" si="50"/>
        <v>2.4178726239582112E-3</v>
      </c>
      <c r="AB445" s="6">
        <f t="shared" si="51"/>
        <v>-6.4714213693811903E-2</v>
      </c>
      <c r="AC445" s="6">
        <f t="shared" si="52"/>
        <v>-3.7846149743520643E-2</v>
      </c>
      <c r="AD445" s="6">
        <f t="shared" si="53"/>
        <v>1.3236154952839963E-3</v>
      </c>
      <c r="AE445" s="6">
        <f t="shared" si="54"/>
        <v>-0.11787053894647254</v>
      </c>
      <c r="AF445" s="6">
        <f t="shared" si="55"/>
        <v>-4.9069802865723648E-3</v>
      </c>
    </row>
    <row r="448" spans="3:32" x14ac:dyDescent="0.3">
      <c r="C448" s="2" t="s">
        <v>11</v>
      </c>
      <c r="D448" s="6">
        <f>AVERAGE(D250:D445)</f>
        <v>1.7880179878099337E-3</v>
      </c>
      <c r="E448" s="6">
        <f t="shared" ref="E448:Q448" si="56">AVERAGE(E250:E445)</f>
        <v>9.8294764964444968E-3</v>
      </c>
      <c r="F448" s="6">
        <f t="shared" si="56"/>
        <v>2.5593541462097268E-3</v>
      </c>
      <c r="G448" s="6">
        <f t="shared" si="56"/>
        <v>2.7093483354711065E-3</v>
      </c>
      <c r="H448" s="6">
        <f t="shared" si="56"/>
        <v>8.567778126107895E-4</v>
      </c>
      <c r="I448" s="6">
        <f t="shared" si="56"/>
        <v>1.479639721229632E-3</v>
      </c>
      <c r="J448" s="6">
        <f t="shared" si="56"/>
        <v>3.8655873101959295E-3</v>
      </c>
      <c r="K448" s="6">
        <f t="shared" si="56"/>
        <v>-8.1388815358301968E-3</v>
      </c>
      <c r="L448" s="6">
        <f t="shared" si="56"/>
        <v>5.2686853425329538E-3</v>
      </c>
      <c r="M448" s="6">
        <f t="shared" si="56"/>
        <v>2.2541233712404466E-3</v>
      </c>
      <c r="N448" s="6">
        <f t="shared" si="56"/>
        <v>4.1587537598453935E-3</v>
      </c>
      <c r="O448" s="6">
        <f t="shared" si="56"/>
        <v>1.2277351677441078E-2</v>
      </c>
      <c r="P448" s="6">
        <f t="shared" si="56"/>
        <v>-3.0710666483262576E-3</v>
      </c>
      <c r="Q448" s="6">
        <f t="shared" si="56"/>
        <v>-3.5277013244455519E-3</v>
      </c>
    </row>
    <row r="452" spans="2:32" x14ac:dyDescent="0.3">
      <c r="C452" s="30" t="s">
        <v>41</v>
      </c>
      <c r="D452" s="30"/>
      <c r="E452" s="30"/>
      <c r="F452" s="30"/>
      <c r="G452" s="30"/>
      <c r="H452" s="30"/>
      <c r="I452" s="30"/>
      <c r="J452" s="30"/>
      <c r="K452" s="30"/>
      <c r="L452" s="30"/>
      <c r="M452" s="30"/>
      <c r="N452" s="30"/>
      <c r="O452" s="30"/>
      <c r="P452" s="30"/>
      <c r="S452" s="30" t="s">
        <v>42</v>
      </c>
      <c r="T452" s="30"/>
      <c r="U452" s="30"/>
      <c r="V452" s="30"/>
      <c r="W452" s="30"/>
      <c r="X452" s="30"/>
      <c r="Y452" s="30"/>
      <c r="Z452" s="30"/>
      <c r="AA452" s="30"/>
      <c r="AB452" s="30"/>
      <c r="AC452" s="30"/>
      <c r="AD452" s="30"/>
      <c r="AE452" s="30"/>
      <c r="AF452" s="30"/>
    </row>
    <row r="453" spans="2:32" x14ac:dyDescent="0.3">
      <c r="C453" s="7" t="s">
        <v>3</v>
      </c>
      <c r="D453" s="5" t="s">
        <v>4</v>
      </c>
      <c r="E453" s="5" t="s">
        <v>5</v>
      </c>
      <c r="F453" s="5" t="s">
        <v>6</v>
      </c>
      <c r="G453" s="7" t="s">
        <v>7</v>
      </c>
      <c r="H453" s="5" t="s">
        <v>8</v>
      </c>
      <c r="I453" s="5" t="s">
        <v>9</v>
      </c>
      <c r="J453" s="5" t="s">
        <v>24</v>
      </c>
      <c r="K453" s="5" t="s">
        <v>25</v>
      </c>
      <c r="L453" s="5" t="s">
        <v>26</v>
      </c>
      <c r="M453" s="5" t="s">
        <v>27</v>
      </c>
      <c r="N453" s="5" t="s">
        <v>28</v>
      </c>
      <c r="O453" s="5" t="s">
        <v>29</v>
      </c>
      <c r="P453" s="5" t="s">
        <v>30</v>
      </c>
      <c r="S453" s="7" t="s">
        <v>3</v>
      </c>
      <c r="T453" s="5" t="s">
        <v>4</v>
      </c>
      <c r="U453" s="5" t="s">
        <v>5</v>
      </c>
      <c r="V453" s="5" t="s">
        <v>6</v>
      </c>
      <c r="W453" s="7" t="s">
        <v>7</v>
      </c>
      <c r="X453" s="5" t="s">
        <v>8</v>
      </c>
      <c r="Y453" s="5" t="s">
        <v>9</v>
      </c>
      <c r="Z453" s="5" t="s">
        <v>24</v>
      </c>
      <c r="AA453" s="5" t="s">
        <v>25</v>
      </c>
      <c r="AB453" s="5" t="s">
        <v>26</v>
      </c>
      <c r="AC453" s="5" t="s">
        <v>27</v>
      </c>
      <c r="AD453" s="5" t="s">
        <v>28</v>
      </c>
      <c r="AE453" s="5" t="s">
        <v>29</v>
      </c>
      <c r="AF453" s="5" t="s">
        <v>30</v>
      </c>
    </row>
    <row r="454" spans="2:32" x14ac:dyDescent="0.3">
      <c r="B454" s="7" t="s">
        <v>3</v>
      </c>
      <c r="C454" s="6" cm="1">
        <f t="array" ref="C454:P467">MMULT(TRANSPOSE(S251:AF445),S251:AF445)/(195-1)</f>
        <v>1.5550219565839212E-3</v>
      </c>
      <c r="D454" s="6">
        <v>1.327122847057105E-3</v>
      </c>
      <c r="E454" s="6">
        <v>7.3193836081525735E-4</v>
      </c>
      <c r="F454" s="6">
        <v>9.9369454789545691E-4</v>
      </c>
      <c r="G454" s="6">
        <v>1.5952190525660957E-3</v>
      </c>
      <c r="H454" s="6">
        <v>9.6416762261103764E-4</v>
      </c>
      <c r="I454" s="6">
        <v>8.9366059646770911E-4</v>
      </c>
      <c r="J454" s="6">
        <v>8.8699316906765135E-4</v>
      </c>
      <c r="K454" s="6">
        <v>1.1642862113430341E-3</v>
      </c>
      <c r="L454" s="6">
        <v>1.9189195588967343E-3</v>
      </c>
      <c r="M454" s="6">
        <v>8.4401830312769502E-4</v>
      </c>
      <c r="N454" s="6">
        <v>1.3833050948663535E-3</v>
      </c>
      <c r="O454" s="6">
        <v>1.7947576794059567E-3</v>
      </c>
      <c r="P454" s="6">
        <v>9.6854881214523242E-4</v>
      </c>
      <c r="R454" s="7" t="s">
        <v>3</v>
      </c>
      <c r="S454" s="6" cm="1">
        <f t="array" ref="S454:AF467">MINVERSE(_xlfn.ANCHORARRAY(C454))</f>
        <v>1217.7245070111442</v>
      </c>
      <c r="T454" s="6">
        <v>-46.982916280152601</v>
      </c>
      <c r="U454" s="6">
        <v>-205.03188752666088</v>
      </c>
      <c r="V454" s="6">
        <v>-286.66890040081506</v>
      </c>
      <c r="W454" s="6">
        <v>-142.09731995778364</v>
      </c>
      <c r="X454" s="6">
        <v>-35.640188888827403</v>
      </c>
      <c r="Y454" s="6">
        <v>8.9056450495629598</v>
      </c>
      <c r="Z454" s="6">
        <v>10.714757009750336</v>
      </c>
      <c r="AA454" s="6">
        <v>-28.894993479952216</v>
      </c>
      <c r="AB454" s="6">
        <v>21.107443351520413</v>
      </c>
      <c r="AC454" s="6">
        <v>-60.1159275433712</v>
      </c>
      <c r="AD454" s="6">
        <v>57.310382817038999</v>
      </c>
      <c r="AE454" s="6">
        <v>-76.658193156531198</v>
      </c>
      <c r="AF454" s="6">
        <v>-52.18596330412494</v>
      </c>
    </row>
    <row r="455" spans="2:32" x14ac:dyDescent="0.3">
      <c r="B455" s="5" t="s">
        <v>4</v>
      </c>
      <c r="C455" s="6">
        <v>1.327122847057105E-3</v>
      </c>
      <c r="D455" s="6">
        <v>4.9013337905554092E-3</v>
      </c>
      <c r="E455" s="6">
        <v>1.6247621180596077E-3</v>
      </c>
      <c r="F455" s="6">
        <v>1.4361164604928872E-3</v>
      </c>
      <c r="G455" s="6">
        <v>2.6392849552401556E-3</v>
      </c>
      <c r="H455" s="6">
        <v>1.9675214626557382E-3</v>
      </c>
      <c r="I455" s="6">
        <v>1.8025163896304962E-3</v>
      </c>
      <c r="J455" s="6">
        <v>1.7558337827580227E-3</v>
      </c>
      <c r="K455" s="6">
        <v>2.5179257668152227E-3</v>
      </c>
      <c r="L455" s="6">
        <v>4.4075716277955394E-3</v>
      </c>
      <c r="M455" s="6">
        <v>2.0872361898418759E-3</v>
      </c>
      <c r="N455" s="6">
        <v>3.4933285584314664E-3</v>
      </c>
      <c r="O455" s="6">
        <v>3.1054124807419954E-3</v>
      </c>
      <c r="P455" s="6">
        <v>1.67919684201542E-3</v>
      </c>
      <c r="R455" s="5" t="s">
        <v>4</v>
      </c>
      <c r="S455" s="6">
        <v>-46.982916280152615</v>
      </c>
      <c r="T455" s="6">
        <v>476.75108410969631</v>
      </c>
      <c r="U455" s="6">
        <v>-419.87597361023956</v>
      </c>
      <c r="V455" s="6">
        <v>47.220414971428283</v>
      </c>
      <c r="W455" s="6">
        <v>-33.382397937713385</v>
      </c>
      <c r="X455" s="6">
        <v>-63.173260287971772</v>
      </c>
      <c r="Y455" s="6">
        <v>11.191259972900991</v>
      </c>
      <c r="Z455" s="6">
        <v>-14.470595551539832</v>
      </c>
      <c r="AA455" s="6">
        <v>-19.253135525360626</v>
      </c>
      <c r="AB455" s="6">
        <v>-13.191314924438872</v>
      </c>
      <c r="AC455" s="6">
        <v>-71.770646135827221</v>
      </c>
      <c r="AD455" s="6">
        <v>-52.754653682838835</v>
      </c>
      <c r="AE455" s="6">
        <v>-8.0697121679980643</v>
      </c>
      <c r="AF455" s="6">
        <v>13.951578229829504</v>
      </c>
    </row>
    <row r="456" spans="2:32" x14ac:dyDescent="0.3">
      <c r="B456" s="5" t="s">
        <v>5</v>
      </c>
      <c r="C456" s="6">
        <v>7.3193836081525735E-4</v>
      </c>
      <c r="D456" s="6">
        <v>1.6247621180596077E-3</v>
      </c>
      <c r="E456" s="6">
        <v>1.1744356562309016E-3</v>
      </c>
      <c r="F456" s="6">
        <v>9.2737939477269672E-4</v>
      </c>
      <c r="G456" s="6">
        <v>1.2199969479343056E-3</v>
      </c>
      <c r="H456" s="6">
        <v>1.080662496444424E-3</v>
      </c>
      <c r="I456" s="6">
        <v>1.2203673629553147E-3</v>
      </c>
      <c r="J456" s="6">
        <v>7.4103175995676859E-4</v>
      </c>
      <c r="K456" s="6">
        <v>1.2524327992730849E-3</v>
      </c>
      <c r="L456" s="6">
        <v>1.9484149966242802E-3</v>
      </c>
      <c r="M456" s="6">
        <v>8.387675502282612E-4</v>
      </c>
      <c r="N456" s="6">
        <v>1.4271644182995388E-3</v>
      </c>
      <c r="O456" s="6">
        <v>1.401944040366167E-3</v>
      </c>
      <c r="P456" s="6">
        <v>8.4476781852577988E-4</v>
      </c>
      <c r="R456" s="5" t="s">
        <v>5</v>
      </c>
      <c r="S456" s="6">
        <v>-205.0318875266608</v>
      </c>
      <c r="T456" s="6">
        <v>-419.87597361023956</v>
      </c>
      <c r="U456" s="6">
        <v>2474.1209838632863</v>
      </c>
      <c r="V456" s="6">
        <v>-310.65715300417025</v>
      </c>
      <c r="W456" s="6">
        <v>-33.858148195127761</v>
      </c>
      <c r="X456" s="6">
        <v>-296.95433270730848</v>
      </c>
      <c r="Y456" s="6">
        <v>-325.07516003729444</v>
      </c>
      <c r="Z456" s="6">
        <v>38.027697440414634</v>
      </c>
      <c r="AA456" s="6">
        <v>-127.85874499382631</v>
      </c>
      <c r="AB456" s="6">
        <v>-17.890849890327129</v>
      </c>
      <c r="AC456" s="6">
        <v>46.488225853334363</v>
      </c>
      <c r="AD456" s="6">
        <v>49.360415449133932</v>
      </c>
      <c r="AE456" s="6">
        <v>59.343558581156941</v>
      </c>
      <c r="AF456" s="6">
        <v>-61.822019684952487</v>
      </c>
    </row>
    <row r="457" spans="2:32" x14ac:dyDescent="0.3">
      <c r="B457" s="5" t="s">
        <v>6</v>
      </c>
      <c r="C457" s="6">
        <v>9.9369454789545691E-4</v>
      </c>
      <c r="D457" s="6">
        <v>1.4361164604928872E-3</v>
      </c>
      <c r="E457" s="6">
        <v>9.2737939477269672E-4</v>
      </c>
      <c r="F457" s="6">
        <v>2.006244688632699E-3</v>
      </c>
      <c r="G457" s="6">
        <v>1.4658289069215708E-3</v>
      </c>
      <c r="H457" s="6">
        <v>1.3394594078366708E-3</v>
      </c>
      <c r="I457" s="6">
        <v>1.2672061936300036E-3</v>
      </c>
      <c r="J457" s="6">
        <v>1.2628896535333781E-3</v>
      </c>
      <c r="K457" s="6">
        <v>1.4253139278244786E-3</v>
      </c>
      <c r="L457" s="6">
        <v>2.2999812111528443E-3</v>
      </c>
      <c r="M457" s="6">
        <v>7.8200912339975056E-4</v>
      </c>
      <c r="N457" s="6">
        <v>1.7282904674416893E-3</v>
      </c>
      <c r="O457" s="6">
        <v>1.9446031116541525E-3</v>
      </c>
      <c r="P457" s="6">
        <v>1.081155980175336E-3</v>
      </c>
      <c r="R457" s="5" t="s">
        <v>6</v>
      </c>
      <c r="S457" s="6">
        <v>-286.66890040081518</v>
      </c>
      <c r="T457" s="6">
        <v>47.220414971428063</v>
      </c>
      <c r="U457" s="6">
        <v>-310.65715300416997</v>
      </c>
      <c r="V457" s="6">
        <v>1068.1534014339429</v>
      </c>
      <c r="W457" s="6">
        <v>6.0191347880294881</v>
      </c>
      <c r="X457" s="6">
        <v>-293.90451148045599</v>
      </c>
      <c r="Y457" s="6">
        <v>-64.090317688708581</v>
      </c>
      <c r="Z457" s="6">
        <v>-39.447522436445162</v>
      </c>
      <c r="AA457" s="6">
        <v>-30.260642575451936</v>
      </c>
      <c r="AB457" s="6">
        <v>-9.5760722790567456</v>
      </c>
      <c r="AC457" s="6">
        <v>112.38325647621822</v>
      </c>
      <c r="AD457" s="6">
        <v>-28.035687605462101</v>
      </c>
      <c r="AE457" s="6">
        <v>-21.878794536431876</v>
      </c>
      <c r="AF457" s="6">
        <v>-49.64938325933764</v>
      </c>
    </row>
    <row r="458" spans="2:32" x14ac:dyDescent="0.3">
      <c r="B458" s="7" t="s">
        <v>7</v>
      </c>
      <c r="C458" s="6">
        <v>1.5952190525660957E-3</v>
      </c>
      <c r="D458" s="6">
        <v>2.6392849552401556E-3</v>
      </c>
      <c r="E458" s="6">
        <v>1.2199969479343056E-3</v>
      </c>
      <c r="F458" s="6">
        <v>1.4658289069215708E-3</v>
      </c>
      <c r="G458" s="6">
        <v>6.8715594997377331E-3</v>
      </c>
      <c r="H458" s="6">
        <v>1.7677302295025427E-3</v>
      </c>
      <c r="I458" s="6">
        <v>1.1190289986841E-3</v>
      </c>
      <c r="J458" s="6">
        <v>1.4640090113914529E-3</v>
      </c>
      <c r="K458" s="6">
        <v>2.1592934274844641E-3</v>
      </c>
      <c r="L458" s="6">
        <v>5.0752837830794935E-3</v>
      </c>
      <c r="M458" s="6">
        <v>1.1670307151664383E-3</v>
      </c>
      <c r="N458" s="6">
        <v>3.7896956050208373E-3</v>
      </c>
      <c r="O458" s="6">
        <v>2.9959187117918418E-3</v>
      </c>
      <c r="P458" s="6">
        <v>1.8494147868953589E-3</v>
      </c>
      <c r="R458" s="7" t="s">
        <v>7</v>
      </c>
      <c r="S458" s="6">
        <v>-142.09731995778361</v>
      </c>
      <c r="T458" s="6">
        <v>-33.382397937713378</v>
      </c>
      <c r="U458" s="6">
        <v>-33.858148195127654</v>
      </c>
      <c r="V458" s="6">
        <v>6.019134788029544</v>
      </c>
      <c r="W458" s="6">
        <v>252.71513598288792</v>
      </c>
      <c r="X458" s="6">
        <v>-40.902005057377885</v>
      </c>
      <c r="Y458" s="6">
        <v>33.308681252061476</v>
      </c>
      <c r="Z458" s="6">
        <v>-1.5283550757612967</v>
      </c>
      <c r="AA458" s="6">
        <v>-1.8856138666890088</v>
      </c>
      <c r="AB458" s="6">
        <v>-36.633338686836574</v>
      </c>
      <c r="AC458" s="6">
        <v>65.623151215677098</v>
      </c>
      <c r="AD458" s="6">
        <v>-53.279997003046375</v>
      </c>
      <c r="AE458" s="6">
        <v>8.757960088385417</v>
      </c>
      <c r="AF458" s="6">
        <v>-34.024073428608993</v>
      </c>
    </row>
    <row r="459" spans="2:32" x14ac:dyDescent="0.3">
      <c r="B459" s="5" t="s">
        <v>8</v>
      </c>
      <c r="C459" s="6">
        <v>9.6416762261103764E-4</v>
      </c>
      <c r="D459" s="6">
        <v>1.9675214626557382E-3</v>
      </c>
      <c r="E459" s="6">
        <v>1.080662496444424E-3</v>
      </c>
      <c r="F459" s="6">
        <v>1.3394594078366708E-3</v>
      </c>
      <c r="G459" s="6">
        <v>1.7677302295025427E-3</v>
      </c>
      <c r="H459" s="6">
        <v>2.2646222446490913E-3</v>
      </c>
      <c r="I459" s="6">
        <v>1.522470056154855E-3</v>
      </c>
      <c r="J459" s="6">
        <v>1.425433779109659E-3</v>
      </c>
      <c r="K459" s="6">
        <v>1.8245291587605805E-3</v>
      </c>
      <c r="L459" s="6">
        <v>3.0980420807688522E-3</v>
      </c>
      <c r="M459" s="6">
        <v>1.3956085923355263E-3</v>
      </c>
      <c r="N459" s="6">
        <v>2.2864684762857641E-3</v>
      </c>
      <c r="O459" s="6">
        <v>2.1715951128364369E-3</v>
      </c>
      <c r="P459" s="6">
        <v>1.2718169424595204E-3</v>
      </c>
      <c r="R459" s="5" t="s">
        <v>8</v>
      </c>
      <c r="S459" s="6">
        <v>-35.640188888827282</v>
      </c>
      <c r="T459" s="6">
        <v>-63.17326028797185</v>
      </c>
      <c r="U459" s="6">
        <v>-296.95433270730899</v>
      </c>
      <c r="V459" s="6">
        <v>-293.9045114804556</v>
      </c>
      <c r="W459" s="6">
        <v>-40.902005057377671</v>
      </c>
      <c r="X459" s="6">
        <v>1148.5602602517677</v>
      </c>
      <c r="Y459" s="6">
        <v>-116.86745313018739</v>
      </c>
      <c r="Z459" s="6">
        <v>-33.359008594215098</v>
      </c>
      <c r="AA459" s="6">
        <v>-66.108912420563485</v>
      </c>
      <c r="AB459" s="6">
        <v>-30.504373891407813</v>
      </c>
      <c r="AC459" s="6">
        <v>-94.258779762403236</v>
      </c>
      <c r="AD459" s="6">
        <v>-42.316762423945178</v>
      </c>
      <c r="AE459" s="6">
        <v>27.9175228022347</v>
      </c>
      <c r="AF459" s="6">
        <v>-37.139378412959161</v>
      </c>
    </row>
    <row r="460" spans="2:32" x14ac:dyDescent="0.3">
      <c r="B460" s="5" t="s">
        <v>9</v>
      </c>
      <c r="C460" s="6">
        <v>8.9366059646770911E-4</v>
      </c>
      <c r="D460" s="6">
        <v>1.8025163896304962E-3</v>
      </c>
      <c r="E460" s="6">
        <v>1.2203673629553147E-3</v>
      </c>
      <c r="F460" s="6">
        <v>1.2672061936300036E-3</v>
      </c>
      <c r="G460" s="6">
        <v>1.1190289986841E-3</v>
      </c>
      <c r="H460" s="6">
        <v>1.522470056154855E-3</v>
      </c>
      <c r="I460" s="6">
        <v>3.7446710887202106E-3</v>
      </c>
      <c r="J460" s="6">
        <v>8.914812428640074E-4</v>
      </c>
      <c r="K460" s="6">
        <v>1.5640110823640317E-3</v>
      </c>
      <c r="L460" s="6">
        <v>2.4427294398943434E-3</v>
      </c>
      <c r="M460" s="6">
        <v>1.3235843076778477E-3</v>
      </c>
      <c r="N460" s="6">
        <v>1.8743211495355751E-3</v>
      </c>
      <c r="O460" s="6">
        <v>2.5187148983832051E-3</v>
      </c>
      <c r="P460" s="6">
        <v>1.1655967907200028E-3</v>
      </c>
      <c r="R460" s="5" t="s">
        <v>9</v>
      </c>
      <c r="S460" s="6">
        <v>8.905645049562894</v>
      </c>
      <c r="T460" s="6">
        <v>11.191259972900996</v>
      </c>
      <c r="U460" s="6">
        <v>-325.07516003729438</v>
      </c>
      <c r="V460" s="6">
        <v>-64.090317688708609</v>
      </c>
      <c r="W460" s="6">
        <v>33.308681252061504</v>
      </c>
      <c r="X460" s="6">
        <v>-116.86745313018736</v>
      </c>
      <c r="Y460" s="6">
        <v>457.98036014066298</v>
      </c>
      <c r="Z460" s="6">
        <v>20.496308939857343</v>
      </c>
      <c r="AA460" s="6">
        <v>2.9654348783162541</v>
      </c>
      <c r="AB460" s="6">
        <v>7.4670465161493311</v>
      </c>
      <c r="AC460" s="6">
        <v>-35.876626382072914</v>
      </c>
      <c r="AD460" s="6">
        <v>10.250982796886861</v>
      </c>
      <c r="AE460" s="6">
        <v>-58.72517337432523</v>
      </c>
      <c r="AF460" s="6">
        <v>9.006344478271318</v>
      </c>
    </row>
    <row r="461" spans="2:32" x14ac:dyDescent="0.3">
      <c r="B461" s="5" t="s">
        <v>24</v>
      </c>
      <c r="C461" s="6">
        <v>8.8699316906765135E-4</v>
      </c>
      <c r="D461" s="6">
        <v>1.7558337827580227E-3</v>
      </c>
      <c r="E461" s="6">
        <v>7.4103175995676859E-4</v>
      </c>
      <c r="F461" s="6">
        <v>1.2628896535333781E-3</v>
      </c>
      <c r="G461" s="6">
        <v>1.4640090113914529E-3</v>
      </c>
      <c r="H461" s="6">
        <v>1.425433779109659E-3</v>
      </c>
      <c r="I461" s="6">
        <v>8.914812428640074E-4</v>
      </c>
      <c r="J461" s="6">
        <v>9.4381038564609002E-3</v>
      </c>
      <c r="K461" s="6">
        <v>2.3154569978208524E-3</v>
      </c>
      <c r="L461" s="6">
        <v>3.75999307877573E-3</v>
      </c>
      <c r="M461" s="6">
        <v>1.5440184850889992E-3</v>
      </c>
      <c r="N461" s="6">
        <v>1.2471033541780327E-3</v>
      </c>
      <c r="O461" s="6">
        <v>3.3082391129457258E-3</v>
      </c>
      <c r="P461" s="6">
        <v>1.3680207078341814E-3</v>
      </c>
      <c r="R461" s="5" t="s">
        <v>24</v>
      </c>
      <c r="S461" s="6">
        <v>10.714757009750279</v>
      </c>
      <c r="T461" s="6">
        <v>-14.470595551539787</v>
      </c>
      <c r="U461" s="6">
        <v>38.027697440414627</v>
      </c>
      <c r="V461" s="6">
        <v>-39.447522436445155</v>
      </c>
      <c r="W461" s="6">
        <v>-1.5283550757612669</v>
      </c>
      <c r="X461" s="6">
        <v>-33.35900859421519</v>
      </c>
      <c r="Y461" s="6">
        <v>20.496308939857361</v>
      </c>
      <c r="Z461" s="6">
        <v>138.45793877822328</v>
      </c>
      <c r="AA461" s="6">
        <v>-48.577670029128548</v>
      </c>
      <c r="AB461" s="6">
        <v>-13.322872464151626</v>
      </c>
      <c r="AC461" s="6">
        <v>-11.180977039809857</v>
      </c>
      <c r="AD461" s="6">
        <v>43.089076683697947</v>
      </c>
      <c r="AE461" s="6">
        <v>-33.54382672043063</v>
      </c>
      <c r="AF461" s="6">
        <v>-0.47528520285967846</v>
      </c>
    </row>
    <row r="462" spans="2:32" x14ac:dyDescent="0.3">
      <c r="B462" s="5" t="s">
        <v>25</v>
      </c>
      <c r="C462" s="6">
        <v>1.1642862113430341E-3</v>
      </c>
      <c r="D462" s="6">
        <v>2.5179257668152227E-3</v>
      </c>
      <c r="E462" s="6">
        <v>1.2524327992730849E-3</v>
      </c>
      <c r="F462" s="6">
        <v>1.4253139278244786E-3</v>
      </c>
      <c r="G462" s="6">
        <v>2.1592934274844641E-3</v>
      </c>
      <c r="H462" s="6">
        <v>1.8245291587605805E-3</v>
      </c>
      <c r="I462" s="6">
        <v>1.5640110823640317E-3</v>
      </c>
      <c r="J462" s="6">
        <v>2.3154569978208524E-3</v>
      </c>
      <c r="K462" s="6">
        <v>4.8007586528298609E-3</v>
      </c>
      <c r="L462" s="6">
        <v>3.7986976879687859E-3</v>
      </c>
      <c r="M462" s="6">
        <v>2.0580367655207293E-3</v>
      </c>
      <c r="N462" s="6">
        <v>3.633458698195226E-3</v>
      </c>
      <c r="O462" s="6">
        <v>3.1261636632104539E-3</v>
      </c>
      <c r="P462" s="6">
        <v>1.673078284223138E-3</v>
      </c>
      <c r="R462" s="5" t="s">
        <v>25</v>
      </c>
      <c r="S462" s="6">
        <v>-28.89499347995233</v>
      </c>
      <c r="T462" s="6">
        <v>-19.253135525360559</v>
      </c>
      <c r="U462" s="6">
        <v>-127.85874499382638</v>
      </c>
      <c r="V462" s="6">
        <v>-30.260642575451886</v>
      </c>
      <c r="W462" s="6">
        <v>-1.8856138666890656</v>
      </c>
      <c r="X462" s="6">
        <v>-66.108912420563513</v>
      </c>
      <c r="Y462" s="6">
        <v>2.9654348783162745</v>
      </c>
      <c r="Z462" s="6">
        <v>-48.577670029128555</v>
      </c>
      <c r="AA462" s="6">
        <v>409.62348736523728</v>
      </c>
      <c r="AB462" s="6">
        <v>9.6492131190961885</v>
      </c>
      <c r="AC462" s="6">
        <v>-68.977408070521605</v>
      </c>
      <c r="AD462" s="6">
        <v>-87.184914895088838</v>
      </c>
      <c r="AE462" s="6">
        <v>-3.479026416567589</v>
      </c>
      <c r="AF462" s="6">
        <v>-9.3390340459016752</v>
      </c>
    </row>
    <row r="463" spans="2:32" x14ac:dyDescent="0.3">
      <c r="B463" s="5" t="s">
        <v>26</v>
      </c>
      <c r="C463" s="6">
        <v>1.9189195588967343E-3</v>
      </c>
      <c r="D463" s="6">
        <v>4.4075716277955394E-3</v>
      </c>
      <c r="E463" s="6">
        <v>1.9484149966242802E-3</v>
      </c>
      <c r="F463" s="6">
        <v>2.2999812111528443E-3</v>
      </c>
      <c r="G463" s="6">
        <v>5.0752837830794935E-3</v>
      </c>
      <c r="H463" s="6">
        <v>3.0980420807688522E-3</v>
      </c>
      <c r="I463" s="6">
        <v>2.4427294398943434E-3</v>
      </c>
      <c r="J463" s="6">
        <v>3.75999307877573E-3</v>
      </c>
      <c r="K463" s="6">
        <v>3.7986976879687859E-3</v>
      </c>
      <c r="L463" s="6">
        <v>1.6775544162076949E-2</v>
      </c>
      <c r="M463" s="6">
        <v>3.878975112370404E-3</v>
      </c>
      <c r="N463" s="6">
        <v>6.2803709502877907E-3</v>
      </c>
      <c r="O463" s="6">
        <v>6.4787933874069824E-3</v>
      </c>
      <c r="P463" s="6">
        <v>3.3662723575431366E-3</v>
      </c>
      <c r="R463" s="5" t="s">
        <v>26</v>
      </c>
      <c r="S463" s="6">
        <v>21.107443351520534</v>
      </c>
      <c r="T463" s="6">
        <v>-13.191314924438789</v>
      </c>
      <c r="U463" s="6">
        <v>-17.89084989032699</v>
      </c>
      <c r="V463" s="6">
        <v>-9.5760722790565662</v>
      </c>
      <c r="W463" s="6">
        <v>-36.633338686836566</v>
      </c>
      <c r="X463" s="6">
        <v>-30.504373891408488</v>
      </c>
      <c r="Y463" s="6">
        <v>7.4670465161494519</v>
      </c>
      <c r="Z463" s="6">
        <v>-13.322872464151622</v>
      </c>
      <c r="AA463" s="6">
        <v>9.6492131190962951</v>
      </c>
      <c r="AB463" s="6">
        <v>110.99921031756919</v>
      </c>
      <c r="AC463" s="6">
        <v>-47.45373390231979</v>
      </c>
      <c r="AD463" s="6">
        <v>-21.070402791909579</v>
      </c>
      <c r="AE463" s="6">
        <v>-21.773731915770053</v>
      </c>
      <c r="AF463" s="6">
        <v>-16.176102224465666</v>
      </c>
    </row>
    <row r="464" spans="2:32" x14ac:dyDescent="0.3">
      <c r="B464" s="5" t="s">
        <v>27</v>
      </c>
      <c r="C464" s="6">
        <v>8.4401830312769502E-4</v>
      </c>
      <c r="D464" s="6">
        <v>2.0872361898418759E-3</v>
      </c>
      <c r="E464" s="6">
        <v>8.387675502282612E-4</v>
      </c>
      <c r="F464" s="6">
        <v>7.8200912339975056E-4</v>
      </c>
      <c r="G464" s="6">
        <v>1.1670307151664383E-3</v>
      </c>
      <c r="H464" s="6">
        <v>1.3956085923355263E-3</v>
      </c>
      <c r="I464" s="6">
        <v>1.3235843076778477E-3</v>
      </c>
      <c r="J464" s="6">
        <v>1.5440184850889992E-3</v>
      </c>
      <c r="K464" s="6">
        <v>2.0580367655207293E-3</v>
      </c>
      <c r="L464" s="6">
        <v>3.878975112370404E-3</v>
      </c>
      <c r="M464" s="6">
        <v>3.8176522338482185E-3</v>
      </c>
      <c r="N464" s="6">
        <v>2.6607827957285074E-3</v>
      </c>
      <c r="O464" s="6">
        <v>2.7435415514348443E-3</v>
      </c>
      <c r="P464" s="6">
        <v>1.5599430242390481E-3</v>
      </c>
      <c r="R464" s="5" t="s">
        <v>27</v>
      </c>
      <c r="S464" s="6">
        <v>-60.115927543371185</v>
      </c>
      <c r="T464" s="6">
        <v>-71.770646135827235</v>
      </c>
      <c r="U464" s="6">
        <v>46.488225853334605</v>
      </c>
      <c r="V464" s="6">
        <v>112.38325647621826</v>
      </c>
      <c r="W464" s="6">
        <v>65.623151215677112</v>
      </c>
      <c r="X464" s="6">
        <v>-94.258779762403549</v>
      </c>
      <c r="Y464" s="6">
        <v>-35.876626382072921</v>
      </c>
      <c r="Z464" s="6">
        <v>-11.180977039809839</v>
      </c>
      <c r="AA464" s="6">
        <v>-68.977408070521591</v>
      </c>
      <c r="AB464" s="6">
        <v>-47.453733902319797</v>
      </c>
      <c r="AC464" s="6">
        <v>464.00724262601273</v>
      </c>
      <c r="AD464" s="6">
        <v>-33.013231041564417</v>
      </c>
      <c r="AE464" s="6">
        <v>-15.952196215103411</v>
      </c>
      <c r="AF464" s="6">
        <v>-77.185287421170102</v>
      </c>
    </row>
    <row r="465" spans="1:32" x14ac:dyDescent="0.3">
      <c r="B465" s="5" t="s">
        <v>28</v>
      </c>
      <c r="C465" s="6">
        <v>1.3833050948663535E-3</v>
      </c>
      <c r="D465" s="6">
        <v>3.4933285584314664E-3</v>
      </c>
      <c r="E465" s="6">
        <v>1.4271644182995388E-3</v>
      </c>
      <c r="F465" s="6">
        <v>1.7282904674416893E-3</v>
      </c>
      <c r="G465" s="6">
        <v>3.7896956050208373E-3</v>
      </c>
      <c r="H465" s="6">
        <v>2.2864684762857641E-3</v>
      </c>
      <c r="I465" s="6">
        <v>1.8743211495355751E-3</v>
      </c>
      <c r="J465" s="6">
        <v>1.2471033541780327E-3</v>
      </c>
      <c r="K465" s="6">
        <v>3.633458698195226E-3</v>
      </c>
      <c r="L465" s="6">
        <v>6.2803709502877907E-3</v>
      </c>
      <c r="M465" s="6">
        <v>2.6607827957285074E-3</v>
      </c>
      <c r="N465" s="6">
        <v>8.8230143006219081E-3</v>
      </c>
      <c r="O465" s="6">
        <v>5.0216596877703783E-3</v>
      </c>
      <c r="P465" s="6">
        <v>2.5039770002502847E-3</v>
      </c>
      <c r="R465" s="5" t="s">
        <v>28</v>
      </c>
      <c r="S465" s="6">
        <v>57.310382817038786</v>
      </c>
      <c r="T465" s="6">
        <v>-52.754653682838828</v>
      </c>
      <c r="U465" s="6">
        <v>49.360415449134067</v>
      </c>
      <c r="V465" s="6">
        <v>-28.035687605462101</v>
      </c>
      <c r="W465" s="6">
        <v>-53.279997003046304</v>
      </c>
      <c r="X465" s="6">
        <v>-42.316762423945356</v>
      </c>
      <c r="Y465" s="6">
        <v>10.250982796886889</v>
      </c>
      <c r="Z465" s="6">
        <v>43.089076683697982</v>
      </c>
      <c r="AA465" s="6">
        <v>-87.184914895088852</v>
      </c>
      <c r="AB465" s="6">
        <v>-21.070402791909565</v>
      </c>
      <c r="AC465" s="6">
        <v>-33.013231041564403</v>
      </c>
      <c r="AD465" s="6">
        <v>246.93172851326648</v>
      </c>
      <c r="AE465" s="6">
        <v>-54.58984954511152</v>
      </c>
      <c r="AF465" s="6">
        <v>-23.505020333015615</v>
      </c>
    </row>
    <row r="466" spans="1:32" x14ac:dyDescent="0.3">
      <c r="B466" s="5" t="s">
        <v>29</v>
      </c>
      <c r="C466" s="6">
        <v>1.7947576794059567E-3</v>
      </c>
      <c r="D466" s="6">
        <v>3.1054124807419954E-3</v>
      </c>
      <c r="E466" s="6">
        <v>1.401944040366167E-3</v>
      </c>
      <c r="F466" s="6">
        <v>1.9446031116541525E-3</v>
      </c>
      <c r="G466" s="6">
        <v>2.9959187117918418E-3</v>
      </c>
      <c r="H466" s="6">
        <v>2.1715951128364369E-3</v>
      </c>
      <c r="I466" s="6">
        <v>2.5187148983832051E-3</v>
      </c>
      <c r="J466" s="6">
        <v>3.3082391129457258E-3</v>
      </c>
      <c r="K466" s="6">
        <v>3.1261636632104539E-3</v>
      </c>
      <c r="L466" s="6">
        <v>6.4787933874069824E-3</v>
      </c>
      <c r="M466" s="6">
        <v>2.7435415514348443E-3</v>
      </c>
      <c r="N466" s="6">
        <v>5.0216596877703783E-3</v>
      </c>
      <c r="O466" s="6">
        <v>9.8250111659438505E-3</v>
      </c>
      <c r="P466" s="6">
        <v>3.173337274005864E-3</v>
      </c>
      <c r="R466" s="5" t="s">
        <v>29</v>
      </c>
      <c r="S466" s="6">
        <v>-76.658193156530913</v>
      </c>
      <c r="T466" s="6">
        <v>-8.0697121679981212</v>
      </c>
      <c r="U466" s="6">
        <v>59.343558581156927</v>
      </c>
      <c r="V466" s="6">
        <v>-21.878794536431933</v>
      </c>
      <c r="W466" s="6">
        <v>8.757960088385353</v>
      </c>
      <c r="X466" s="6">
        <v>27.917522802234828</v>
      </c>
      <c r="Y466" s="6">
        <v>-58.725173374325294</v>
      </c>
      <c r="Z466" s="6">
        <v>-33.543826720430644</v>
      </c>
      <c r="AA466" s="6">
        <v>-3.4790264165675833</v>
      </c>
      <c r="AB466" s="6">
        <v>-21.773731915769979</v>
      </c>
      <c r="AC466" s="6">
        <v>-15.952196215103443</v>
      </c>
      <c r="AD466" s="6">
        <v>-54.589849545111555</v>
      </c>
      <c r="AE466" s="6">
        <v>210.94815683389126</v>
      </c>
      <c r="AF466" s="6">
        <v>-97.284381687442931</v>
      </c>
    </row>
    <row r="467" spans="1:32" x14ac:dyDescent="0.3">
      <c r="B467" s="5" t="s">
        <v>30</v>
      </c>
      <c r="C467" s="6">
        <v>9.6854881214523242E-4</v>
      </c>
      <c r="D467" s="6">
        <v>1.67919684201542E-3</v>
      </c>
      <c r="E467" s="6">
        <v>8.4476781852577988E-4</v>
      </c>
      <c r="F467" s="6">
        <v>1.081155980175336E-3</v>
      </c>
      <c r="G467" s="6">
        <v>1.8494147868953589E-3</v>
      </c>
      <c r="H467" s="6">
        <v>1.2718169424595204E-3</v>
      </c>
      <c r="I467" s="6">
        <v>1.1655967907200028E-3</v>
      </c>
      <c r="J467" s="6">
        <v>1.3680207078341814E-3</v>
      </c>
      <c r="K467" s="6">
        <v>1.673078284223138E-3</v>
      </c>
      <c r="L467" s="6">
        <v>3.3662723575431366E-3</v>
      </c>
      <c r="M467" s="6">
        <v>1.5599430242390481E-3</v>
      </c>
      <c r="N467" s="6">
        <v>2.5039770002502847E-3</v>
      </c>
      <c r="O467" s="6">
        <v>3.173337274005864E-3</v>
      </c>
      <c r="P467" s="6">
        <v>3.1326741394400192E-3</v>
      </c>
      <c r="R467" s="5" t="s">
        <v>30</v>
      </c>
      <c r="S467" s="6">
        <v>-52.185963304125231</v>
      </c>
      <c r="T467" s="6">
        <v>13.951578229829492</v>
      </c>
      <c r="U467" s="6">
        <v>-61.822019684952572</v>
      </c>
      <c r="V467" s="6">
        <v>-49.649383259337725</v>
      </c>
      <c r="W467" s="6">
        <v>-34.024073428608936</v>
      </c>
      <c r="X467" s="6">
        <v>-37.139378412958749</v>
      </c>
      <c r="Y467" s="6">
        <v>9.0063444782713287</v>
      </c>
      <c r="Z467" s="6">
        <v>-0.47528520285968295</v>
      </c>
      <c r="AA467" s="6">
        <v>-9.3390340459017374</v>
      </c>
      <c r="AB467" s="6">
        <v>-16.176102224465776</v>
      </c>
      <c r="AC467" s="6">
        <v>-77.185287421170088</v>
      </c>
      <c r="AD467" s="6">
        <v>-23.505020333015572</v>
      </c>
      <c r="AE467" s="6">
        <v>-97.284381687442931</v>
      </c>
      <c r="AF467" s="6">
        <v>571.83977415134791</v>
      </c>
    </row>
    <row r="469" spans="1:32" x14ac:dyDescent="0.3">
      <c r="R469" s="2" t="s">
        <v>33</v>
      </c>
      <c r="S469">
        <v>1</v>
      </c>
      <c r="T469">
        <v>1</v>
      </c>
      <c r="U469">
        <v>1</v>
      </c>
      <c r="V469">
        <v>1</v>
      </c>
      <c r="W469">
        <v>1</v>
      </c>
      <c r="X469">
        <v>1</v>
      </c>
      <c r="Y469">
        <v>1</v>
      </c>
      <c r="Z469">
        <v>1</v>
      </c>
      <c r="AA469">
        <v>1</v>
      </c>
      <c r="AB469">
        <v>1</v>
      </c>
      <c r="AC469">
        <v>1</v>
      </c>
      <c r="AD469">
        <v>1</v>
      </c>
      <c r="AE469">
        <v>1</v>
      </c>
      <c r="AF469">
        <v>1</v>
      </c>
    </row>
    <row r="470" spans="1:32" x14ac:dyDescent="0.3">
      <c r="R470" s="2"/>
    </row>
    <row r="471" spans="1:32" x14ac:dyDescent="0.3">
      <c r="R471" s="2" t="s">
        <v>14</v>
      </c>
      <c r="S471" cm="1">
        <f t="array" ref="S471:AF471">MMULT(S469:AF469,_xlfn.ANCHORARRAY(S454))/SUM(MMULT(S469:AF469,_xlfn.ANCHORARRAY(S454)))</f>
        <v>0.29977403554825904</v>
      </c>
      <c r="T471">
        <v>-0.15229711886748612</v>
      </c>
      <c r="U471">
        <v>0.68232771672481385</v>
      </c>
      <c r="V471">
        <v>7.8271874254941295E-2</v>
      </c>
      <c r="W471">
        <v>-8.7752328399538625E-3</v>
      </c>
      <c r="X471">
        <v>1.9919231661205173E-2</v>
      </c>
      <c r="Y471">
        <v>-3.0695646896499295E-2</v>
      </c>
      <c r="Z471">
        <v>4.3124727224851868E-2</v>
      </c>
      <c r="AA471">
        <v>-5.4677867397416424E-2</v>
      </c>
      <c r="AB471">
        <v>-6.1583459699174226E-2</v>
      </c>
      <c r="AC471">
        <v>0.1357219675822619</v>
      </c>
      <c r="AD471">
        <v>8.7947845034820459E-3</v>
      </c>
      <c r="AE471">
        <v>-6.678376751446638E-2</v>
      </c>
      <c r="AF471">
        <v>0.10687875571518077</v>
      </c>
    </row>
    <row r="473" spans="1:32" x14ac:dyDescent="0.3">
      <c r="A473" s="2" t="s">
        <v>49</v>
      </c>
      <c r="B473" s="23" t="s">
        <v>48</v>
      </c>
      <c r="C473" s="23"/>
      <c r="D473" s="23"/>
      <c r="E473" s="23"/>
      <c r="F473" s="23"/>
      <c r="G473" s="23"/>
    </row>
    <row r="474" spans="1:32" x14ac:dyDescent="0.3">
      <c r="R474" s="5" t="s">
        <v>11</v>
      </c>
      <c r="S474" s="10">
        <f>SUMPRODUCT(_xlfn.ANCHORARRAY(S471),D448:Q448)</f>
        <v>6.2327035678703502E-4</v>
      </c>
    </row>
    <row r="475" spans="1:32" x14ac:dyDescent="0.3">
      <c r="R475" s="5" t="s">
        <v>18</v>
      </c>
      <c r="S475" s="10" cm="1">
        <f t="array" ref="S475">MMULT(_xlfn.ANCHORARRAY(S471),MMULT(_xlfn.ANCHORARRAY(C454),TRANSPOSE(_xlfn.ANCHORARRAY(S471))))</f>
        <v>7.8580520936562715E-4</v>
      </c>
    </row>
    <row r="476" spans="1:32" x14ac:dyDescent="0.3">
      <c r="B476" s="5" t="s">
        <v>47</v>
      </c>
      <c r="C476" s="5" t="s">
        <v>11</v>
      </c>
      <c r="D476" s="5"/>
      <c r="E476" s="5" t="s">
        <v>44</v>
      </c>
      <c r="F476" s="5"/>
      <c r="G476" s="5" t="s">
        <v>45</v>
      </c>
      <c r="R476" s="5" t="s">
        <v>35</v>
      </c>
      <c r="S476" s="10">
        <f>SQRT(S475)</f>
        <v>2.8032217346575121E-2</v>
      </c>
    </row>
    <row r="477" spans="1:32" x14ac:dyDescent="0.3">
      <c r="B477" s="6"/>
      <c r="C477" s="6"/>
      <c r="D477" s="6"/>
      <c r="E477" s="6"/>
      <c r="F477" s="6"/>
      <c r="G477" s="6"/>
    </row>
    <row r="478" spans="1:32" x14ac:dyDescent="0.3">
      <c r="B478" s="7" t="s">
        <v>3</v>
      </c>
      <c r="C478" s="10">
        <v>1.7880179878099337E-3</v>
      </c>
      <c r="D478" s="6"/>
      <c r="E478" s="6" cm="1">
        <f t="array" ref="E478:E491">MMULT(_xlfn.ANCHORARRAY(S454),C478:C491)</f>
        <v>0.95527112207646359</v>
      </c>
      <c r="F478" s="6"/>
      <c r="G478" s="6">
        <f>E478/SUM(_xlfn.ANCHORARRAY($E$478))</f>
        <v>1.2043842867064634</v>
      </c>
    </row>
    <row r="479" spans="1:32" x14ac:dyDescent="0.3">
      <c r="B479" s="5" t="s">
        <v>4</v>
      </c>
      <c r="C479" s="10">
        <v>9.8294764964444968E-3</v>
      </c>
      <c r="D479" s="6"/>
      <c r="E479" s="6">
        <v>2.5927209859313858</v>
      </c>
      <c r="F479" s="6"/>
      <c r="G479" s="6">
        <f t="shared" ref="G479:G491" si="57">E479/SUM(_xlfn.ANCHORARRAY($E$478))</f>
        <v>3.2688441460286319</v>
      </c>
    </row>
    <row r="480" spans="1:32" x14ac:dyDescent="0.3">
      <c r="B480" s="5" t="s">
        <v>5</v>
      </c>
      <c r="C480" s="10">
        <v>2.5593541462097268E-3</v>
      </c>
      <c r="D480" s="6"/>
      <c r="E480" s="6">
        <v>-0.91657785126973801</v>
      </c>
      <c r="F480" s="6"/>
      <c r="G480" s="6">
        <f t="shared" si="57"/>
        <v>-1.1556006835136852</v>
      </c>
      <c r="J480" s="2"/>
      <c r="K480" s="2"/>
      <c r="L480" s="2"/>
      <c r="M480" s="2"/>
      <c r="N480" s="2"/>
      <c r="O480" s="2"/>
    </row>
    <row r="481" spans="2:11" x14ac:dyDescent="0.3">
      <c r="B481" s="5" t="s">
        <v>6</v>
      </c>
      <c r="C481" s="10">
        <v>2.7093483354711065E-3</v>
      </c>
      <c r="D481" s="6"/>
      <c r="E481" s="6">
        <v>1.8785873143238105</v>
      </c>
      <c r="F481" s="6"/>
      <c r="G481" s="6">
        <f t="shared" si="57"/>
        <v>2.3684805185564803</v>
      </c>
    </row>
    <row r="482" spans="2:11" x14ac:dyDescent="0.3">
      <c r="B482" s="7" t="s">
        <v>7</v>
      </c>
      <c r="C482" s="10">
        <v>8.567778126107895E-4</v>
      </c>
      <c r="D482" s="6"/>
      <c r="E482" s="6">
        <v>-0.73596092764885923</v>
      </c>
      <c r="F482" s="6"/>
      <c r="G482" s="6">
        <f t="shared" si="57"/>
        <v>-0.92788293962397117</v>
      </c>
      <c r="J482" s="3"/>
      <c r="K482" s="4"/>
    </row>
    <row r="483" spans="2:11" x14ac:dyDescent="0.3">
      <c r="B483" s="5" t="s">
        <v>8</v>
      </c>
      <c r="C483" s="10">
        <v>1.479639721229632E-3</v>
      </c>
      <c r="D483" s="6"/>
      <c r="E483" s="6">
        <v>-2.0401556970918597</v>
      </c>
      <c r="F483" s="6"/>
      <c r="G483" s="6">
        <f t="shared" si="57"/>
        <v>-2.5721822917362602</v>
      </c>
      <c r="J483" s="2"/>
      <c r="K483" s="4"/>
    </row>
    <row r="484" spans="2:11" x14ac:dyDescent="0.3">
      <c r="B484" s="5" t="s">
        <v>9</v>
      </c>
      <c r="C484" s="10">
        <v>3.8655873101959295E-3</v>
      </c>
      <c r="D484" s="6"/>
      <c r="E484" s="6">
        <v>0.73715035892533187</v>
      </c>
      <c r="F484" s="6"/>
      <c r="G484" s="6">
        <f t="shared" si="57"/>
        <v>0.92938254775238072</v>
      </c>
      <c r="J484" s="2"/>
      <c r="K484" s="4"/>
    </row>
    <row r="485" spans="2:11" x14ac:dyDescent="0.3">
      <c r="B485" s="5" t="s">
        <v>24</v>
      </c>
      <c r="C485" s="10">
        <v>-8.1388815358301968E-3</v>
      </c>
      <c r="D485" s="6"/>
      <c r="E485" s="6">
        <v>-0.92972124620811514</v>
      </c>
      <c r="F485" s="6"/>
      <c r="G485" s="6">
        <f t="shared" si="57"/>
        <v>-1.1721715794320604</v>
      </c>
      <c r="J485" s="2"/>
      <c r="K485" s="4"/>
    </row>
    <row r="486" spans="2:11" x14ac:dyDescent="0.3">
      <c r="B486" s="5" t="s">
        <v>25</v>
      </c>
      <c r="C486" s="10">
        <v>5.2686853425329538E-3</v>
      </c>
      <c r="D486" s="6"/>
      <c r="E486" s="6">
        <v>0.52356019139044607</v>
      </c>
      <c r="F486" s="6"/>
      <c r="G486" s="6">
        <f t="shared" si="57"/>
        <v>0.66009288157379131</v>
      </c>
      <c r="J486" s="3"/>
      <c r="K486" s="4"/>
    </row>
    <row r="487" spans="2:11" x14ac:dyDescent="0.3">
      <c r="B487" s="5" t="s">
        <v>26</v>
      </c>
      <c r="C487" s="10">
        <v>2.2541233712404466E-3</v>
      </c>
      <c r="D487" s="6"/>
      <c r="E487" s="6">
        <v>-0.13394100037816689</v>
      </c>
      <c r="F487" s="6"/>
      <c r="G487" s="6">
        <f t="shared" si="57"/>
        <v>-0.16886979253654888</v>
      </c>
      <c r="J487" s="2"/>
      <c r="K487" s="4"/>
    </row>
    <row r="488" spans="2:11" x14ac:dyDescent="0.3">
      <c r="B488" s="5" t="s">
        <v>27</v>
      </c>
      <c r="C488" s="10">
        <v>4.1587537598453935E-3</v>
      </c>
      <c r="D488" s="6"/>
      <c r="E488" s="6">
        <v>0.85484771085767097</v>
      </c>
      <c r="F488" s="6"/>
      <c r="G488" s="6">
        <f t="shared" si="57"/>
        <v>1.0777727146676572</v>
      </c>
      <c r="J488" s="2"/>
      <c r="K488" s="4"/>
    </row>
    <row r="489" spans="2:11" x14ac:dyDescent="0.3">
      <c r="B489" s="5" t="s">
        <v>28</v>
      </c>
      <c r="C489" s="10">
        <v>1.2277351677441078E-2</v>
      </c>
      <c r="D489" s="6"/>
      <c r="E489" s="6">
        <v>1.8530565634772442</v>
      </c>
      <c r="F489" s="6"/>
      <c r="G489" s="6">
        <f t="shared" si="57"/>
        <v>2.336291923678218</v>
      </c>
      <c r="J489" s="2"/>
      <c r="K489" s="4"/>
    </row>
    <row r="490" spans="2:11" x14ac:dyDescent="0.3">
      <c r="B490" s="5" t="s">
        <v>29</v>
      </c>
      <c r="C490" s="10">
        <v>-3.0710666483262576E-3</v>
      </c>
      <c r="D490" s="6"/>
      <c r="E490" s="6">
        <v>-1.137586135924836</v>
      </c>
      <c r="F490" s="6"/>
      <c r="G490" s="6">
        <f t="shared" si="57"/>
        <v>-1.4342429444583673</v>
      </c>
      <c r="J490" s="2"/>
      <c r="K490" s="4"/>
    </row>
    <row r="491" spans="2:11" x14ac:dyDescent="0.3">
      <c r="B491" s="5" t="s">
        <v>30</v>
      </c>
      <c r="C491" s="10">
        <v>-3.5277013244455519E-3</v>
      </c>
      <c r="D491" s="6"/>
      <c r="E491" s="6">
        <v>-2.7080899925339263</v>
      </c>
      <c r="F491" s="6"/>
      <c r="G491" s="6">
        <f t="shared" si="57"/>
        <v>-3.4142987876627293</v>
      </c>
      <c r="J491" s="2"/>
      <c r="K491" s="4"/>
    </row>
    <row r="492" spans="2:11" x14ac:dyDescent="0.3">
      <c r="J492" s="2"/>
      <c r="K492" s="4"/>
    </row>
    <row r="493" spans="2:11" x14ac:dyDescent="0.3">
      <c r="F493" s="2" t="s">
        <v>20</v>
      </c>
      <c r="G493">
        <f>SUM(G478:G491)</f>
        <v>1.0000000000000009</v>
      </c>
      <c r="J493" s="2"/>
      <c r="K493" s="4"/>
    </row>
    <row r="494" spans="2:11" x14ac:dyDescent="0.3">
      <c r="J494" s="2"/>
      <c r="K494" s="4"/>
    </row>
    <row r="495" spans="2:11" x14ac:dyDescent="0.3">
      <c r="J495" s="2"/>
      <c r="K495" s="4"/>
    </row>
    <row r="496" spans="2:11" x14ac:dyDescent="0.3">
      <c r="C496" s="5" t="s">
        <v>46</v>
      </c>
      <c r="D496" s="10">
        <f>SUMPRODUCT(G478:G491,C478:C491)</f>
        <v>9.8987936494700682E-2</v>
      </c>
    </row>
    <row r="497" spans="1:15" x14ac:dyDescent="0.3">
      <c r="C497" s="5" t="s">
        <v>18</v>
      </c>
      <c r="D497" s="10" cm="1">
        <f t="array" ref="D497">MMULT(TRANSPOSE(G478:G491),MMULT(_xlfn.ANCHORARRAY(C454),G478:G491))</f>
        <v>0.12480175788059879</v>
      </c>
    </row>
    <row r="498" spans="1:15" x14ac:dyDescent="0.3">
      <c r="C498" s="5" t="s">
        <v>35</v>
      </c>
      <c r="D498" s="10">
        <f>SQRT(D497)</f>
        <v>0.35327292265414112</v>
      </c>
    </row>
    <row r="501" spans="1:15" x14ac:dyDescent="0.3">
      <c r="C501" s="2" t="s">
        <v>43</v>
      </c>
      <c r="D501">
        <f>D496/D498</f>
        <v>0.28020244447551729</v>
      </c>
    </row>
    <row r="508" spans="1:15" x14ac:dyDescent="0.3">
      <c r="N508" s="2"/>
      <c r="O508" s="11"/>
    </row>
    <row r="510" spans="1:15" x14ac:dyDescent="0.3">
      <c r="A510" s="2" t="s">
        <v>50</v>
      </c>
      <c r="B510" s="2"/>
      <c r="C510" s="2"/>
      <c r="D510" s="2"/>
      <c r="E510" s="2"/>
      <c r="F510" s="2"/>
      <c r="G510" s="2"/>
      <c r="I510" s="11"/>
    </row>
    <row r="511" spans="1:15" x14ac:dyDescent="0.3">
      <c r="B511" s="2"/>
      <c r="C511" s="2"/>
      <c r="D511" s="2"/>
      <c r="E511" s="2"/>
      <c r="F511" s="2"/>
      <c r="G511" s="2"/>
    </row>
    <row r="513" spans="2:6" x14ac:dyDescent="0.3">
      <c r="B513" s="3"/>
      <c r="C513" s="4"/>
    </row>
    <row r="514" spans="2:6" x14ac:dyDescent="0.3">
      <c r="B514" s="2"/>
      <c r="C514" s="4"/>
    </row>
    <row r="515" spans="2:6" x14ac:dyDescent="0.3">
      <c r="B515" s="2"/>
      <c r="C515" s="4"/>
    </row>
    <row r="516" spans="2:6" x14ac:dyDescent="0.3">
      <c r="B516" s="2"/>
      <c r="C516" s="4"/>
    </row>
    <row r="517" spans="2:6" x14ac:dyDescent="0.3">
      <c r="B517" s="3"/>
      <c r="C517" s="4"/>
    </row>
    <row r="518" spans="2:6" x14ac:dyDescent="0.3">
      <c r="B518" s="2"/>
      <c r="C518" s="4"/>
    </row>
    <row r="519" spans="2:6" x14ac:dyDescent="0.3">
      <c r="B519" s="2"/>
      <c r="C519" s="4"/>
    </row>
    <row r="520" spans="2:6" x14ac:dyDescent="0.3">
      <c r="B520" s="2"/>
      <c r="C520" s="4"/>
    </row>
    <row r="521" spans="2:6" x14ac:dyDescent="0.3">
      <c r="B521" s="2"/>
      <c r="C521" s="4"/>
    </row>
    <row r="522" spans="2:6" x14ac:dyDescent="0.3">
      <c r="B522" s="2"/>
      <c r="C522" s="4"/>
    </row>
    <row r="523" spans="2:6" x14ac:dyDescent="0.3">
      <c r="B523" s="2"/>
      <c r="C523" s="4"/>
    </row>
    <row r="524" spans="2:6" x14ac:dyDescent="0.3">
      <c r="B524" s="2"/>
      <c r="C524" s="4"/>
    </row>
    <row r="525" spans="2:6" x14ac:dyDescent="0.3">
      <c r="B525" s="2"/>
      <c r="C525" s="4"/>
    </row>
    <row r="526" spans="2:6" x14ac:dyDescent="0.3">
      <c r="B526" s="2"/>
      <c r="C526" s="4"/>
    </row>
    <row r="528" spans="2:6" x14ac:dyDescent="0.3">
      <c r="F528" s="2"/>
    </row>
    <row r="532" spans="3:4" x14ac:dyDescent="0.3">
      <c r="C532" s="2"/>
      <c r="D532" s="4"/>
    </row>
    <row r="533" spans="3:4" x14ac:dyDescent="0.3">
      <c r="C533" s="2"/>
    </row>
    <row r="534" spans="3:4" x14ac:dyDescent="0.3">
      <c r="C534" s="2"/>
      <c r="D534" s="4"/>
    </row>
  </sheetData>
  <mergeCells count="10">
    <mergeCell ref="A1:Y1"/>
    <mergeCell ref="B473:G473"/>
    <mergeCell ref="A2:H2"/>
    <mergeCell ref="K2:Q2"/>
    <mergeCell ref="T2:Z2"/>
    <mergeCell ref="C452:P452"/>
    <mergeCell ref="S452:AF452"/>
    <mergeCell ref="A245:Z245"/>
    <mergeCell ref="D248:Q248"/>
    <mergeCell ref="S248:AF24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5B2D-AB9E-4F61-B2C7-FD6A4FB8F23F}">
  <dimension ref="D4:AC209"/>
  <sheetViews>
    <sheetView topLeftCell="P184" workbookViewId="0">
      <selection activeCell="N196" sqref="N196"/>
    </sheetView>
  </sheetViews>
  <sheetFormatPr defaultRowHeight="14.4" x14ac:dyDescent="0.3"/>
  <sheetData>
    <row r="4" spans="5:20" x14ac:dyDescent="0.3">
      <c r="E4" s="23" t="s">
        <v>34</v>
      </c>
      <c r="F4" s="23"/>
      <c r="G4" s="23"/>
      <c r="H4" s="23"/>
      <c r="I4" s="23"/>
      <c r="J4" s="23"/>
      <c r="K4" s="23"/>
      <c r="N4" s="23" t="s">
        <v>32</v>
      </c>
      <c r="O4" s="23"/>
      <c r="P4" s="23"/>
      <c r="Q4" s="23"/>
      <c r="R4" s="23"/>
      <c r="S4" s="23"/>
      <c r="T4" s="23"/>
    </row>
    <row r="5" spans="5:20" x14ac:dyDescent="0.3">
      <c r="E5" s="17" t="s">
        <v>24</v>
      </c>
      <c r="F5" s="17" t="s">
        <v>25</v>
      </c>
      <c r="G5" s="17" t="s">
        <v>26</v>
      </c>
      <c r="H5" s="17" t="s">
        <v>27</v>
      </c>
      <c r="I5" s="17" t="s">
        <v>28</v>
      </c>
      <c r="J5" s="17" t="s">
        <v>29</v>
      </c>
      <c r="K5" s="17" t="s">
        <v>30</v>
      </c>
      <c r="N5" s="17" t="s">
        <v>24</v>
      </c>
      <c r="O5" s="17" t="s">
        <v>25</v>
      </c>
      <c r="P5" s="17" t="s">
        <v>26</v>
      </c>
      <c r="Q5" s="17" t="s">
        <v>27</v>
      </c>
      <c r="R5" s="17" t="s">
        <v>28</v>
      </c>
      <c r="S5" s="17" t="s">
        <v>29</v>
      </c>
      <c r="T5" s="17" t="s">
        <v>30</v>
      </c>
    </row>
    <row r="6" spans="5:20" x14ac:dyDescent="0.3">
      <c r="E6">
        <f>LN('Data of High Volatile Stocks '!B5/'Data of High Volatile Stocks '!B4)</f>
        <v>-0.16915934859862866</v>
      </c>
      <c r="F6">
        <f>LN('Data of High Volatile Stocks '!C5/'Data of High Volatile Stocks '!C4)</f>
        <v>-7.0145609366759773E-2</v>
      </c>
      <c r="G6">
        <f>LN('Data of High Volatile Stocks '!D5/'Data of High Volatile Stocks '!D4)</f>
        <v>-0.18087062538044882</v>
      </c>
      <c r="H6">
        <f>LN('Data of High Volatile Stocks '!E5/'Data of High Volatile Stocks '!E4)</f>
        <v>-0.14408348070953439</v>
      </c>
      <c r="I6">
        <f>LN('Data of High Volatile Stocks '!F5/'Data of High Volatile Stocks '!F4)</f>
        <v>-0.16830408482592674</v>
      </c>
      <c r="J6">
        <f>LN('Data of High Volatile Stocks '!G5/'Data of High Volatile Stocks '!G4)</f>
        <v>-9.6128522675905131E-2</v>
      </c>
      <c r="K6">
        <f>LN('Data of High Volatile Stocks '!H5/'Data of High Volatile Stocks '!H4)</f>
        <v>-7.8509948564001064E-2</v>
      </c>
      <c r="N6">
        <f>E6-E$202</f>
        <v>-0.16102046706279846</v>
      </c>
      <c r="O6">
        <f t="shared" ref="O6:T6" si="0">F6-F$202</f>
        <v>-7.5414294709292728E-2</v>
      </c>
      <c r="P6">
        <f t="shared" si="0"/>
        <v>-0.18312474875168927</v>
      </c>
      <c r="Q6">
        <f t="shared" si="0"/>
        <v>-0.14824223446937979</v>
      </c>
      <c r="R6">
        <f t="shared" si="0"/>
        <v>-0.1805814365033678</v>
      </c>
      <c r="S6">
        <f t="shared" si="0"/>
        <v>-9.305745602757888E-2</v>
      </c>
      <c r="T6">
        <f t="shared" si="0"/>
        <v>-7.4982247239555516E-2</v>
      </c>
    </row>
    <row r="7" spans="5:20" x14ac:dyDescent="0.3">
      <c r="E7">
        <f>LN('Data of High Volatile Stocks '!B6/'Data of High Volatile Stocks '!B5)</f>
        <v>-5.4378602247413997E-2</v>
      </c>
      <c r="F7">
        <f>LN('Data of High Volatile Stocks '!C6/'Data of High Volatile Stocks '!C5)</f>
        <v>2.4999053854863642E-2</v>
      </c>
      <c r="G7">
        <f>LN('Data of High Volatile Stocks '!D6/'Data of High Volatile Stocks '!D5)</f>
        <v>-7.7917898215297723E-2</v>
      </c>
      <c r="H7">
        <f>LN('Data of High Volatile Stocks '!E6/'Data of High Volatile Stocks '!E5)</f>
        <v>-2.0520748188451794E-2</v>
      </c>
      <c r="I7">
        <f>LN('Data of High Volatile Stocks '!F6/'Data of High Volatile Stocks '!F5)</f>
        <v>-6.252035698133393E-2</v>
      </c>
      <c r="J7">
        <f>LN('Data of High Volatile Stocks '!G6/'Data of High Volatile Stocks '!G5)</f>
        <v>-5.9335617123882764E-3</v>
      </c>
      <c r="K7">
        <f>LN('Data of High Volatile Stocks '!H6/'Data of High Volatile Stocks '!H5)</f>
        <v>-2.6419349732731186E-2</v>
      </c>
      <c r="N7">
        <f t="shared" ref="N7:N70" si="1">E7-E$202</f>
        <v>-4.6239720711583804E-2</v>
      </c>
      <c r="O7">
        <f t="shared" ref="O7:O70" si="2">F7-F$202</f>
        <v>1.973036851233069E-2</v>
      </c>
      <c r="P7">
        <f t="shared" ref="P7:P70" si="3">G7-G$202</f>
        <v>-8.0172021586538175E-2</v>
      </c>
      <c r="Q7">
        <f t="shared" ref="Q7:Q70" si="4">H7-H$202</f>
        <v>-2.4679501948297187E-2</v>
      </c>
      <c r="R7">
        <f t="shared" ref="R7:R70" si="5">I7-I$202</f>
        <v>-7.4797708658775011E-2</v>
      </c>
      <c r="S7">
        <f t="shared" ref="S7:S70" si="6">J7-J$202</f>
        <v>-2.8624950640620188E-3</v>
      </c>
      <c r="T7">
        <f t="shared" ref="T7:T70" si="7">K7-K$202</f>
        <v>-2.2891648408285635E-2</v>
      </c>
    </row>
    <row r="8" spans="5:20" x14ac:dyDescent="0.3">
      <c r="E8">
        <f>LN('Data of High Volatile Stocks '!B7/'Data of High Volatile Stocks '!B6)</f>
        <v>0.24615100016531521</v>
      </c>
      <c r="F8">
        <f>LN('Data of High Volatile Stocks '!C7/'Data of High Volatile Stocks '!C6)</f>
        <v>4.8028646173499202E-2</v>
      </c>
      <c r="G8">
        <f>LN('Data of High Volatile Stocks '!D7/'Data of High Volatile Stocks '!D6)</f>
        <v>9.0702420573073969E-2</v>
      </c>
      <c r="H8">
        <f>LN('Data of High Volatile Stocks '!E7/'Data of High Volatile Stocks '!E6)</f>
        <v>5.0938218575134753E-2</v>
      </c>
      <c r="I8">
        <f>LN('Data of High Volatile Stocks '!F7/'Data of High Volatile Stocks '!F6)</f>
        <v>1.7934203871391798E-2</v>
      </c>
      <c r="J8">
        <f>LN('Data of High Volatile Stocks '!G7/'Data of High Volatile Stocks '!G6)</f>
        <v>4.8402788821500793E-2</v>
      </c>
      <c r="K8">
        <f>LN('Data of High Volatile Stocks '!H7/'Data of High Volatile Stocks '!H6)</f>
        <v>2.014519107188059E-3</v>
      </c>
      <c r="N8">
        <f t="shared" si="1"/>
        <v>0.25428988170114541</v>
      </c>
      <c r="O8">
        <f t="shared" si="2"/>
        <v>4.2759960830966247E-2</v>
      </c>
      <c r="P8">
        <f t="shared" si="3"/>
        <v>8.8448297201833517E-2</v>
      </c>
      <c r="Q8">
        <f t="shared" si="4"/>
        <v>4.6779464815289357E-2</v>
      </c>
      <c r="R8">
        <f t="shared" si="5"/>
        <v>5.6568521939507205E-3</v>
      </c>
      <c r="S8">
        <f t="shared" si="6"/>
        <v>5.1473855469827051E-2</v>
      </c>
      <c r="T8">
        <f t="shared" si="7"/>
        <v>5.5422204316336113E-3</v>
      </c>
    </row>
    <row r="9" spans="5:20" x14ac:dyDescent="0.3">
      <c r="E9">
        <f>LN('Data of High Volatile Stocks '!B8/'Data of High Volatile Stocks '!B7)</f>
        <v>1.4796188302095968E-2</v>
      </c>
      <c r="F9">
        <f>LN('Data of High Volatile Stocks '!C8/'Data of High Volatile Stocks '!C7)</f>
        <v>2.5901690310513169E-2</v>
      </c>
      <c r="G9">
        <f>LN('Data of High Volatile Stocks '!D8/'Data of High Volatile Stocks '!D7)</f>
        <v>4.6276063247088268E-4</v>
      </c>
      <c r="H9">
        <f>LN('Data of High Volatile Stocks '!E8/'Data of High Volatile Stocks '!E7)</f>
        <v>-4.8668714054917156E-2</v>
      </c>
      <c r="I9">
        <f>LN('Data of High Volatile Stocks '!F8/'Data of High Volatile Stocks '!F7)</f>
        <v>1.4576399241950389E-2</v>
      </c>
      <c r="J9">
        <f>LN('Data of High Volatile Stocks '!G8/'Data of High Volatile Stocks '!G7)</f>
        <v>3.2295861640734502E-2</v>
      </c>
      <c r="K9">
        <f>LN('Data of High Volatile Stocks '!H8/'Data of High Volatile Stocks '!H7)</f>
        <v>-2.0046931945290641E-2</v>
      </c>
      <c r="N9">
        <f t="shared" si="1"/>
        <v>2.2935069837926165E-2</v>
      </c>
      <c r="O9">
        <f t="shared" si="2"/>
        <v>2.0633004967980213E-2</v>
      </c>
      <c r="P9">
        <f t="shared" si="3"/>
        <v>-1.7913627387695639E-3</v>
      </c>
      <c r="Q9">
        <f t="shared" si="4"/>
        <v>-5.2827467814762552E-2</v>
      </c>
      <c r="R9">
        <f t="shared" si="5"/>
        <v>2.2990475645093111E-3</v>
      </c>
      <c r="S9">
        <f t="shared" si="6"/>
        <v>3.536692828906076E-2</v>
      </c>
      <c r="T9">
        <f t="shared" si="7"/>
        <v>-1.651923062084509E-2</v>
      </c>
    </row>
    <row r="10" spans="5:20" x14ac:dyDescent="0.3">
      <c r="E10">
        <f>LN('Data of High Volatile Stocks '!B9/'Data of High Volatile Stocks '!B8)</f>
        <v>-3.8198192297400832E-2</v>
      </c>
      <c r="F10">
        <f>LN('Data of High Volatile Stocks '!C9/'Data of High Volatile Stocks '!C8)</f>
        <v>-9.7716018837705962E-2</v>
      </c>
      <c r="G10">
        <f>LN('Data of High Volatile Stocks '!D9/'Data of High Volatile Stocks '!D8)</f>
        <v>-2.7993175034050601E-2</v>
      </c>
      <c r="H10">
        <f>LN('Data of High Volatile Stocks '!E9/'Data of High Volatile Stocks '!E8)</f>
        <v>-1.7436485774837533E-2</v>
      </c>
      <c r="I10">
        <f>LN('Data of High Volatile Stocks '!F9/'Data of High Volatile Stocks '!F8)</f>
        <v>-0.17518788458993645</v>
      </c>
      <c r="J10">
        <f>LN('Data of High Volatile Stocks '!G9/'Data of High Volatile Stocks '!G8)</f>
        <v>-0.37690290436082902</v>
      </c>
      <c r="K10">
        <f>LN('Data of High Volatile Stocks '!H9/'Data of High Volatile Stocks '!H8)</f>
        <v>-0.10658849484203209</v>
      </c>
      <c r="N10">
        <f t="shared" si="1"/>
        <v>-3.0059310761570635E-2</v>
      </c>
      <c r="O10">
        <f t="shared" si="2"/>
        <v>-0.10298470418023892</v>
      </c>
      <c r="P10">
        <f t="shared" si="3"/>
        <v>-3.024729840529105E-2</v>
      </c>
      <c r="Q10">
        <f t="shared" si="4"/>
        <v>-2.1595239534682925E-2</v>
      </c>
      <c r="R10">
        <f t="shared" si="5"/>
        <v>-0.18746523626737752</v>
      </c>
      <c r="S10">
        <f t="shared" si="6"/>
        <v>-0.37383183771250278</v>
      </c>
      <c r="T10">
        <f t="shared" si="7"/>
        <v>-0.10306079351758654</v>
      </c>
    </row>
    <row r="11" spans="5:20" x14ac:dyDescent="0.3">
      <c r="E11">
        <f>LN('Data of High Volatile Stocks '!B10/'Data of High Volatile Stocks '!B9)</f>
        <v>2.9551139435654749E-2</v>
      </c>
      <c r="F11">
        <f>LN('Data of High Volatile Stocks '!C10/'Data of High Volatile Stocks '!C9)</f>
        <v>9.7110974953567741E-2</v>
      </c>
      <c r="G11">
        <f>LN('Data of High Volatile Stocks '!D10/'Data of High Volatile Stocks '!D9)</f>
        <v>-6.7404398708788962E-2</v>
      </c>
      <c r="H11">
        <f>LN('Data of High Volatile Stocks '!E10/'Data of High Volatile Stocks '!E9)</f>
        <v>8.6133176781149293E-3</v>
      </c>
      <c r="I11">
        <f>LN('Data of High Volatile Stocks '!F10/'Data of High Volatile Stocks '!F9)</f>
        <v>4.0023127416511046E-2</v>
      </c>
      <c r="J11">
        <f>LN('Data of High Volatile Stocks '!G10/'Data of High Volatile Stocks '!G9)</f>
        <v>0.216255218136501</v>
      </c>
      <c r="K11">
        <f>LN('Data of High Volatile Stocks '!H10/'Data of High Volatile Stocks '!H9)</f>
        <v>-1.3001610134162626E-2</v>
      </c>
      <c r="N11">
        <f t="shared" si="1"/>
        <v>3.7690020971484946E-2</v>
      </c>
      <c r="O11">
        <f t="shared" si="2"/>
        <v>9.1842289611034786E-2</v>
      </c>
      <c r="P11">
        <f t="shared" si="3"/>
        <v>-6.9658522080029414E-2</v>
      </c>
      <c r="Q11">
        <f t="shared" si="4"/>
        <v>4.4545639182695359E-3</v>
      </c>
      <c r="R11">
        <f t="shared" si="5"/>
        <v>2.7745775739069969E-2</v>
      </c>
      <c r="S11">
        <f t="shared" si="6"/>
        <v>0.21932628478482727</v>
      </c>
      <c r="T11">
        <f t="shared" si="7"/>
        <v>-9.4739088097170743E-3</v>
      </c>
    </row>
    <row r="12" spans="5:20" x14ac:dyDescent="0.3">
      <c r="E12">
        <f>LN('Data of High Volatile Stocks '!B11/'Data of High Volatile Stocks '!B10)</f>
        <v>-0.16816930050329112</v>
      </c>
      <c r="F12">
        <f>LN('Data of High Volatile Stocks '!C11/'Data of High Volatile Stocks '!C10)</f>
        <v>-1.5078726850447048E-2</v>
      </c>
      <c r="G12">
        <f>LN('Data of High Volatile Stocks '!D11/'Data of High Volatile Stocks '!D10)</f>
        <v>-6.4708190000914129E-2</v>
      </c>
      <c r="H12">
        <f>LN('Data of High Volatile Stocks '!E11/'Data of High Volatile Stocks '!E10)</f>
        <v>-0.1592618710637988</v>
      </c>
      <c r="I12">
        <f>LN('Data of High Volatile Stocks '!F11/'Data of High Volatile Stocks '!F10)</f>
        <v>-4.548264962140984E-2</v>
      </c>
      <c r="J12">
        <f>LN('Data of High Volatile Stocks '!G11/'Data of High Volatile Stocks '!G10)</f>
        <v>-0.13893855821995357</v>
      </c>
      <c r="K12">
        <f>LN('Data of High Volatile Stocks '!H11/'Data of High Volatile Stocks '!H10)</f>
        <v>-0.14007319412846256</v>
      </c>
      <c r="N12">
        <f t="shared" si="1"/>
        <v>-0.16003041896746092</v>
      </c>
      <c r="O12">
        <f t="shared" si="2"/>
        <v>-2.0347412192980002E-2</v>
      </c>
      <c r="P12">
        <f t="shared" si="3"/>
        <v>-6.696231337215458E-2</v>
      </c>
      <c r="Q12">
        <f t="shared" si="4"/>
        <v>-0.16342062482364419</v>
      </c>
      <c r="R12">
        <f t="shared" si="5"/>
        <v>-5.7760001298850921E-2</v>
      </c>
      <c r="S12">
        <f t="shared" si="6"/>
        <v>-0.13586749157162731</v>
      </c>
      <c r="T12">
        <f t="shared" si="7"/>
        <v>-0.13654549280401701</v>
      </c>
    </row>
    <row r="13" spans="5:20" x14ac:dyDescent="0.3">
      <c r="E13">
        <f>LN('Data of High Volatile Stocks '!B12/'Data of High Volatile Stocks '!B11)</f>
        <v>-9.6368460952304266E-2</v>
      </c>
      <c r="F13">
        <f>LN('Data of High Volatile Stocks '!C12/'Data of High Volatile Stocks '!C11)</f>
        <v>6.2308756715451559E-2</v>
      </c>
      <c r="G13">
        <f>LN('Data of High Volatile Stocks '!D12/'Data of High Volatile Stocks '!D11)</f>
        <v>-3.4869409507365771E-2</v>
      </c>
      <c r="H13">
        <f>LN('Data of High Volatile Stocks '!E12/'Data of High Volatile Stocks '!E11)</f>
        <v>3.0700546110786216E-2</v>
      </c>
      <c r="I13">
        <f>LN('Data of High Volatile Stocks '!F12/'Data of High Volatile Stocks '!F11)</f>
        <v>3.8483495939221263E-2</v>
      </c>
      <c r="J13">
        <f>LN('Data of High Volatile Stocks '!G12/'Data of High Volatile Stocks '!G11)</f>
        <v>-0.15696671245848182</v>
      </c>
      <c r="K13">
        <f>LN('Data of High Volatile Stocks '!H12/'Data of High Volatile Stocks '!H11)</f>
        <v>-0.10460605256523982</v>
      </c>
      <c r="N13">
        <f t="shared" si="1"/>
        <v>-8.8229579416474066E-2</v>
      </c>
      <c r="O13">
        <f t="shared" si="2"/>
        <v>5.7040071372918603E-2</v>
      </c>
      <c r="P13">
        <f t="shared" si="3"/>
        <v>-3.7123532878606216E-2</v>
      </c>
      <c r="Q13">
        <f t="shared" si="4"/>
        <v>2.6541792350940823E-2</v>
      </c>
      <c r="R13">
        <f t="shared" si="5"/>
        <v>2.6206144261780185E-2</v>
      </c>
      <c r="S13">
        <f t="shared" si="6"/>
        <v>-0.15389564581015555</v>
      </c>
      <c r="T13">
        <f t="shared" si="7"/>
        <v>-0.10107835124079427</v>
      </c>
    </row>
    <row r="14" spans="5:20" x14ac:dyDescent="0.3">
      <c r="E14">
        <f>LN('Data of High Volatile Stocks '!B13/'Data of High Volatile Stocks '!B12)</f>
        <v>0.18065627747489346</v>
      </c>
      <c r="F14">
        <f>LN('Data of High Volatile Stocks '!C13/'Data of High Volatile Stocks '!C12)</f>
        <v>8.7964353364115927E-2</v>
      </c>
      <c r="G14">
        <f>LN('Data of High Volatile Stocks '!D13/'Data of High Volatile Stocks '!D12)</f>
        <v>0.14981282146910563</v>
      </c>
      <c r="H14">
        <f>LN('Data of High Volatile Stocks '!E13/'Data of High Volatile Stocks '!E12)</f>
        <v>8.1142432853102797E-2</v>
      </c>
      <c r="I14">
        <f>LN('Data of High Volatile Stocks '!F13/'Data of High Volatile Stocks '!F12)</f>
        <v>0.11827067403343312</v>
      </c>
      <c r="J14">
        <f>LN('Data of High Volatile Stocks '!G13/'Data of High Volatile Stocks '!G12)</f>
        <v>0.18416546640366083</v>
      </c>
      <c r="K14">
        <f>LN('Data of High Volatile Stocks '!H13/'Data of High Volatile Stocks '!H12)</f>
        <v>0.16980985630038659</v>
      </c>
      <c r="N14">
        <f t="shared" si="1"/>
        <v>0.18879515901072366</v>
      </c>
      <c r="O14">
        <f t="shared" si="2"/>
        <v>8.2695668021582971E-2</v>
      </c>
      <c r="P14">
        <f t="shared" si="3"/>
        <v>0.14755869809786518</v>
      </c>
      <c r="Q14">
        <f t="shared" si="4"/>
        <v>7.6983679093257401E-2</v>
      </c>
      <c r="R14">
        <f t="shared" si="5"/>
        <v>0.10599332235599204</v>
      </c>
      <c r="S14">
        <f t="shared" si="6"/>
        <v>0.18723653305198709</v>
      </c>
      <c r="T14">
        <f t="shared" si="7"/>
        <v>0.17333755762483213</v>
      </c>
    </row>
    <row r="15" spans="5:20" x14ac:dyDescent="0.3">
      <c r="E15">
        <f>LN('Data of High Volatile Stocks '!B14/'Data of High Volatile Stocks '!B13)</f>
        <v>-1.6807118316381289E-2</v>
      </c>
      <c r="F15">
        <f>LN('Data of High Volatile Stocks '!C14/'Data of High Volatile Stocks '!C13)</f>
        <v>6.4625631637295081E-2</v>
      </c>
      <c r="G15">
        <f>LN('Data of High Volatile Stocks '!D14/'Data of High Volatile Stocks '!D13)</f>
        <v>4.1325699495325836E-3</v>
      </c>
      <c r="H15">
        <f>LN('Data of High Volatile Stocks '!E14/'Data of High Volatile Stocks '!E13)</f>
        <v>2.0766097743996303E-2</v>
      </c>
      <c r="I15">
        <f>LN('Data of High Volatile Stocks '!F14/'Data of High Volatile Stocks '!F13)</f>
        <v>1.1632546835828496E-2</v>
      </c>
      <c r="J15">
        <f>LN('Data of High Volatile Stocks '!G14/'Data of High Volatile Stocks '!G13)</f>
        <v>-8.8496152769824993E-3</v>
      </c>
      <c r="K15">
        <f>LN('Data of High Volatile Stocks '!H14/'Data of High Volatile Stocks '!H13)</f>
        <v>-2.0416850980650773E-2</v>
      </c>
      <c r="N15">
        <f t="shared" si="1"/>
        <v>-8.6682367805510918E-3</v>
      </c>
      <c r="O15">
        <f t="shared" si="2"/>
        <v>5.9356946294762125E-2</v>
      </c>
      <c r="P15">
        <f t="shared" si="3"/>
        <v>1.878446578292137E-3</v>
      </c>
      <c r="Q15">
        <f t="shared" si="4"/>
        <v>1.660734398415091E-2</v>
      </c>
      <c r="R15">
        <f t="shared" si="5"/>
        <v>-6.4480484161258227E-4</v>
      </c>
      <c r="S15">
        <f t="shared" si="6"/>
        <v>-5.7785486286562413E-3</v>
      </c>
      <c r="T15">
        <f t="shared" si="7"/>
        <v>-1.6889149656205221E-2</v>
      </c>
    </row>
    <row r="16" spans="5:20" x14ac:dyDescent="0.3">
      <c r="E16">
        <f>LN('Data of High Volatile Stocks '!B15/'Data of High Volatile Stocks '!B14)</f>
        <v>5.4691468849293705E-2</v>
      </c>
      <c r="F16">
        <f>LN('Data of High Volatile Stocks '!C15/'Data of High Volatile Stocks '!C14)</f>
        <v>2.6235386429847265E-2</v>
      </c>
      <c r="G16">
        <f>LN('Data of High Volatile Stocks '!D15/'Data of High Volatile Stocks '!D14)</f>
        <v>1.3380792533581347E-3</v>
      </c>
      <c r="H16">
        <f>LN('Data of High Volatile Stocks '!E15/'Data of High Volatile Stocks '!E14)</f>
        <v>5.4839553287844588E-2</v>
      </c>
      <c r="I16">
        <f>LN('Data of High Volatile Stocks '!F15/'Data of High Volatile Stocks '!F14)</f>
        <v>6.4201147348314239E-2</v>
      </c>
      <c r="J16">
        <f>LN('Data of High Volatile Stocks '!G15/'Data of High Volatile Stocks '!G14)</f>
        <v>1.4520330524953039E-2</v>
      </c>
      <c r="K16">
        <f>LN('Data of High Volatile Stocks '!H15/'Data of High Volatile Stocks '!H14)</f>
        <v>3.5269876918998272E-2</v>
      </c>
      <c r="N16">
        <f t="shared" si="1"/>
        <v>6.2830350385123898E-2</v>
      </c>
      <c r="O16">
        <f t="shared" si="2"/>
        <v>2.0966701087314313E-2</v>
      </c>
      <c r="P16">
        <f t="shared" si="3"/>
        <v>-9.1604411788231196E-4</v>
      </c>
      <c r="Q16">
        <f t="shared" si="4"/>
        <v>5.0680799527999192E-2</v>
      </c>
      <c r="R16">
        <f t="shared" si="5"/>
        <v>5.1923795670873157E-2</v>
      </c>
      <c r="S16">
        <f t="shared" si="6"/>
        <v>1.7591397173279295E-2</v>
      </c>
      <c r="T16">
        <f t="shared" si="7"/>
        <v>3.8797578243443827E-2</v>
      </c>
    </row>
    <row r="17" spans="5:20" x14ac:dyDescent="0.3">
      <c r="E17">
        <f>LN('Data of High Volatile Stocks '!B16/'Data of High Volatile Stocks '!B15)</f>
        <v>-4.7093289618222123E-2</v>
      </c>
      <c r="F17">
        <f>LN('Data of High Volatile Stocks '!C16/'Data of High Volatile Stocks '!C15)</f>
        <v>-4.3229615846854044E-2</v>
      </c>
      <c r="G17">
        <f>LN('Data of High Volatile Stocks '!D16/'Data of High Volatile Stocks '!D15)</f>
        <v>-0.14986306551261575</v>
      </c>
      <c r="H17">
        <f>LN('Data of High Volatile Stocks '!E16/'Data of High Volatile Stocks '!E15)</f>
        <v>-0.11566604515570807</v>
      </c>
      <c r="I17">
        <f>LN('Data of High Volatile Stocks '!F16/'Data of High Volatile Stocks '!F15)</f>
        <v>-8.5238152212121318E-2</v>
      </c>
      <c r="J17">
        <f>LN('Data of High Volatile Stocks '!G16/'Data of High Volatile Stocks '!G15)</f>
        <v>-9.0115032800027833E-2</v>
      </c>
      <c r="K17">
        <f>LN('Data of High Volatile Stocks '!H16/'Data of High Volatile Stocks '!H15)</f>
        <v>-6.2225207272701283E-2</v>
      </c>
      <c r="N17">
        <f t="shared" si="1"/>
        <v>-3.8954408082391923E-2</v>
      </c>
      <c r="O17">
        <f t="shared" si="2"/>
        <v>-4.8498301189387E-2</v>
      </c>
      <c r="P17">
        <f t="shared" si="3"/>
        <v>-0.1521171888838562</v>
      </c>
      <c r="Q17">
        <f t="shared" si="4"/>
        <v>-0.11982479891555346</v>
      </c>
      <c r="R17">
        <f t="shared" si="5"/>
        <v>-9.7515503889562399E-2</v>
      </c>
      <c r="S17">
        <f t="shared" si="6"/>
        <v>-8.7043966151701582E-2</v>
      </c>
      <c r="T17">
        <f t="shared" si="7"/>
        <v>-5.8697505948255728E-2</v>
      </c>
    </row>
    <row r="18" spans="5:20" x14ac:dyDescent="0.3">
      <c r="E18">
        <f>LN('Data of High Volatile Stocks '!B17/'Data of High Volatile Stocks '!B16)</f>
        <v>-7.2061373638917015E-2</v>
      </c>
      <c r="F18">
        <f>LN('Data of High Volatile Stocks '!C17/'Data of High Volatile Stocks '!C16)</f>
        <v>7.5063344559852987E-2</v>
      </c>
      <c r="G18">
        <f>LN('Data of High Volatile Stocks '!D17/'Data of High Volatile Stocks '!D16)</f>
        <v>-8.8628192216535118E-2</v>
      </c>
      <c r="H18">
        <f>LN('Data of High Volatile Stocks '!E17/'Data of High Volatile Stocks '!E16)</f>
        <v>1.9466086625123183E-2</v>
      </c>
      <c r="I18">
        <f>LN('Data of High Volatile Stocks '!F17/'Data of High Volatile Stocks '!F16)</f>
        <v>-2.2293916959212796E-2</v>
      </c>
      <c r="J18">
        <f>LN('Data of High Volatile Stocks '!G17/'Data of High Volatile Stocks '!G16)</f>
        <v>-2.9900502587615466E-2</v>
      </c>
      <c r="K18">
        <f>LN('Data of High Volatile Stocks '!H17/'Data of High Volatile Stocks '!H16)</f>
        <v>-5.3343103750311E-3</v>
      </c>
      <c r="N18">
        <f t="shared" si="1"/>
        <v>-6.3922492103086814E-2</v>
      </c>
      <c r="O18">
        <f t="shared" si="2"/>
        <v>6.9794659217320032E-2</v>
      </c>
      <c r="P18">
        <f t="shared" si="3"/>
        <v>-9.088231558777557E-2</v>
      </c>
      <c r="Q18">
        <f t="shared" si="4"/>
        <v>1.530733286527779E-2</v>
      </c>
      <c r="R18">
        <f t="shared" si="5"/>
        <v>-3.4571268636653871E-2</v>
      </c>
      <c r="S18">
        <f t="shared" si="6"/>
        <v>-2.6829435939289208E-2</v>
      </c>
      <c r="T18">
        <f t="shared" si="7"/>
        <v>-1.8066090505855482E-3</v>
      </c>
    </row>
    <row r="19" spans="5:20" x14ac:dyDescent="0.3">
      <c r="E19">
        <f>LN('Data of High Volatile Stocks '!B18/'Data of High Volatile Stocks '!B17)</f>
        <v>-0.10908341576699199</v>
      </c>
      <c r="F19">
        <f>LN('Data of High Volatile Stocks '!C18/'Data of High Volatile Stocks '!C17)</f>
        <v>-0.13449144130831797</v>
      </c>
      <c r="G19">
        <f>LN('Data of High Volatile Stocks '!D18/'Data of High Volatile Stocks '!D17)</f>
        <v>-0.11324450119358179</v>
      </c>
      <c r="H19">
        <f>LN('Data of High Volatile Stocks '!E18/'Data of High Volatile Stocks '!E17)</f>
        <v>-5.8275028093743235E-2</v>
      </c>
      <c r="I19">
        <f>LN('Data of High Volatile Stocks '!F18/'Data of High Volatile Stocks '!F17)</f>
        <v>-3.7740327982846968E-2</v>
      </c>
      <c r="J19">
        <f>LN('Data of High Volatile Stocks '!G18/'Data of High Volatile Stocks '!G17)</f>
        <v>-0.13712981320405596</v>
      </c>
      <c r="K19">
        <f>LN('Data of High Volatile Stocks '!H18/'Data of High Volatile Stocks '!H17)</f>
        <v>-9.6425841357617517E-2</v>
      </c>
      <c r="N19">
        <f t="shared" si="1"/>
        <v>-0.10094453423116179</v>
      </c>
      <c r="O19">
        <f t="shared" si="2"/>
        <v>-0.13976012665085091</v>
      </c>
      <c r="P19">
        <f t="shared" si="3"/>
        <v>-0.11549862456482224</v>
      </c>
      <c r="Q19">
        <f t="shared" si="4"/>
        <v>-6.2433781853588631E-2</v>
      </c>
      <c r="R19">
        <f t="shared" si="5"/>
        <v>-5.0017679660288042E-2</v>
      </c>
      <c r="S19">
        <f t="shared" si="6"/>
        <v>-0.13405874655572969</v>
      </c>
      <c r="T19">
        <f t="shared" si="7"/>
        <v>-9.2898140033171969E-2</v>
      </c>
    </row>
    <row r="20" spans="5:20" x14ac:dyDescent="0.3">
      <c r="E20">
        <f>LN('Data of High Volatile Stocks '!B19/'Data of High Volatile Stocks '!B18)</f>
        <v>-4.4665617303184822E-2</v>
      </c>
      <c r="F20">
        <f>LN('Data of High Volatile Stocks '!C19/'Data of High Volatile Stocks '!C18)</f>
        <v>-3.3931738380452749E-2</v>
      </c>
      <c r="G20">
        <f>LN('Data of High Volatile Stocks '!D19/'Data of High Volatile Stocks '!D18)</f>
        <v>-0.15434078305388266</v>
      </c>
      <c r="H20">
        <f>LN('Data of High Volatile Stocks '!E19/'Data of High Volatile Stocks '!E18)</f>
        <v>2.0864181651143482E-2</v>
      </c>
      <c r="I20">
        <f>LN('Data of High Volatile Stocks '!F19/'Data of High Volatile Stocks '!F18)</f>
        <v>-0.13976194237515874</v>
      </c>
      <c r="J20">
        <f>LN('Data of High Volatile Stocks '!G19/'Data of High Volatile Stocks '!G18)</f>
        <v>-4.4114737562260635E-2</v>
      </c>
      <c r="K20">
        <f>LN('Data of High Volatile Stocks '!H19/'Data of High Volatile Stocks '!H18)</f>
        <v>-6.0078282236800153E-3</v>
      </c>
      <c r="N20">
        <f t="shared" si="1"/>
        <v>-3.6526735767354629E-2</v>
      </c>
      <c r="O20">
        <f t="shared" si="2"/>
        <v>-3.9200423722985704E-2</v>
      </c>
      <c r="P20">
        <f t="shared" si="3"/>
        <v>-0.15659490642512311</v>
      </c>
      <c r="Q20">
        <f t="shared" si="4"/>
        <v>1.6705427891298089E-2</v>
      </c>
      <c r="R20">
        <f t="shared" si="5"/>
        <v>-0.1520392940525998</v>
      </c>
      <c r="S20">
        <f t="shared" si="6"/>
        <v>-4.1043670913934377E-2</v>
      </c>
      <c r="T20">
        <f t="shared" si="7"/>
        <v>-2.4801268992344634E-3</v>
      </c>
    </row>
    <row r="21" spans="5:20" x14ac:dyDescent="0.3">
      <c r="E21">
        <f>LN('Data of High Volatile Stocks '!B20/'Data of High Volatile Stocks '!B19)</f>
        <v>-0.13282889874245388</v>
      </c>
      <c r="F21">
        <f>LN('Data of High Volatile Stocks '!C20/'Data of High Volatile Stocks '!C19)</f>
        <v>-0.18730477148803115</v>
      </c>
      <c r="G21">
        <f>LN('Data of High Volatile Stocks '!D20/'Data of High Volatile Stocks '!D19)</f>
        <v>-8.2930379330733078E-2</v>
      </c>
      <c r="H21">
        <f>LN('Data of High Volatile Stocks '!E20/'Data of High Volatile Stocks '!E19)</f>
        <v>-0.18856719560379206</v>
      </c>
      <c r="I21">
        <f>LN('Data of High Volatile Stocks '!F20/'Data of High Volatile Stocks '!F19)</f>
        <v>-9.2621489880396562E-2</v>
      </c>
      <c r="J21">
        <f>LN('Data of High Volatile Stocks '!G20/'Data of High Volatile Stocks '!G19)</f>
        <v>4.1433217803646769E-2</v>
      </c>
      <c r="K21">
        <f>LN('Data of High Volatile Stocks '!H20/'Data of High Volatile Stocks '!H19)</f>
        <v>-3.2562203187806185E-2</v>
      </c>
      <c r="N21">
        <f t="shared" si="1"/>
        <v>-0.12469001720662368</v>
      </c>
      <c r="O21">
        <f t="shared" si="2"/>
        <v>-0.19257345683056409</v>
      </c>
      <c r="P21">
        <f t="shared" si="3"/>
        <v>-8.518450270197353E-2</v>
      </c>
      <c r="Q21">
        <f t="shared" si="4"/>
        <v>-0.19272594936363746</v>
      </c>
      <c r="R21">
        <f t="shared" si="5"/>
        <v>-0.10489884155783764</v>
      </c>
      <c r="S21">
        <f t="shared" si="6"/>
        <v>4.4504284451973027E-2</v>
      </c>
      <c r="T21">
        <f t="shared" si="7"/>
        <v>-2.9034501863360634E-2</v>
      </c>
    </row>
    <row r="22" spans="5:20" x14ac:dyDescent="0.3">
      <c r="E22">
        <f>LN('Data of High Volatile Stocks '!B21/'Data of High Volatile Stocks '!B20)</f>
        <v>-6.8452049045531751E-3</v>
      </c>
      <c r="F22">
        <f>LN('Data of High Volatile Stocks '!C21/'Data of High Volatile Stocks '!C20)</f>
        <v>-5.3080039391986487E-2</v>
      </c>
      <c r="G22">
        <f>LN('Data of High Volatile Stocks '!D21/'Data of High Volatile Stocks '!D20)</f>
        <v>-0.42429365820758708</v>
      </c>
      <c r="H22">
        <f>LN('Data of High Volatile Stocks '!E21/'Data of High Volatile Stocks '!E20)</f>
        <v>-6.6612015717581394E-2</v>
      </c>
      <c r="I22">
        <f>LN('Data of High Volatile Stocks '!F21/'Data of High Volatile Stocks '!F20)</f>
        <v>-0.12812109989627515</v>
      </c>
      <c r="J22">
        <f>LN('Data of High Volatile Stocks '!G21/'Data of High Volatile Stocks '!G20)</f>
        <v>1.0376627755477333E-2</v>
      </c>
      <c r="K22">
        <f>LN('Data of High Volatile Stocks '!H21/'Data of High Volatile Stocks '!H20)</f>
        <v>-1.6107450014981876E-2</v>
      </c>
      <c r="N22">
        <f t="shared" si="1"/>
        <v>1.2936766312770217E-3</v>
      </c>
      <c r="O22">
        <f t="shared" si="2"/>
        <v>-5.8348724734519443E-2</v>
      </c>
      <c r="P22">
        <f t="shared" si="3"/>
        <v>-0.4265477815788275</v>
      </c>
      <c r="Q22">
        <f t="shared" si="4"/>
        <v>-7.077076947742679E-2</v>
      </c>
      <c r="R22">
        <f t="shared" si="5"/>
        <v>-0.14039845157371622</v>
      </c>
      <c r="S22">
        <f t="shared" si="6"/>
        <v>1.3447694403803591E-2</v>
      </c>
      <c r="T22">
        <f t="shared" si="7"/>
        <v>-1.2579748690536324E-2</v>
      </c>
    </row>
    <row r="23" spans="5:20" x14ac:dyDescent="0.3">
      <c r="E23">
        <f>LN('Data of High Volatile Stocks '!B22/'Data of High Volatile Stocks '!B21)</f>
        <v>-6.2090341924180885E-2</v>
      </c>
      <c r="F23">
        <f>LN('Data of High Volatile Stocks '!C22/'Data of High Volatile Stocks '!C21)</f>
        <v>-4.9513440578947951E-2</v>
      </c>
      <c r="G23">
        <f>LN('Data of High Volatile Stocks '!D22/'Data of High Volatile Stocks '!D21)</f>
        <v>-2.5669220154702251E-2</v>
      </c>
      <c r="H23">
        <f>LN('Data of High Volatile Stocks '!E22/'Data of High Volatile Stocks '!E21)</f>
        <v>-4.3576228112922576E-2</v>
      </c>
      <c r="I23">
        <f>LN('Data of High Volatile Stocks '!F22/'Data of High Volatile Stocks '!F21)</f>
        <v>-3.1671343837651411E-2</v>
      </c>
      <c r="J23">
        <f>LN('Data of High Volatile Stocks '!G22/'Data of High Volatile Stocks '!G21)</f>
        <v>-3.7913309796599529E-2</v>
      </c>
      <c r="K23">
        <f>LN('Data of High Volatile Stocks '!H22/'Data of High Volatile Stocks '!H21)</f>
        <v>-5.5274660649367521E-2</v>
      </c>
      <c r="N23">
        <f t="shared" si="1"/>
        <v>-5.3951460388350692E-2</v>
      </c>
      <c r="O23">
        <f t="shared" si="2"/>
        <v>-5.4782125921480906E-2</v>
      </c>
      <c r="P23">
        <f t="shared" si="3"/>
        <v>-2.7923343525942695E-2</v>
      </c>
      <c r="Q23">
        <f t="shared" si="4"/>
        <v>-4.7734981872767972E-2</v>
      </c>
      <c r="R23">
        <f t="shared" si="5"/>
        <v>-4.3948695515092492E-2</v>
      </c>
      <c r="S23">
        <f t="shared" si="6"/>
        <v>-3.4842243148273271E-2</v>
      </c>
      <c r="T23">
        <f t="shared" si="7"/>
        <v>-5.1746959324921966E-2</v>
      </c>
    </row>
    <row r="24" spans="5:20" x14ac:dyDescent="0.3">
      <c r="E24">
        <f>LN('Data of High Volatile Stocks '!B23/'Data of High Volatile Stocks '!B22)</f>
        <v>-0.40074710664791618</v>
      </c>
      <c r="F24">
        <f>LN('Data of High Volatile Stocks '!C23/'Data of High Volatile Stocks '!C22)</f>
        <v>0.11471557153831148</v>
      </c>
      <c r="G24">
        <f>LN('Data of High Volatile Stocks '!D23/'Data of High Volatile Stocks '!D22)</f>
        <v>0.1298208132279868</v>
      </c>
      <c r="H24">
        <f>LN('Data of High Volatile Stocks '!E23/'Data of High Volatile Stocks '!E22)</f>
        <v>1.361143941098635E-2</v>
      </c>
      <c r="I24">
        <f>LN('Data of High Volatile Stocks '!F23/'Data of High Volatile Stocks '!F22)</f>
        <v>9.102558648683412E-2</v>
      </c>
      <c r="J24">
        <f>LN('Data of High Volatile Stocks '!G23/'Data of High Volatile Stocks '!G22)</f>
        <v>2.3811897600144891E-2</v>
      </c>
      <c r="K24">
        <f>LN('Data of High Volatile Stocks '!H23/'Data of High Volatile Stocks '!H22)</f>
        <v>0.20737467630806125</v>
      </c>
      <c r="N24">
        <f t="shared" si="1"/>
        <v>-0.39260822511208598</v>
      </c>
      <c r="O24">
        <f t="shared" si="2"/>
        <v>0.10944688619577853</v>
      </c>
      <c r="P24">
        <f t="shared" si="3"/>
        <v>0.12756668985674635</v>
      </c>
      <c r="Q24">
        <f t="shared" si="4"/>
        <v>9.452685651140956E-3</v>
      </c>
      <c r="R24">
        <f t="shared" si="5"/>
        <v>7.8748234809393039E-2</v>
      </c>
      <c r="S24">
        <f t="shared" si="6"/>
        <v>2.6882964248471149E-2</v>
      </c>
      <c r="T24">
        <f t="shared" si="7"/>
        <v>0.2109023776325068</v>
      </c>
    </row>
    <row r="25" spans="5:20" x14ac:dyDescent="0.3">
      <c r="E25">
        <f>LN('Data of High Volatile Stocks '!B24/'Data of High Volatile Stocks '!B23)</f>
        <v>-7.2529284110011236E-2</v>
      </c>
      <c r="F25">
        <f>LN('Data of High Volatile Stocks '!C24/'Data of High Volatile Stocks '!C23)</f>
        <v>-2.870195807183528E-2</v>
      </c>
      <c r="G25">
        <f>LN('Data of High Volatile Stocks '!D24/'Data of High Volatile Stocks '!D23)</f>
        <v>-0.12169068714473673</v>
      </c>
      <c r="H25">
        <f>LN('Data of High Volatile Stocks '!E24/'Data of High Volatile Stocks '!E23)</f>
        <v>2.0075956572689006E-2</v>
      </c>
      <c r="I25">
        <f>LN('Data of High Volatile Stocks '!F24/'Data of High Volatile Stocks '!F23)</f>
        <v>1.0118130165584686E-2</v>
      </c>
      <c r="J25">
        <f>LN('Data of High Volatile Stocks '!G24/'Data of High Volatile Stocks '!G23)</f>
        <v>-0.10011073765764682</v>
      </c>
      <c r="K25">
        <f>LN('Data of High Volatile Stocks '!H24/'Data of High Volatile Stocks '!H23)</f>
        <v>-9.0975882202186387E-3</v>
      </c>
      <c r="N25">
        <f t="shared" si="1"/>
        <v>-6.4390402574181035E-2</v>
      </c>
      <c r="O25">
        <f t="shared" si="2"/>
        <v>-3.3970643414368236E-2</v>
      </c>
      <c r="P25">
        <f t="shared" si="3"/>
        <v>-0.12394481051597718</v>
      </c>
      <c r="Q25">
        <f t="shared" si="4"/>
        <v>1.5917202812843614E-2</v>
      </c>
      <c r="R25">
        <f t="shared" si="5"/>
        <v>-2.1592215118563917E-3</v>
      </c>
      <c r="S25">
        <f t="shared" si="6"/>
        <v>-9.7039671009320566E-2</v>
      </c>
      <c r="T25">
        <f t="shared" si="7"/>
        <v>-5.5698868957730872E-3</v>
      </c>
    </row>
    <row r="26" spans="5:20" x14ac:dyDescent="0.3">
      <c r="E26">
        <f>LN('Data of High Volatile Stocks '!B25/'Data of High Volatile Stocks '!B24)</f>
        <v>-8.7199612284303243E-2</v>
      </c>
      <c r="F26">
        <f>LN('Data of High Volatile Stocks '!C25/'Data of High Volatile Stocks '!C24)</f>
        <v>4.357698691109247E-2</v>
      </c>
      <c r="G26">
        <f>LN('Data of High Volatile Stocks '!D25/'Data of High Volatile Stocks '!D24)</f>
        <v>-0.12744494656812025</v>
      </c>
      <c r="H26">
        <f>LN('Data of High Volatile Stocks '!E25/'Data of High Volatile Stocks '!E24)</f>
        <v>-1.796580596905701E-2</v>
      </c>
      <c r="I26">
        <f>LN('Data of High Volatile Stocks '!F25/'Data of High Volatile Stocks '!F24)</f>
        <v>-7.9111001652535998E-2</v>
      </c>
      <c r="J26">
        <f>LN('Data of High Volatile Stocks '!G25/'Data of High Volatile Stocks '!G24)</f>
        <v>-5.378082782100041E-2</v>
      </c>
      <c r="K26">
        <f>LN('Data of High Volatile Stocks '!H25/'Data of High Volatile Stocks '!H24)</f>
        <v>-3.2038106950284325E-3</v>
      </c>
      <c r="N26">
        <f t="shared" si="1"/>
        <v>-7.9060730748473043E-2</v>
      </c>
      <c r="O26">
        <f t="shared" si="2"/>
        <v>3.8308301568559515E-2</v>
      </c>
      <c r="P26">
        <f t="shared" si="3"/>
        <v>-0.1296990699393607</v>
      </c>
      <c r="Q26">
        <f t="shared" si="4"/>
        <v>-2.2124559728902402E-2</v>
      </c>
      <c r="R26">
        <f t="shared" si="5"/>
        <v>-9.1388353329977079E-2</v>
      </c>
      <c r="S26">
        <f t="shared" si="6"/>
        <v>-5.0709761172674152E-2</v>
      </c>
      <c r="T26">
        <f t="shared" si="7"/>
        <v>3.2389062941711941E-4</v>
      </c>
    </row>
    <row r="27" spans="5:20" x14ac:dyDescent="0.3">
      <c r="E27">
        <f>LN('Data of High Volatile Stocks '!B26/'Data of High Volatile Stocks '!B25)</f>
        <v>-6.6951067542955003E-2</v>
      </c>
      <c r="F27">
        <f>LN('Data of High Volatile Stocks '!C26/'Data of High Volatile Stocks '!C25)</f>
        <v>-3.2533929902938817E-2</v>
      </c>
      <c r="G27">
        <f>LN('Data of High Volatile Stocks '!D26/'Data of High Volatile Stocks '!D25)</f>
        <v>-0.13647998930471547</v>
      </c>
      <c r="H27">
        <f>LN('Data of High Volatile Stocks '!E26/'Data of High Volatile Stocks '!E25)</f>
        <v>-8.3949993915986981E-2</v>
      </c>
      <c r="I27">
        <f>LN('Data of High Volatile Stocks '!F26/'Data of High Volatile Stocks '!F25)</f>
        <v>-2.42424361150628E-3</v>
      </c>
      <c r="J27">
        <f>LN('Data of High Volatile Stocks '!G26/'Data of High Volatile Stocks '!G25)</f>
        <v>-3.512387793143704E-3</v>
      </c>
      <c r="K27">
        <f>LN('Data of High Volatile Stocks '!H26/'Data of High Volatile Stocks '!H25)</f>
        <v>8.4904878517648198E-3</v>
      </c>
      <c r="N27">
        <f t="shared" si="1"/>
        <v>-5.8812186007124803E-2</v>
      </c>
      <c r="O27">
        <f t="shared" si="2"/>
        <v>-3.7802615245471773E-2</v>
      </c>
      <c r="P27">
        <f t="shared" si="3"/>
        <v>-0.13873411267595592</v>
      </c>
      <c r="Q27">
        <f t="shared" si="4"/>
        <v>-8.8108747675832377E-2</v>
      </c>
      <c r="R27">
        <f t="shared" si="5"/>
        <v>-1.4701595288947357E-2</v>
      </c>
      <c r="S27">
        <f t="shared" si="6"/>
        <v>-4.4132114481744639E-4</v>
      </c>
      <c r="T27">
        <f t="shared" si="7"/>
        <v>1.2018189176210371E-2</v>
      </c>
    </row>
    <row r="28" spans="5:20" x14ac:dyDescent="0.3">
      <c r="E28">
        <f>LN('Data of High Volatile Stocks '!B27/'Data of High Volatile Stocks '!B26)</f>
        <v>0.16853941727935784</v>
      </c>
      <c r="F28">
        <f>LN('Data of High Volatile Stocks '!C27/'Data of High Volatile Stocks '!C26)</f>
        <v>0.12104528381351375</v>
      </c>
      <c r="G28">
        <f>LN('Data of High Volatile Stocks '!D27/'Data of High Volatile Stocks '!D26)</f>
        <v>0.20239084378355024</v>
      </c>
      <c r="H28">
        <f>LN('Data of High Volatile Stocks '!E27/'Data of High Volatile Stocks '!E26)</f>
        <v>5.4429133619056339E-2</v>
      </c>
      <c r="I28">
        <f>LN('Data of High Volatile Stocks '!F27/'Data of High Volatile Stocks '!F26)</f>
        <v>0.21240650331325309</v>
      </c>
      <c r="J28">
        <f>LN('Data of High Volatile Stocks '!G27/'Data of High Volatile Stocks '!G26)</f>
        <v>0.18096578900936452</v>
      </c>
      <c r="K28">
        <f>LN('Data of High Volatile Stocks '!H27/'Data of High Volatile Stocks '!H26)</f>
        <v>0.10877286877114241</v>
      </c>
      <c r="N28">
        <f t="shared" si="1"/>
        <v>0.17667829881518804</v>
      </c>
      <c r="O28">
        <f t="shared" si="2"/>
        <v>0.11577659847098079</v>
      </c>
      <c r="P28">
        <f t="shared" si="3"/>
        <v>0.20013672041230979</v>
      </c>
      <c r="Q28">
        <f t="shared" si="4"/>
        <v>5.0270379859210942E-2</v>
      </c>
      <c r="R28">
        <f t="shared" si="5"/>
        <v>0.20012915163581202</v>
      </c>
      <c r="S28">
        <f t="shared" si="6"/>
        <v>0.18403685565769079</v>
      </c>
      <c r="T28">
        <f t="shared" si="7"/>
        <v>0.11230057009558796</v>
      </c>
    </row>
    <row r="29" spans="5:20" x14ac:dyDescent="0.3">
      <c r="E29">
        <f>LN('Data of High Volatile Stocks '!B28/'Data of High Volatile Stocks '!B27)</f>
        <v>-0.10990597802950085</v>
      </c>
      <c r="F29">
        <f>LN('Data of High Volatile Stocks '!C28/'Data of High Volatile Stocks '!C27)</f>
        <v>-3.1520290083568041E-2</v>
      </c>
      <c r="G29">
        <f>LN('Data of High Volatile Stocks '!D28/'Data of High Volatile Stocks '!D27)</f>
        <v>-0.24588463292697357</v>
      </c>
      <c r="H29">
        <f>LN('Data of High Volatile Stocks '!E28/'Data of High Volatile Stocks '!E27)</f>
        <v>-7.6214467958986593E-2</v>
      </c>
      <c r="I29">
        <f>LN('Data of High Volatile Stocks '!F28/'Data of High Volatile Stocks '!F27)</f>
        <v>-9.4623467656869645E-2</v>
      </c>
      <c r="J29">
        <f>LN('Data of High Volatile Stocks '!G28/'Data of High Volatile Stocks '!G27)</f>
        <v>-0.16304911903805785</v>
      </c>
      <c r="K29">
        <f>LN('Data of High Volatile Stocks '!H28/'Data of High Volatile Stocks '!H27)</f>
        <v>-9.999334005108633E-2</v>
      </c>
      <c r="N29">
        <f t="shared" si="1"/>
        <v>-0.10176709649367065</v>
      </c>
      <c r="O29">
        <f t="shared" si="2"/>
        <v>-3.6788975426100996E-2</v>
      </c>
      <c r="P29">
        <f t="shared" si="3"/>
        <v>-0.24813875629821402</v>
      </c>
      <c r="Q29">
        <f t="shared" si="4"/>
        <v>-8.0373221718831989E-2</v>
      </c>
      <c r="R29">
        <f t="shared" si="5"/>
        <v>-0.10690081933431073</v>
      </c>
      <c r="S29">
        <f t="shared" si="6"/>
        <v>-0.15997805238973159</v>
      </c>
      <c r="T29">
        <f t="shared" si="7"/>
        <v>-9.6465638726640782E-2</v>
      </c>
    </row>
    <row r="30" spans="5:20" x14ac:dyDescent="0.3">
      <c r="E30">
        <f>LN('Data of High Volatile Stocks '!B29/'Data of High Volatile Stocks '!B28)</f>
        <v>0.12743845679114155</v>
      </c>
      <c r="F30">
        <f>LN('Data of High Volatile Stocks '!C29/'Data of High Volatile Stocks '!C28)</f>
        <v>6.0240595343429487E-2</v>
      </c>
      <c r="G30">
        <f>LN('Data of High Volatile Stocks '!D29/'Data of High Volatile Stocks '!D28)</f>
        <v>0.20652996087335823</v>
      </c>
      <c r="H30">
        <f>LN('Data of High Volatile Stocks '!E29/'Data of High Volatile Stocks '!E28)</f>
        <v>4.5795547767447341E-2</v>
      </c>
      <c r="I30">
        <f>LN('Data of High Volatile Stocks '!F29/'Data of High Volatile Stocks '!F28)</f>
        <v>9.2658830482704763E-2</v>
      </c>
      <c r="J30">
        <f>LN('Data of High Volatile Stocks '!G29/'Data of High Volatile Stocks '!G28)</f>
        <v>0.11790220386244706</v>
      </c>
      <c r="K30">
        <f>LN('Data of High Volatile Stocks '!H29/'Data of High Volatile Stocks '!H28)</f>
        <v>7.6563791168876627E-2</v>
      </c>
      <c r="N30">
        <f t="shared" si="1"/>
        <v>0.13557733832697175</v>
      </c>
      <c r="O30">
        <f t="shared" si="2"/>
        <v>5.4971910000896532E-2</v>
      </c>
      <c r="P30">
        <f t="shared" si="3"/>
        <v>0.20427583750211778</v>
      </c>
      <c r="Q30">
        <f t="shared" si="4"/>
        <v>4.1636794007601945E-2</v>
      </c>
      <c r="R30">
        <f t="shared" si="5"/>
        <v>8.0381478805263681E-2</v>
      </c>
      <c r="S30">
        <f t="shared" si="6"/>
        <v>0.12097327051077331</v>
      </c>
      <c r="T30">
        <f t="shared" si="7"/>
        <v>8.0091492493322175E-2</v>
      </c>
    </row>
    <row r="31" spans="5:20" x14ac:dyDescent="0.3">
      <c r="E31">
        <f>LN('Data of High Volatile Stocks '!B30/'Data of High Volatile Stocks '!B29)</f>
        <v>-9.164045091536252E-2</v>
      </c>
      <c r="F31">
        <f>LN('Data of High Volatile Stocks '!C30/'Data of High Volatile Stocks '!C29)</f>
        <v>-6.7800480151369663E-2</v>
      </c>
      <c r="G31">
        <f>LN('Data of High Volatile Stocks '!D30/'Data of High Volatile Stocks '!D29)</f>
        <v>-0.11407867621616299</v>
      </c>
      <c r="H31">
        <f>LN('Data of High Volatile Stocks '!E30/'Data of High Volatile Stocks '!E29)</f>
        <v>-3.0449978092786902E-2</v>
      </c>
      <c r="I31">
        <f>LN('Data of High Volatile Stocks '!F30/'Data of High Volatile Stocks '!F29)</f>
        <v>-0.11778303565638351</v>
      </c>
      <c r="J31">
        <f>LN('Data of High Volatile Stocks '!G30/'Data of High Volatile Stocks '!G29)</f>
        <v>-9.5977704742095105E-2</v>
      </c>
      <c r="K31">
        <f>LN('Data of High Volatile Stocks '!H30/'Data of High Volatile Stocks '!H29)</f>
        <v>-0.18215462581952474</v>
      </c>
      <c r="N31">
        <f t="shared" si="1"/>
        <v>-8.350156937953232E-2</v>
      </c>
      <c r="O31">
        <f t="shared" si="2"/>
        <v>-7.3069165493902619E-2</v>
      </c>
      <c r="P31">
        <f t="shared" si="3"/>
        <v>-0.11633279958740345</v>
      </c>
      <c r="Q31">
        <f t="shared" si="4"/>
        <v>-3.4608731852632295E-2</v>
      </c>
      <c r="R31">
        <f t="shared" si="5"/>
        <v>-0.13006038733382458</v>
      </c>
      <c r="S31">
        <f t="shared" si="6"/>
        <v>-9.2906638093768854E-2</v>
      </c>
      <c r="T31">
        <f t="shared" si="7"/>
        <v>-0.17862692449507919</v>
      </c>
    </row>
    <row r="32" spans="5:20" x14ac:dyDescent="0.3">
      <c r="E32">
        <f>LN('Data of High Volatile Stocks '!B31/'Data of High Volatile Stocks '!B30)</f>
        <v>-0.31516245003446175</v>
      </c>
      <c r="F32">
        <f>LN('Data of High Volatile Stocks '!C31/'Data of High Volatile Stocks '!C30)</f>
        <v>3.1156547198591129E-2</v>
      </c>
      <c r="G32">
        <f>LN('Data of High Volatile Stocks '!D31/'Data of High Volatile Stocks '!D30)</f>
        <v>0.27505387039860635</v>
      </c>
      <c r="H32">
        <f>LN('Data of High Volatile Stocks '!E31/'Data of High Volatile Stocks '!E30)</f>
        <v>7.2524545023387066E-2</v>
      </c>
      <c r="I32">
        <f>LN('Data of High Volatile Stocks '!F31/'Data of High Volatile Stocks '!F30)</f>
        <v>8.4796536660077054E-2</v>
      </c>
      <c r="J32">
        <f>LN('Data of High Volatile Stocks '!G31/'Data of High Volatile Stocks '!G30)</f>
        <v>3.5167704023896545E-2</v>
      </c>
      <c r="K32">
        <f>LN('Data of High Volatile Stocks '!H31/'Data of High Volatile Stocks '!H30)</f>
        <v>6.4945298682801897E-2</v>
      </c>
      <c r="N32">
        <f t="shared" si="1"/>
        <v>-0.30702356849863155</v>
      </c>
      <c r="O32">
        <f t="shared" si="2"/>
        <v>2.5887861856058174E-2</v>
      </c>
      <c r="P32">
        <f t="shared" si="3"/>
        <v>0.27279974702736592</v>
      </c>
      <c r="Q32">
        <f t="shared" si="4"/>
        <v>6.836579126354167E-2</v>
      </c>
      <c r="R32">
        <f t="shared" si="5"/>
        <v>7.2519184982635973E-2</v>
      </c>
      <c r="S32">
        <f t="shared" si="6"/>
        <v>3.8238770672222804E-2</v>
      </c>
      <c r="T32">
        <f t="shared" si="7"/>
        <v>6.8473000007247445E-2</v>
      </c>
    </row>
    <row r="33" spans="5:20" x14ac:dyDescent="0.3">
      <c r="E33">
        <f>LN('Data of High Volatile Stocks '!B32/'Data of High Volatile Stocks '!B31)</f>
        <v>-8.0645598367304078E-3</v>
      </c>
      <c r="F33">
        <f>LN('Data of High Volatile Stocks '!C32/'Data of High Volatile Stocks '!C31)</f>
        <v>3.8133631600935575E-4</v>
      </c>
      <c r="G33">
        <f>LN('Data of High Volatile Stocks '!D32/'Data of High Volatile Stocks '!D31)</f>
        <v>-0.11764184257460977</v>
      </c>
      <c r="H33">
        <f>LN('Data of High Volatile Stocks '!E32/'Data of High Volatile Stocks '!E31)</f>
        <v>6.417134320633509E-3</v>
      </c>
      <c r="I33">
        <f>LN('Data of High Volatile Stocks '!F32/'Data of High Volatile Stocks '!F31)</f>
        <v>5.0530808647215965E-2</v>
      </c>
      <c r="J33">
        <f>LN('Data of High Volatile Stocks '!G32/'Data of High Volatile Stocks '!G31)</f>
        <v>-0.30448155948141287</v>
      </c>
      <c r="K33">
        <f>LN('Data of High Volatile Stocks '!H32/'Data of High Volatile Stocks '!H31)</f>
        <v>-2.5570520128453289E-2</v>
      </c>
      <c r="N33">
        <f t="shared" si="1"/>
        <v>7.4321699099788932E-5</v>
      </c>
      <c r="O33">
        <f t="shared" si="2"/>
        <v>-4.8873490265235985E-3</v>
      </c>
      <c r="P33">
        <f t="shared" si="3"/>
        <v>-0.11989596594585022</v>
      </c>
      <c r="Q33">
        <f t="shared" si="4"/>
        <v>2.2583805607881155E-3</v>
      </c>
      <c r="R33">
        <f t="shared" si="5"/>
        <v>3.8253456969774891E-2</v>
      </c>
      <c r="S33">
        <f t="shared" si="6"/>
        <v>-0.30141049283308663</v>
      </c>
      <c r="T33">
        <f t="shared" si="7"/>
        <v>-2.2042818804007738E-2</v>
      </c>
    </row>
    <row r="34" spans="5:20" x14ac:dyDescent="0.3">
      <c r="E34">
        <f>LN('Data of High Volatile Stocks '!B33/'Data of High Volatile Stocks '!B32)</f>
        <v>2.9912499362600032E-2</v>
      </c>
      <c r="F34">
        <f>LN('Data of High Volatile Stocks '!C33/'Data of High Volatile Stocks '!C32)</f>
        <v>4.040360635453686E-2</v>
      </c>
      <c r="G34">
        <f>LN('Data of High Volatile Stocks '!D33/'Data of High Volatile Stocks '!D32)</f>
        <v>0.39063737897911199</v>
      </c>
      <c r="H34">
        <f>LN('Data of High Volatile Stocks '!E33/'Data of High Volatile Stocks '!E32)</f>
        <v>0.31117785908948331</v>
      </c>
      <c r="I34">
        <f>LN('Data of High Volatile Stocks '!F33/'Data of High Volatile Stocks '!F32)</f>
        <v>0.1010032102888706</v>
      </c>
      <c r="J34">
        <f>LN('Data of High Volatile Stocks '!G33/'Data of High Volatile Stocks '!G32)</f>
        <v>0.2275295232574642</v>
      </c>
      <c r="K34">
        <f>LN('Data of High Volatile Stocks '!H33/'Data of High Volatile Stocks '!H32)</f>
        <v>9.1837954093575605E-2</v>
      </c>
      <c r="N34">
        <f t="shared" si="1"/>
        <v>3.8051380898430229E-2</v>
      </c>
      <c r="O34">
        <f t="shared" si="2"/>
        <v>3.5134921012003904E-2</v>
      </c>
      <c r="P34">
        <f t="shared" si="3"/>
        <v>0.38838325560787157</v>
      </c>
      <c r="Q34">
        <f t="shared" si="4"/>
        <v>0.30701910532963794</v>
      </c>
      <c r="R34">
        <f t="shared" si="5"/>
        <v>8.8725858611429523E-2</v>
      </c>
      <c r="S34">
        <f t="shared" si="6"/>
        <v>0.23060058990579047</v>
      </c>
      <c r="T34">
        <f t="shared" si="7"/>
        <v>9.5365655418021153E-2</v>
      </c>
    </row>
    <row r="35" spans="5:20" x14ac:dyDescent="0.3">
      <c r="E35">
        <f>LN('Data of High Volatile Stocks '!B34/'Data of High Volatile Stocks '!B33)</f>
        <v>0.13230274030138853</v>
      </c>
      <c r="F35">
        <f>LN('Data of High Volatile Stocks '!C34/'Data of High Volatile Stocks '!C33)</f>
        <v>4.9494848105529947E-2</v>
      </c>
      <c r="G35">
        <f>LN('Data of High Volatile Stocks '!D34/'Data of High Volatile Stocks '!D33)</f>
        <v>-2.7897635725217897E-2</v>
      </c>
      <c r="H35">
        <f>LN('Data of High Volatile Stocks '!E34/'Data of High Volatile Stocks '!E33)</f>
        <v>1.4268232132982984E-2</v>
      </c>
      <c r="I35">
        <f>LN('Data of High Volatile Stocks '!F34/'Data of High Volatile Stocks '!F33)</f>
        <v>-0.14444538165835194</v>
      </c>
      <c r="J35">
        <f>LN('Data of High Volatile Stocks '!G34/'Data of High Volatile Stocks '!G33)</f>
        <v>1.8667369308536758E-2</v>
      </c>
      <c r="K35">
        <f>LN('Data of High Volatile Stocks '!H34/'Data of High Volatile Stocks '!H33)</f>
        <v>-3.8774611529555116E-2</v>
      </c>
      <c r="N35">
        <f t="shared" si="1"/>
        <v>0.14044162183721873</v>
      </c>
      <c r="O35">
        <f t="shared" si="2"/>
        <v>4.4226162762996991E-2</v>
      </c>
      <c r="P35">
        <f t="shared" si="3"/>
        <v>-3.0151759096458342E-2</v>
      </c>
      <c r="Q35">
        <f t="shared" si="4"/>
        <v>1.0109478373137592E-2</v>
      </c>
      <c r="R35">
        <f t="shared" si="5"/>
        <v>-0.15672273333579301</v>
      </c>
      <c r="S35">
        <f t="shared" si="6"/>
        <v>2.1738435956863016E-2</v>
      </c>
      <c r="T35">
        <f t="shared" si="7"/>
        <v>-3.5246910205109561E-2</v>
      </c>
    </row>
    <row r="36" spans="5:20" x14ac:dyDescent="0.3">
      <c r="E36">
        <f>LN('Data of High Volatile Stocks '!B35/'Data of High Volatile Stocks '!B34)</f>
        <v>-5.1768881795336797E-3</v>
      </c>
      <c r="F36">
        <f>LN('Data of High Volatile Stocks '!C35/'Data of High Volatile Stocks '!C34)</f>
        <v>-5.2900756713797119E-2</v>
      </c>
      <c r="G36">
        <f>LN('Data of High Volatile Stocks '!D35/'Data of High Volatile Stocks '!D34)</f>
        <v>-0.20036377187757515</v>
      </c>
      <c r="H36">
        <f>LN('Data of High Volatile Stocks '!E35/'Data of High Volatile Stocks '!E34)</f>
        <v>-0.11267598798144189</v>
      </c>
      <c r="I36">
        <f>LN('Data of High Volatile Stocks '!F35/'Data of High Volatile Stocks '!F34)</f>
        <v>-0.15230240575661391</v>
      </c>
      <c r="J36">
        <f>LN('Data of High Volatile Stocks '!G35/'Data of High Volatile Stocks '!G34)</f>
        <v>-0.12246226352687362</v>
      </c>
      <c r="K36">
        <f>LN('Data of High Volatile Stocks '!H35/'Data of High Volatile Stocks '!H34)</f>
        <v>-9.594953681564633E-2</v>
      </c>
      <c r="N36">
        <f t="shared" si="1"/>
        <v>2.961993356296517E-3</v>
      </c>
      <c r="O36">
        <f t="shared" si="2"/>
        <v>-5.8169442056330074E-2</v>
      </c>
      <c r="P36">
        <f t="shared" si="3"/>
        <v>-0.2026178952488156</v>
      </c>
      <c r="Q36">
        <f t="shared" si="4"/>
        <v>-0.11683474174128729</v>
      </c>
      <c r="R36">
        <f t="shared" si="5"/>
        <v>-0.16457975743405498</v>
      </c>
      <c r="S36">
        <f t="shared" si="6"/>
        <v>-0.11939119687854736</v>
      </c>
      <c r="T36">
        <f t="shared" si="7"/>
        <v>-9.2421835491200782E-2</v>
      </c>
    </row>
    <row r="37" spans="5:20" x14ac:dyDescent="0.3">
      <c r="E37">
        <f>LN('Data of High Volatile Stocks '!B36/'Data of High Volatile Stocks '!B35)</f>
        <v>-8.0114797930569429E-2</v>
      </c>
      <c r="F37">
        <f>LN('Data of High Volatile Stocks '!C36/'Data of High Volatile Stocks '!C35)</f>
        <v>2.0983422845142461E-2</v>
      </c>
      <c r="G37">
        <f>LN('Data of High Volatile Stocks '!D36/'Data of High Volatile Stocks '!D35)</f>
        <v>-0.1040711021622388</v>
      </c>
      <c r="H37">
        <f>LN('Data of High Volatile Stocks '!E36/'Data of High Volatile Stocks '!E35)</f>
        <v>-1.4933425631591359E-2</v>
      </c>
      <c r="I37">
        <f>LN('Data of High Volatile Stocks '!F36/'Data of High Volatile Stocks '!F35)</f>
        <v>-6.9328667326238352E-2</v>
      </c>
      <c r="J37">
        <f>LN('Data of High Volatile Stocks '!G36/'Data of High Volatile Stocks '!G35)</f>
        <v>-8.1887519103626905E-2</v>
      </c>
      <c r="K37">
        <f>LN('Data of High Volatile Stocks '!H36/'Data of High Volatile Stocks '!H35)</f>
        <v>-0.20065952857866082</v>
      </c>
      <c r="N37">
        <f t="shared" si="1"/>
        <v>-7.1975916394739228E-2</v>
      </c>
      <c r="O37">
        <f t="shared" si="2"/>
        <v>1.5714737502609509E-2</v>
      </c>
      <c r="P37">
        <f t="shared" si="3"/>
        <v>-0.10632522553347926</v>
      </c>
      <c r="Q37">
        <f t="shared" si="4"/>
        <v>-1.9092179391436752E-2</v>
      </c>
      <c r="R37">
        <f t="shared" si="5"/>
        <v>-8.1606019003679434E-2</v>
      </c>
      <c r="S37">
        <f t="shared" si="6"/>
        <v>-7.8816452455300653E-2</v>
      </c>
      <c r="T37">
        <f t="shared" si="7"/>
        <v>-0.19713182725421527</v>
      </c>
    </row>
    <row r="38" spans="5:20" x14ac:dyDescent="0.3">
      <c r="E38">
        <f>LN('Data of High Volatile Stocks '!B37/'Data of High Volatile Stocks '!B36)</f>
        <v>5.0261834780888297E-2</v>
      </c>
      <c r="F38">
        <f>LN('Data of High Volatile Stocks '!C37/'Data of High Volatile Stocks '!C36)</f>
        <v>-0.12063325939495238</v>
      </c>
      <c r="G38">
        <f>LN('Data of High Volatile Stocks '!D37/'Data of High Volatile Stocks '!D36)</f>
        <v>-2.2425182158053211E-2</v>
      </c>
      <c r="H38">
        <f>LN('Data of High Volatile Stocks '!E37/'Data of High Volatile Stocks '!E36)</f>
        <v>1.6311310796199071E-2</v>
      </c>
      <c r="I38">
        <f>LN('Data of High Volatile Stocks '!F37/'Data of High Volatile Stocks '!F36)</f>
        <v>-7.0433275048920302E-2</v>
      </c>
      <c r="J38">
        <f>LN('Data of High Volatile Stocks '!G37/'Data of High Volatile Stocks '!G36)</f>
        <v>-3.4699334084984108E-2</v>
      </c>
      <c r="K38">
        <f>LN('Data of High Volatile Stocks '!H37/'Data of High Volatile Stocks '!H36)</f>
        <v>-7.6449200942689671E-3</v>
      </c>
      <c r="N38">
        <f t="shared" si="1"/>
        <v>5.840071631671849E-2</v>
      </c>
      <c r="O38">
        <f t="shared" si="2"/>
        <v>-0.12590194473748534</v>
      </c>
      <c r="P38">
        <f t="shared" si="3"/>
        <v>-2.4679305529293656E-2</v>
      </c>
      <c r="Q38">
        <f t="shared" si="4"/>
        <v>1.2152557036353678E-2</v>
      </c>
      <c r="R38">
        <f t="shared" si="5"/>
        <v>-8.2710626726361383E-2</v>
      </c>
      <c r="S38">
        <f t="shared" si="6"/>
        <v>-3.162826743665785E-2</v>
      </c>
      <c r="T38">
        <f t="shared" si="7"/>
        <v>-4.1172187698234157E-3</v>
      </c>
    </row>
    <row r="39" spans="5:20" x14ac:dyDescent="0.3">
      <c r="E39">
        <f>LN('Data of High Volatile Stocks '!B38/'Data of High Volatile Stocks '!B37)</f>
        <v>0.11995931507897897</v>
      </c>
      <c r="F39">
        <f>LN('Data of High Volatile Stocks '!C38/'Data of High Volatile Stocks '!C37)</f>
        <v>0.10143283560625797</v>
      </c>
      <c r="G39">
        <f>LN('Data of High Volatile Stocks '!D38/'Data of High Volatile Stocks '!D37)</f>
        <v>0.2144636359425561</v>
      </c>
      <c r="H39">
        <f>LN('Data of High Volatile Stocks '!E38/'Data of High Volatile Stocks '!E37)</f>
        <v>8.98186778106497E-2</v>
      </c>
      <c r="I39">
        <f>LN('Data of High Volatile Stocks '!F38/'Data of High Volatile Stocks '!F37)</f>
        <v>5.1360859672532844E-2</v>
      </c>
      <c r="J39">
        <f>LN('Data of High Volatile Stocks '!G38/'Data of High Volatile Stocks '!G37)</f>
        <v>8.0893290607129645E-2</v>
      </c>
      <c r="K39">
        <f>LN('Data of High Volatile Stocks '!H38/'Data of High Volatile Stocks '!H37)</f>
        <v>2.2398586477001318E-2</v>
      </c>
      <c r="N39">
        <f t="shared" si="1"/>
        <v>0.12809819661480917</v>
      </c>
      <c r="O39">
        <f t="shared" si="2"/>
        <v>9.6164150263725018E-2</v>
      </c>
      <c r="P39">
        <f t="shared" si="3"/>
        <v>0.21220951257131565</v>
      </c>
      <c r="Q39">
        <f t="shared" si="4"/>
        <v>8.5659924050804304E-2</v>
      </c>
      <c r="R39">
        <f t="shared" si="5"/>
        <v>3.9083507995091762E-2</v>
      </c>
      <c r="S39">
        <f t="shared" si="6"/>
        <v>8.3964357255455896E-2</v>
      </c>
      <c r="T39">
        <f t="shared" si="7"/>
        <v>2.592628780144687E-2</v>
      </c>
    </row>
    <row r="40" spans="5:20" x14ac:dyDescent="0.3">
      <c r="E40">
        <f>LN('Data of High Volatile Stocks '!B39/'Data of High Volatile Stocks '!B38)</f>
        <v>-0.11285448945523428</v>
      </c>
      <c r="F40">
        <f>LN('Data of High Volatile Stocks '!C39/'Data of High Volatile Stocks '!C38)</f>
        <v>-0.10981814066414543</v>
      </c>
      <c r="G40">
        <f>LN('Data of High Volatile Stocks '!D39/'Data of High Volatile Stocks '!D38)</f>
        <v>-8.8777833903561115E-2</v>
      </c>
      <c r="H40">
        <f>LN('Data of High Volatile Stocks '!E39/'Data of High Volatile Stocks '!E38)</f>
        <v>4.7088456181207166E-3</v>
      </c>
      <c r="I40">
        <f>LN('Data of High Volatile Stocks '!F39/'Data of High Volatile Stocks '!F38)</f>
        <v>-1.2845216923566276E-3</v>
      </c>
      <c r="J40">
        <f>LN('Data of High Volatile Stocks '!G39/'Data of High Volatile Stocks '!G38)</f>
        <v>-2.7991620796145775E-3</v>
      </c>
      <c r="K40">
        <f>LN('Data of High Volatile Stocks '!H39/'Data of High Volatile Stocks '!H38)</f>
        <v>-4.8862788447760166E-2</v>
      </c>
      <c r="N40">
        <f t="shared" si="1"/>
        <v>-0.10471560791940408</v>
      </c>
      <c r="O40">
        <f t="shared" si="2"/>
        <v>-0.11508682600667838</v>
      </c>
      <c r="P40">
        <f t="shared" si="3"/>
        <v>-9.1031957274801567E-2</v>
      </c>
      <c r="Q40">
        <f t="shared" si="4"/>
        <v>5.5009185827532316E-4</v>
      </c>
      <c r="R40">
        <f t="shared" si="5"/>
        <v>-1.3561873369797705E-2</v>
      </c>
      <c r="S40">
        <f t="shared" si="6"/>
        <v>2.7190456871168008E-4</v>
      </c>
      <c r="T40">
        <f t="shared" si="7"/>
        <v>-4.5335087123314612E-2</v>
      </c>
    </row>
    <row r="41" spans="5:20" x14ac:dyDescent="0.3">
      <c r="E41">
        <f>LN('Data of High Volatile Stocks '!B40/'Data of High Volatile Stocks '!B39)</f>
        <v>-9.071896566487829E-2</v>
      </c>
      <c r="F41">
        <f>LN('Data of High Volatile Stocks '!C40/'Data of High Volatile Stocks '!C39)</f>
        <v>-6.4113684975675808E-2</v>
      </c>
      <c r="G41">
        <f>LN('Data of High Volatile Stocks '!D40/'Data of High Volatile Stocks '!D39)</f>
        <v>-0.17886806749930437</v>
      </c>
      <c r="H41">
        <f>LN('Data of High Volatile Stocks '!E40/'Data of High Volatile Stocks '!E39)</f>
        <v>-0.13779082023139375</v>
      </c>
      <c r="I41">
        <f>LN('Data of High Volatile Stocks '!F40/'Data of High Volatile Stocks '!F39)</f>
        <v>-5.0076337980176203E-2</v>
      </c>
      <c r="J41">
        <f>LN('Data of High Volatile Stocks '!G40/'Data of High Volatile Stocks '!G39)</f>
        <v>-0.17525478437141767</v>
      </c>
      <c r="K41">
        <f>LN('Data of High Volatile Stocks '!H40/'Data of High Volatile Stocks '!H39)</f>
        <v>-5.5261234390840346E-2</v>
      </c>
      <c r="N41">
        <f t="shared" si="1"/>
        <v>-8.258008412904809E-2</v>
      </c>
      <c r="O41">
        <f t="shared" si="2"/>
        <v>-6.9382370318208764E-2</v>
      </c>
      <c r="P41">
        <f t="shared" si="3"/>
        <v>-0.18112219087054482</v>
      </c>
      <c r="Q41">
        <f t="shared" si="4"/>
        <v>-0.14194957399123914</v>
      </c>
      <c r="R41">
        <f t="shared" si="5"/>
        <v>-6.2353689657617284E-2</v>
      </c>
      <c r="S41">
        <f t="shared" si="6"/>
        <v>-0.17218371772309141</v>
      </c>
      <c r="T41">
        <f t="shared" si="7"/>
        <v>-5.1733533066394791E-2</v>
      </c>
    </row>
    <row r="42" spans="5:20" x14ac:dyDescent="0.3">
      <c r="E42">
        <f>LN('Data of High Volatile Stocks '!B41/'Data of High Volatile Stocks '!B40)</f>
        <v>-4.9662637687042127E-2</v>
      </c>
      <c r="F42">
        <f>LN('Data of High Volatile Stocks '!C41/'Data of High Volatile Stocks '!C40)</f>
        <v>2.7184945896802107E-2</v>
      </c>
      <c r="G42">
        <f>LN('Data of High Volatile Stocks '!D41/'Data of High Volatile Stocks '!D40)</f>
        <v>4.1313147317420494E-2</v>
      </c>
      <c r="H42">
        <f>LN('Data of High Volatile Stocks '!E41/'Data of High Volatile Stocks '!E40)</f>
        <v>-4.8610453503120349E-2</v>
      </c>
      <c r="I42">
        <f>LN('Data of High Volatile Stocks '!F41/'Data of High Volatile Stocks '!F40)</f>
        <v>9.4080923349595141E-2</v>
      </c>
      <c r="J42">
        <f>LN('Data of High Volatile Stocks '!G41/'Data of High Volatile Stocks '!G40)</f>
        <v>-5.9873401047414454E-2</v>
      </c>
      <c r="K42">
        <f>LN('Data of High Volatile Stocks '!H41/'Data of High Volatile Stocks '!H40)</f>
        <v>-1.1618612191510393E-2</v>
      </c>
      <c r="N42">
        <f t="shared" si="1"/>
        <v>-4.1523756151211927E-2</v>
      </c>
      <c r="O42">
        <f t="shared" si="2"/>
        <v>2.1916260554269151E-2</v>
      </c>
      <c r="P42">
        <f t="shared" si="3"/>
        <v>3.9059023946180049E-2</v>
      </c>
      <c r="Q42">
        <f t="shared" si="4"/>
        <v>-5.2769207262965745E-2</v>
      </c>
      <c r="R42">
        <f t="shared" si="5"/>
        <v>8.180357167215406E-2</v>
      </c>
      <c r="S42">
        <f t="shared" si="6"/>
        <v>-5.6802334399088196E-2</v>
      </c>
      <c r="T42">
        <f t="shared" si="7"/>
        <v>-8.0909108670648416E-3</v>
      </c>
    </row>
    <row r="43" spans="5:20" x14ac:dyDescent="0.3">
      <c r="E43">
        <f>LN('Data of High Volatile Stocks '!B42/'Data of High Volatile Stocks '!B41)</f>
        <v>8.2077296371323979E-2</v>
      </c>
      <c r="F43">
        <f>LN('Data of High Volatile Stocks '!C42/'Data of High Volatile Stocks '!C41)</f>
        <v>4.2003263660705663E-2</v>
      </c>
      <c r="G43">
        <f>LN('Data of High Volatile Stocks '!D42/'Data of High Volatile Stocks '!D41)</f>
        <v>3.8182446368680185E-2</v>
      </c>
      <c r="H43">
        <f>LN('Data of High Volatile Stocks '!E42/'Data of High Volatile Stocks '!E41)</f>
        <v>5.7556657381614564E-2</v>
      </c>
      <c r="I43">
        <f>LN('Data of High Volatile Stocks '!F42/'Data of High Volatile Stocks '!F41)</f>
        <v>2.4570036930520837E-3</v>
      </c>
      <c r="J43">
        <f>LN('Data of High Volatile Stocks '!G42/'Data of High Volatile Stocks '!G41)</f>
        <v>-2.3682484643559095E-2</v>
      </c>
      <c r="K43">
        <f>LN('Data of High Volatile Stocks '!H42/'Data of High Volatile Stocks '!H41)</f>
        <v>3.99573729829946E-2</v>
      </c>
      <c r="N43">
        <f t="shared" si="1"/>
        <v>9.021617790715418E-2</v>
      </c>
      <c r="O43">
        <f t="shared" si="2"/>
        <v>3.6734578318172707E-2</v>
      </c>
      <c r="P43">
        <f t="shared" si="3"/>
        <v>3.5928322997439741E-2</v>
      </c>
      <c r="Q43">
        <f t="shared" si="4"/>
        <v>5.3397903621769167E-2</v>
      </c>
      <c r="R43">
        <f t="shared" si="5"/>
        <v>-9.820347984388994E-3</v>
      </c>
      <c r="S43">
        <f t="shared" si="6"/>
        <v>-2.0611417995232837E-2</v>
      </c>
      <c r="T43">
        <f t="shared" si="7"/>
        <v>4.3485074307440155E-2</v>
      </c>
    </row>
    <row r="44" spans="5:20" x14ac:dyDescent="0.3">
      <c r="E44">
        <f>LN('Data of High Volatile Stocks '!B43/'Data of High Volatile Stocks '!B42)</f>
        <v>-6.4913826077236322E-2</v>
      </c>
      <c r="F44">
        <f>LN('Data of High Volatile Stocks '!C43/'Data of High Volatile Stocks '!C42)</f>
        <v>-0.16332693288330816</v>
      </c>
      <c r="G44">
        <f>LN('Data of High Volatile Stocks '!D43/'Data of High Volatile Stocks '!D42)</f>
        <v>-5.2236394111649549E-2</v>
      </c>
      <c r="H44">
        <f>LN('Data of High Volatile Stocks '!E43/'Data of High Volatile Stocks '!E42)</f>
        <v>-0.12749337037327241</v>
      </c>
      <c r="I44">
        <f>LN('Data of High Volatile Stocks '!F43/'Data of High Volatile Stocks '!F42)</f>
        <v>-7.912288544096914E-2</v>
      </c>
      <c r="J44">
        <f>LN('Data of High Volatile Stocks '!G43/'Data of High Volatile Stocks '!G42)</f>
        <v>-0.11126835463518972</v>
      </c>
      <c r="K44">
        <f>LN('Data of High Volatile Stocks '!H43/'Data of High Volatile Stocks '!H42)</f>
        <v>-5.7780712909296324E-2</v>
      </c>
      <c r="N44">
        <f t="shared" si="1"/>
        <v>-5.6774944541406122E-2</v>
      </c>
      <c r="O44">
        <f t="shared" si="2"/>
        <v>-0.1685956182258411</v>
      </c>
      <c r="P44">
        <f t="shared" si="3"/>
        <v>-5.4490517482889994E-2</v>
      </c>
      <c r="Q44">
        <f t="shared" si="4"/>
        <v>-0.1316521241331178</v>
      </c>
      <c r="R44">
        <f t="shared" si="5"/>
        <v>-9.1400237118410221E-2</v>
      </c>
      <c r="S44">
        <f t="shared" si="6"/>
        <v>-0.10819728798686347</v>
      </c>
      <c r="T44">
        <f t="shared" si="7"/>
        <v>-5.4253011584850769E-2</v>
      </c>
    </row>
    <row r="45" spans="5:20" x14ac:dyDescent="0.3">
      <c r="E45">
        <f>LN('Data of High Volatile Stocks '!B44/'Data of High Volatile Stocks '!B43)</f>
        <v>-0.25260225846533485</v>
      </c>
      <c r="F45">
        <f>LN('Data of High Volatile Stocks '!C44/'Data of High Volatile Stocks '!C43)</f>
        <v>6.8435562270986294E-2</v>
      </c>
      <c r="G45">
        <f>LN('Data of High Volatile Stocks '!D44/'Data of High Volatile Stocks '!D43)</f>
        <v>4.2939581012512058E-2</v>
      </c>
      <c r="H45">
        <f>LN('Data of High Volatile Stocks '!E44/'Data of High Volatile Stocks '!E43)</f>
        <v>0.12571052090834217</v>
      </c>
      <c r="I45">
        <f>LN('Data of High Volatile Stocks '!F44/'Data of High Volatile Stocks '!F43)</f>
        <v>9.6154927335401319E-2</v>
      </c>
      <c r="J45">
        <f>LN('Data of High Volatile Stocks '!G44/'Data of High Volatile Stocks '!G43)</f>
        <v>1.7500195182680162E-2</v>
      </c>
      <c r="K45">
        <f>LN('Data of High Volatile Stocks '!H44/'Data of High Volatile Stocks '!H43)</f>
        <v>0.11351640359180919</v>
      </c>
      <c r="N45">
        <f t="shared" si="1"/>
        <v>-0.24446337692950465</v>
      </c>
      <c r="O45">
        <f t="shared" si="2"/>
        <v>6.3166876928453339E-2</v>
      </c>
      <c r="P45">
        <f t="shared" si="3"/>
        <v>4.0685457641271613E-2</v>
      </c>
      <c r="Q45">
        <f t="shared" si="4"/>
        <v>0.12155176714849678</v>
      </c>
      <c r="R45">
        <f t="shared" si="5"/>
        <v>8.3877575657960238E-2</v>
      </c>
      <c r="S45">
        <f t="shared" si="6"/>
        <v>2.057126183100642E-2</v>
      </c>
      <c r="T45">
        <f t="shared" si="7"/>
        <v>0.11704410491625473</v>
      </c>
    </row>
    <row r="46" spans="5:20" x14ac:dyDescent="0.3">
      <c r="E46">
        <f>LN('Data of High Volatile Stocks '!B45/'Data of High Volatile Stocks '!B44)</f>
        <v>0.26157092844809521</v>
      </c>
      <c r="F46">
        <f>LN('Data of High Volatile Stocks '!C45/'Data of High Volatile Stocks '!C44)</f>
        <v>4.5824812652716998E-2</v>
      </c>
      <c r="G46">
        <f>LN('Data of High Volatile Stocks '!D45/'Data of High Volatile Stocks '!D44)</f>
        <v>8.2242062644521066E-2</v>
      </c>
      <c r="H46">
        <f>LN('Data of High Volatile Stocks '!E45/'Data of High Volatile Stocks '!E44)</f>
        <v>-1.8732536236335327E-2</v>
      </c>
      <c r="I46">
        <f>LN('Data of High Volatile Stocks '!F45/'Data of High Volatile Stocks '!F44)</f>
        <v>4.1352613668760842E-2</v>
      </c>
      <c r="J46">
        <f>LN('Data of High Volatile Stocks '!G45/'Data of High Volatile Stocks '!G44)</f>
        <v>8.4099197871135359E-2</v>
      </c>
      <c r="K46">
        <f>LN('Data of High Volatile Stocks '!H45/'Data of High Volatile Stocks '!H44)</f>
        <v>3.9111468437885565E-2</v>
      </c>
      <c r="N46">
        <f t="shared" si="1"/>
        <v>0.26970980998392541</v>
      </c>
      <c r="O46">
        <f t="shared" si="2"/>
        <v>4.0556127310184042E-2</v>
      </c>
      <c r="P46">
        <f t="shared" si="3"/>
        <v>7.9987939273280614E-2</v>
      </c>
      <c r="Q46">
        <f t="shared" si="4"/>
        <v>-2.289128999618072E-2</v>
      </c>
      <c r="R46">
        <f t="shared" si="5"/>
        <v>2.9075261991319764E-2</v>
      </c>
      <c r="S46">
        <f t="shared" si="6"/>
        <v>8.717026451946161E-2</v>
      </c>
      <c r="T46">
        <f t="shared" si="7"/>
        <v>4.2639169762331119E-2</v>
      </c>
    </row>
    <row r="47" spans="5:20" x14ac:dyDescent="0.3">
      <c r="E47">
        <f>LN('Data of High Volatile Stocks '!B46/'Data of High Volatile Stocks '!B45)</f>
        <v>-9.7892877177163926E-2</v>
      </c>
      <c r="F47">
        <f>LN('Data of High Volatile Stocks '!C46/'Data of High Volatile Stocks '!C45)</f>
        <v>-0.24914315880533267</v>
      </c>
      <c r="G47">
        <f>LN('Data of High Volatile Stocks '!D46/'Data of High Volatile Stocks '!D45)</f>
        <v>-0.20315593581050065</v>
      </c>
      <c r="H47">
        <f>LN('Data of High Volatile Stocks '!E46/'Data of High Volatile Stocks '!E45)</f>
        <v>3.1850965812354221E-2</v>
      </c>
      <c r="I47">
        <f>LN('Data of High Volatile Stocks '!F46/'Data of High Volatile Stocks '!F45)</f>
        <v>-8.5749547169207768E-2</v>
      </c>
      <c r="J47">
        <f>LN('Data of High Volatile Stocks '!G46/'Data of High Volatile Stocks '!G45)</f>
        <v>-9.5328511778037181E-2</v>
      </c>
      <c r="K47">
        <f>LN('Data of High Volatile Stocks '!H46/'Data of High Volatile Stocks '!H45)</f>
        <v>-8.3552004955294717E-2</v>
      </c>
      <c r="N47">
        <f t="shared" si="1"/>
        <v>-8.9753995641333725E-2</v>
      </c>
      <c r="O47">
        <f t="shared" si="2"/>
        <v>-0.25441184414786561</v>
      </c>
      <c r="P47">
        <f t="shared" si="3"/>
        <v>-0.2054100591817411</v>
      </c>
      <c r="Q47">
        <f t="shared" si="4"/>
        <v>2.7692212052508828E-2</v>
      </c>
      <c r="R47">
        <f t="shared" si="5"/>
        <v>-9.8026898846648849E-2</v>
      </c>
      <c r="S47">
        <f t="shared" si="6"/>
        <v>-9.225744512971093E-2</v>
      </c>
      <c r="T47">
        <f t="shared" si="7"/>
        <v>-8.002430363084917E-2</v>
      </c>
    </row>
    <row r="48" spans="5:20" x14ac:dyDescent="0.3">
      <c r="E48">
        <f>LN('Data of High Volatile Stocks '!B47/'Data of High Volatile Stocks '!B46)</f>
        <v>0.23661908667879053</v>
      </c>
      <c r="F48">
        <f>LN('Data of High Volatile Stocks '!C47/'Data of High Volatile Stocks '!C46)</f>
        <v>0.11509659705860678</v>
      </c>
      <c r="G48">
        <f>LN('Data of High Volatile Stocks '!D47/'Data of High Volatile Stocks '!D46)</f>
        <v>-2.3392879574705462E-2</v>
      </c>
      <c r="H48">
        <f>LN('Data of High Volatile Stocks '!E47/'Data of High Volatile Stocks '!E46)</f>
        <v>2.6417942311621426E-2</v>
      </c>
      <c r="I48">
        <f>LN('Data of High Volatile Stocks '!F47/'Data of High Volatile Stocks '!F46)</f>
        <v>5.8768438338100214E-2</v>
      </c>
      <c r="J48">
        <f>LN('Data of High Volatile Stocks '!G47/'Data of High Volatile Stocks '!G46)</f>
        <v>0.21199064244112314</v>
      </c>
      <c r="K48">
        <f>LN('Data of High Volatile Stocks '!H47/'Data of High Volatile Stocks '!H46)</f>
        <v>0.13120490844217911</v>
      </c>
      <c r="N48">
        <f t="shared" si="1"/>
        <v>0.24475796821462073</v>
      </c>
      <c r="O48">
        <f t="shared" si="2"/>
        <v>0.10982791171607383</v>
      </c>
      <c r="P48">
        <f t="shared" si="3"/>
        <v>-2.5647002945945907E-2</v>
      </c>
      <c r="Q48">
        <f t="shared" si="4"/>
        <v>2.2259188551776034E-2</v>
      </c>
      <c r="R48">
        <f t="shared" si="5"/>
        <v>4.6491086660659139E-2</v>
      </c>
      <c r="S48">
        <f t="shared" si="6"/>
        <v>0.21506170908944941</v>
      </c>
      <c r="T48">
        <f t="shared" si="7"/>
        <v>0.13473260976662466</v>
      </c>
    </row>
    <row r="49" spans="5:20" x14ac:dyDescent="0.3">
      <c r="E49">
        <f>LN('Data of High Volatile Stocks '!B48/'Data of High Volatile Stocks '!B47)</f>
        <v>-9.6001264835285413E-2</v>
      </c>
      <c r="F49">
        <f>LN('Data of High Volatile Stocks '!C48/'Data of High Volatile Stocks '!C47)</f>
        <v>-2.9281451103796999E-2</v>
      </c>
      <c r="G49">
        <f>LN('Data of High Volatile Stocks '!D48/'Data of High Volatile Stocks '!D47)</f>
        <v>-0.23866541334575225</v>
      </c>
      <c r="H49">
        <f>LN('Data of High Volatile Stocks '!E48/'Data of High Volatile Stocks '!E47)</f>
        <v>-6.5393452789857262E-3</v>
      </c>
      <c r="I49">
        <f>LN('Data of High Volatile Stocks '!F48/'Data of High Volatile Stocks '!F47)</f>
        <v>-0.12929373902474633</v>
      </c>
      <c r="J49">
        <f>LN('Data of High Volatile Stocks '!G48/'Data of High Volatile Stocks '!G47)</f>
        <v>-9.6697765220611909E-2</v>
      </c>
      <c r="K49">
        <f>LN('Data of High Volatile Stocks '!H48/'Data of High Volatile Stocks '!H47)</f>
        <v>-7.8647244587141049E-2</v>
      </c>
      <c r="N49">
        <f t="shared" si="1"/>
        <v>-8.7862383299455213E-2</v>
      </c>
      <c r="O49">
        <f t="shared" si="2"/>
        <v>-3.4550136446329954E-2</v>
      </c>
      <c r="P49">
        <f t="shared" si="3"/>
        <v>-0.2409195367169927</v>
      </c>
      <c r="Q49">
        <f t="shared" si="4"/>
        <v>-1.069809903883112E-2</v>
      </c>
      <c r="R49">
        <f t="shared" si="5"/>
        <v>-0.1415710907021874</v>
      </c>
      <c r="S49">
        <f t="shared" si="6"/>
        <v>-9.3626698572285658E-2</v>
      </c>
      <c r="T49">
        <f t="shared" si="7"/>
        <v>-7.5119543262695501E-2</v>
      </c>
    </row>
    <row r="50" spans="5:20" x14ac:dyDescent="0.3">
      <c r="E50">
        <f>LN('Data of High Volatile Stocks '!B49/'Data of High Volatile Stocks '!B48)</f>
        <v>-3.2853196187187114E-2</v>
      </c>
      <c r="F50">
        <f>LN('Data of High Volatile Stocks '!C49/'Data of High Volatile Stocks '!C48)</f>
        <v>7.597513609450845E-3</v>
      </c>
      <c r="G50">
        <f>LN('Data of High Volatile Stocks '!D49/'Data of High Volatile Stocks '!D48)</f>
        <v>-2.1890532364955126E-2</v>
      </c>
      <c r="H50">
        <f>LN('Data of High Volatile Stocks '!E49/'Data of High Volatile Stocks '!E48)</f>
        <v>-1.6011480242910804E-2</v>
      </c>
      <c r="I50">
        <f>LN('Data of High Volatile Stocks '!F49/'Data of High Volatile Stocks '!F48)</f>
        <v>-1.4996872751515691E-2</v>
      </c>
      <c r="J50">
        <f>LN('Data of High Volatile Stocks '!G49/'Data of High Volatile Stocks '!G48)</f>
        <v>7.6971650047807484E-3</v>
      </c>
      <c r="K50">
        <f>LN('Data of High Volatile Stocks '!H49/'Data of High Volatile Stocks '!H48)</f>
        <v>-7.9512062927733634E-2</v>
      </c>
      <c r="N50">
        <f t="shared" si="1"/>
        <v>-2.4714314651356917E-2</v>
      </c>
      <c r="O50">
        <f t="shared" si="2"/>
        <v>2.3288282669178912E-3</v>
      </c>
      <c r="P50">
        <f t="shared" si="3"/>
        <v>-2.4144655736195571E-2</v>
      </c>
      <c r="Q50">
        <f t="shared" si="4"/>
        <v>-2.0170234002756197E-2</v>
      </c>
      <c r="R50">
        <f t="shared" si="5"/>
        <v>-2.7274224428956769E-2</v>
      </c>
      <c r="S50">
        <f t="shared" si="6"/>
        <v>1.0768231653107006E-2</v>
      </c>
      <c r="T50">
        <f t="shared" si="7"/>
        <v>-7.5984361603288086E-2</v>
      </c>
    </row>
    <row r="51" spans="5:20" x14ac:dyDescent="0.3">
      <c r="E51">
        <f>LN('Data of High Volatile Stocks '!B50/'Data of High Volatile Stocks '!B49)</f>
        <v>3.0950246041101061E-2</v>
      </c>
      <c r="F51">
        <f>LN('Data of High Volatile Stocks '!C50/'Data of High Volatile Stocks '!C49)</f>
        <v>-0.12171793610108074</v>
      </c>
      <c r="G51">
        <f>LN('Data of High Volatile Stocks '!D50/'Data of High Volatile Stocks '!D49)</f>
        <v>7.3769161376298117E-2</v>
      </c>
      <c r="H51">
        <f>LN('Data of High Volatile Stocks '!E50/'Data of High Volatile Stocks '!E49)</f>
        <v>8.7336799687546315E-3</v>
      </c>
      <c r="I51">
        <f>LN('Data of High Volatile Stocks '!F50/'Data of High Volatile Stocks '!F49)</f>
        <v>5.0881121543905367E-2</v>
      </c>
      <c r="J51">
        <f>LN('Data of High Volatile Stocks '!G50/'Data of High Volatile Stocks '!G49)</f>
        <v>7.9658567183149315E-2</v>
      </c>
      <c r="K51">
        <f>LN('Data of High Volatile Stocks '!H50/'Data of High Volatile Stocks '!H49)</f>
        <v>-1.4561742844532577E-2</v>
      </c>
      <c r="N51">
        <f t="shared" si="1"/>
        <v>3.9089127576931254E-2</v>
      </c>
      <c r="O51">
        <f t="shared" si="2"/>
        <v>-0.1269866214436137</v>
      </c>
      <c r="P51">
        <f t="shared" si="3"/>
        <v>7.1515038005057666E-2</v>
      </c>
      <c r="Q51">
        <f t="shared" si="4"/>
        <v>4.574926208909238E-3</v>
      </c>
      <c r="R51">
        <f t="shared" si="5"/>
        <v>3.8603769866464285E-2</v>
      </c>
      <c r="S51">
        <f t="shared" si="6"/>
        <v>8.2729633831475566E-2</v>
      </c>
      <c r="T51">
        <f t="shared" si="7"/>
        <v>-1.1034041520087025E-2</v>
      </c>
    </row>
    <row r="52" spans="5:20" x14ac:dyDescent="0.3">
      <c r="E52">
        <f>LN('Data of High Volatile Stocks '!B51/'Data of High Volatile Stocks '!B50)</f>
        <v>-0.10536051565782641</v>
      </c>
      <c r="F52">
        <f>LN('Data of High Volatile Stocks '!C51/'Data of High Volatile Stocks '!C50)</f>
        <v>-7.4654026921689667E-2</v>
      </c>
      <c r="G52">
        <f>LN('Data of High Volatile Stocks '!D51/'Data of High Volatile Stocks '!D50)</f>
        <v>-0.16944074342525048</v>
      </c>
      <c r="H52">
        <f>LN('Data of High Volatile Stocks '!E51/'Data of High Volatile Stocks '!E50)</f>
        <v>-7.9608019555411635E-2</v>
      </c>
      <c r="I52">
        <f>LN('Data of High Volatile Stocks '!F51/'Data of High Volatile Stocks '!F50)</f>
        <v>-7.4509739937350397E-2</v>
      </c>
      <c r="J52">
        <f>LN('Data of High Volatile Stocks '!G51/'Data of High Volatile Stocks '!G50)</f>
        <v>-0.16020663315160077</v>
      </c>
      <c r="K52">
        <f>LN('Data of High Volatile Stocks '!H51/'Data of High Volatile Stocks '!H50)</f>
        <v>-2.9359656415009736E-2</v>
      </c>
      <c r="N52">
        <f t="shared" si="1"/>
        <v>-9.7221634121996206E-2</v>
      </c>
      <c r="O52">
        <f t="shared" si="2"/>
        <v>-7.9922712264222623E-2</v>
      </c>
      <c r="P52">
        <f t="shared" si="3"/>
        <v>-0.17169486679649093</v>
      </c>
      <c r="Q52">
        <f t="shared" si="4"/>
        <v>-8.3766773315257032E-2</v>
      </c>
      <c r="R52">
        <f t="shared" si="5"/>
        <v>-8.6787091614791478E-2</v>
      </c>
      <c r="S52">
        <f t="shared" si="6"/>
        <v>-0.15713556650327451</v>
      </c>
      <c r="T52">
        <f t="shared" si="7"/>
        <v>-2.5831955090564185E-2</v>
      </c>
    </row>
    <row r="53" spans="5:20" x14ac:dyDescent="0.3">
      <c r="E53">
        <f>LN('Data of High Volatile Stocks '!B52/'Data of High Volatile Stocks '!B51)</f>
        <v>-0.10948423284168815</v>
      </c>
      <c r="F53">
        <f>LN('Data of High Volatile Stocks '!C52/'Data of High Volatile Stocks '!C51)</f>
        <v>-3.1602947783173733E-2</v>
      </c>
      <c r="G53">
        <f>LN('Data of High Volatile Stocks '!D52/'Data of High Volatile Stocks '!D51)</f>
        <v>-9.4813285384163185E-2</v>
      </c>
      <c r="H53">
        <f>LN('Data of High Volatile Stocks '!E52/'Data of High Volatile Stocks '!E51)</f>
        <v>-2.2087722013290813E-2</v>
      </c>
      <c r="I53">
        <f>LN('Data of High Volatile Stocks '!F52/'Data of High Volatile Stocks '!F51)</f>
        <v>-2.9980832211935784E-2</v>
      </c>
      <c r="J53">
        <f>LN('Data of High Volatile Stocks '!G52/'Data of High Volatile Stocks '!G51)</f>
        <v>-0.12085597805540918</v>
      </c>
      <c r="K53">
        <f>LN('Data of High Volatile Stocks '!H52/'Data of High Volatile Stocks '!H51)</f>
        <v>-3.2392636375682293E-2</v>
      </c>
      <c r="N53">
        <f t="shared" si="1"/>
        <v>-0.10134535130585795</v>
      </c>
      <c r="O53">
        <f t="shared" si="2"/>
        <v>-3.6871633125706689E-2</v>
      </c>
      <c r="P53">
        <f t="shared" si="3"/>
        <v>-9.7067408755403636E-2</v>
      </c>
      <c r="Q53">
        <f t="shared" si="4"/>
        <v>-2.6246475773136206E-2</v>
      </c>
      <c r="R53">
        <f t="shared" si="5"/>
        <v>-4.2258183889376862E-2</v>
      </c>
      <c r="S53">
        <f t="shared" si="6"/>
        <v>-0.11778491140708293</v>
      </c>
      <c r="T53">
        <f t="shared" si="7"/>
        <v>-2.8864935051236742E-2</v>
      </c>
    </row>
    <row r="54" spans="5:20" x14ac:dyDescent="0.3">
      <c r="E54">
        <f>LN('Data of High Volatile Stocks '!B53/'Data of High Volatile Stocks '!B52)</f>
        <v>1.2903404835907782E-2</v>
      </c>
      <c r="F54">
        <f>LN('Data of High Volatile Stocks '!C53/'Data of High Volatile Stocks '!C52)</f>
        <v>-8.914982163774679E-2</v>
      </c>
      <c r="G54">
        <f>LN('Data of High Volatile Stocks '!D53/'Data of High Volatile Stocks '!D52)</f>
        <v>-3.0797273748915419E-2</v>
      </c>
      <c r="H54">
        <f>LN('Data of High Volatile Stocks '!E53/'Data of High Volatile Stocks '!E52)</f>
        <v>-5.2570887009337937E-2</v>
      </c>
      <c r="I54">
        <f>LN('Data of High Volatile Stocks '!F53/'Data of High Volatile Stocks '!F52)</f>
        <v>-9.2560340890864637E-2</v>
      </c>
      <c r="J54">
        <f>LN('Data of High Volatile Stocks '!G53/'Data of High Volatile Stocks '!G52)</f>
        <v>-0.10330277723277349</v>
      </c>
      <c r="K54">
        <f>LN('Data of High Volatile Stocks '!H53/'Data of High Volatile Stocks '!H52)</f>
        <v>-5.850655445295732E-2</v>
      </c>
      <c r="N54">
        <f t="shared" si="1"/>
        <v>2.1042286371737981E-2</v>
      </c>
      <c r="O54">
        <f t="shared" si="2"/>
        <v>-9.4418506980279746E-2</v>
      </c>
      <c r="P54">
        <f t="shared" si="3"/>
        <v>-3.3051397120155868E-2</v>
      </c>
      <c r="Q54">
        <f t="shared" si="4"/>
        <v>-5.6729640769183333E-2</v>
      </c>
      <c r="R54">
        <f t="shared" si="5"/>
        <v>-0.10483769256830572</v>
      </c>
      <c r="S54">
        <f t="shared" si="6"/>
        <v>-0.10023171058444724</v>
      </c>
      <c r="T54">
        <f t="shared" si="7"/>
        <v>-5.4978853128511765E-2</v>
      </c>
    </row>
    <row r="55" spans="5:20" x14ac:dyDescent="0.3">
      <c r="E55">
        <f>LN('Data of High Volatile Stocks '!B54/'Data of High Volatile Stocks '!B53)</f>
        <v>4.2219618786893023E-2</v>
      </c>
      <c r="F55">
        <f>LN('Data of High Volatile Stocks '!C54/'Data of High Volatile Stocks '!C53)</f>
        <v>3.1843678606241321E-2</v>
      </c>
      <c r="G55">
        <f>LN('Data of High Volatile Stocks '!D54/'Data of High Volatile Stocks '!D53)</f>
        <v>-2.8216723010330868E-3</v>
      </c>
      <c r="H55">
        <f>LN('Data of High Volatile Stocks '!E54/'Data of High Volatile Stocks '!E53)</f>
        <v>3.6459428680057858E-3</v>
      </c>
      <c r="I55">
        <f>LN('Data of High Volatile Stocks '!F54/'Data of High Volatile Stocks '!F53)</f>
        <v>2.0457046989520583E-2</v>
      </c>
      <c r="J55">
        <f>LN('Data of High Volatile Stocks '!G54/'Data of High Volatile Stocks '!G53)</f>
        <v>-1.5844329021151019E-2</v>
      </c>
      <c r="K55">
        <f>LN('Data of High Volatile Stocks '!H54/'Data of High Volatile Stocks '!H53)</f>
        <v>2.7690162463897036E-2</v>
      </c>
      <c r="N55">
        <f t="shared" si="1"/>
        <v>5.0358500322723224E-2</v>
      </c>
      <c r="O55">
        <f t="shared" si="2"/>
        <v>2.6574993263708366E-2</v>
      </c>
      <c r="P55">
        <f t="shared" si="3"/>
        <v>-5.075795672273533E-3</v>
      </c>
      <c r="Q55">
        <f t="shared" si="4"/>
        <v>-5.1281089183960763E-4</v>
      </c>
      <c r="R55">
        <f t="shared" si="5"/>
        <v>8.1796953120795053E-3</v>
      </c>
      <c r="S55">
        <f t="shared" si="6"/>
        <v>-1.2773262372824761E-2</v>
      </c>
      <c r="T55">
        <f t="shared" si="7"/>
        <v>3.1217863788342588E-2</v>
      </c>
    </row>
    <row r="56" spans="5:20" x14ac:dyDescent="0.3">
      <c r="E56">
        <f>LN('Data of High Volatile Stocks '!B55/'Data of High Volatile Stocks '!B54)</f>
        <v>2.9721505281738586E-2</v>
      </c>
      <c r="F56">
        <f>LN('Data of High Volatile Stocks '!C55/'Data of High Volatile Stocks '!C54)</f>
        <v>-0.10579327673297252</v>
      </c>
      <c r="G56">
        <f>LN('Data of High Volatile Stocks '!D55/'Data of High Volatile Stocks '!D54)</f>
        <v>-6.207382059259043E-2</v>
      </c>
      <c r="H56">
        <f>LN('Data of High Volatile Stocks '!E55/'Data of High Volatile Stocks '!E54)</f>
        <v>6.5346928618945505E-2</v>
      </c>
      <c r="I56">
        <f>LN('Data of High Volatile Stocks '!F55/'Data of High Volatile Stocks '!F54)</f>
        <v>-3.1201273362435225E-3</v>
      </c>
      <c r="J56">
        <f>LN('Data of High Volatile Stocks '!G55/'Data of High Volatile Stocks '!G54)</f>
        <v>6.8829057906439312E-2</v>
      </c>
      <c r="K56">
        <f>LN('Data of High Volatile Stocks '!H55/'Data of High Volatile Stocks '!H54)</f>
        <v>2.5793779722769132E-2</v>
      </c>
      <c r="N56">
        <f t="shared" si="1"/>
        <v>3.7860386817568786E-2</v>
      </c>
      <c r="O56">
        <f t="shared" si="2"/>
        <v>-0.11106196207550548</v>
      </c>
      <c r="P56">
        <f t="shared" si="3"/>
        <v>-6.4327943963830875E-2</v>
      </c>
      <c r="Q56">
        <f t="shared" si="4"/>
        <v>6.1188174859100108E-2</v>
      </c>
      <c r="R56">
        <f t="shared" si="5"/>
        <v>-1.5397479013684601E-2</v>
      </c>
      <c r="S56">
        <f t="shared" si="6"/>
        <v>7.1900124554765563E-2</v>
      </c>
      <c r="T56">
        <f t="shared" si="7"/>
        <v>2.9321481047214683E-2</v>
      </c>
    </row>
    <row r="57" spans="5:20" x14ac:dyDescent="0.3">
      <c r="E57">
        <f>LN('Data of High Volatile Stocks '!B56/'Data of High Volatile Stocks '!B55)</f>
        <v>6.1007348108023766E-2</v>
      </c>
      <c r="F57">
        <f>LN('Data of High Volatile Stocks '!C56/'Data of High Volatile Stocks '!C55)</f>
        <v>4.9533935122276627E-2</v>
      </c>
      <c r="G57">
        <f>LN('Data of High Volatile Stocks '!D56/'Data of High Volatile Stocks '!D55)</f>
        <v>0.40726745164202471</v>
      </c>
      <c r="H57">
        <f>LN('Data of High Volatile Stocks '!E56/'Data of High Volatile Stocks '!E55)</f>
        <v>0.10899028370840508</v>
      </c>
      <c r="I57">
        <f>LN('Data of High Volatile Stocks '!F56/'Data of High Volatile Stocks '!F55)</f>
        <v>8.3881483980702026E-2</v>
      </c>
      <c r="J57">
        <f>LN('Data of High Volatile Stocks '!G56/'Data of High Volatile Stocks '!G55)</f>
        <v>0.1532328275370293</v>
      </c>
      <c r="K57">
        <f>LN('Data of High Volatile Stocks '!H56/'Data of High Volatile Stocks '!H55)</f>
        <v>-2.8776978615869891E-4</v>
      </c>
      <c r="N57">
        <f t="shared" si="1"/>
        <v>6.914622964385396E-2</v>
      </c>
      <c r="O57">
        <f t="shared" si="2"/>
        <v>4.4265249779743672E-2</v>
      </c>
      <c r="P57">
        <f t="shared" si="3"/>
        <v>0.40501332827078429</v>
      </c>
      <c r="Q57">
        <f t="shared" si="4"/>
        <v>0.10483152994855968</v>
      </c>
      <c r="R57">
        <f t="shared" si="5"/>
        <v>7.1604132303260945E-2</v>
      </c>
      <c r="S57">
        <f t="shared" si="6"/>
        <v>0.15630389418535556</v>
      </c>
      <c r="T57">
        <f t="shared" si="7"/>
        <v>3.2399315382868532E-3</v>
      </c>
    </row>
    <row r="58" spans="5:20" x14ac:dyDescent="0.3">
      <c r="E58">
        <f>LN('Data of High Volatile Stocks '!B57/'Data of High Volatile Stocks '!B56)</f>
        <v>1.9202206983935818E-2</v>
      </c>
      <c r="F58">
        <f>LN('Data of High Volatile Stocks '!C57/'Data of High Volatile Stocks '!C56)</f>
        <v>3.8242562938911366E-2</v>
      </c>
      <c r="G58">
        <f>LN('Data of High Volatile Stocks '!D57/'Data of High Volatile Stocks '!D56)</f>
        <v>9.8615127518294807E-2</v>
      </c>
      <c r="H58">
        <f>LN('Data of High Volatile Stocks '!E57/'Data of High Volatile Stocks '!E56)</f>
        <v>3.0771658666753687E-2</v>
      </c>
      <c r="I58">
        <f>LN('Data of High Volatile Stocks '!F57/'Data of High Volatile Stocks '!F56)</f>
        <v>8.583743691391435E-3</v>
      </c>
      <c r="J58">
        <f>LN('Data of High Volatile Stocks '!G57/'Data of High Volatile Stocks '!G56)</f>
        <v>3.0425755528110342E-2</v>
      </c>
      <c r="K58">
        <f>LN('Data of High Volatile Stocks '!H57/'Data of High Volatile Stocks '!H56)</f>
        <v>1.4389524451046968E-4</v>
      </c>
      <c r="N58">
        <f t="shared" si="1"/>
        <v>2.7341088519766014E-2</v>
      </c>
      <c r="O58">
        <f t="shared" si="2"/>
        <v>3.2973877596378411E-2</v>
      </c>
      <c r="P58">
        <f t="shared" si="3"/>
        <v>9.6361004147054355E-2</v>
      </c>
      <c r="Q58">
        <f t="shared" si="4"/>
        <v>2.6612904906908295E-2</v>
      </c>
      <c r="R58">
        <f t="shared" si="5"/>
        <v>-3.6936079860496428E-3</v>
      </c>
      <c r="S58">
        <f t="shared" si="6"/>
        <v>3.3496822176436597E-2</v>
      </c>
      <c r="T58">
        <f t="shared" si="7"/>
        <v>3.6715965689560217E-3</v>
      </c>
    </row>
    <row r="59" spans="5:20" x14ac:dyDescent="0.3">
      <c r="E59">
        <f>LN('Data of High Volatile Stocks '!B58/'Data of High Volatile Stocks '!B57)</f>
        <v>8.809520718451723E-2</v>
      </c>
      <c r="F59">
        <f>LN('Data of High Volatile Stocks '!C58/'Data of High Volatile Stocks '!C57)</f>
        <v>9.0489643263259416E-3</v>
      </c>
      <c r="G59">
        <f>LN('Data of High Volatile Stocks '!D58/'Data of High Volatile Stocks '!D57)</f>
        <v>0.10668306347590452</v>
      </c>
      <c r="H59">
        <f>LN('Data of High Volatile Stocks '!E58/'Data of High Volatile Stocks '!E57)</f>
        <v>0</v>
      </c>
      <c r="I59">
        <f>LN('Data of High Volatile Stocks '!F58/'Data of High Volatile Stocks '!F57)</f>
        <v>7.2784345223213615E-2</v>
      </c>
      <c r="J59">
        <f>LN('Data of High Volatile Stocks '!G58/'Data of High Volatile Stocks '!G57)</f>
        <v>6.7349988048677811E-2</v>
      </c>
      <c r="K59">
        <f>LN('Data of High Volatile Stocks '!H58/'Data of High Volatile Stocks '!H57)</f>
        <v>6.4763316013194766E-2</v>
      </c>
      <c r="N59">
        <f t="shared" si="1"/>
        <v>9.623408872034743E-2</v>
      </c>
      <c r="O59">
        <f t="shared" si="2"/>
        <v>3.7802789837929878E-3</v>
      </c>
      <c r="P59">
        <f t="shared" si="3"/>
        <v>0.10442894010466407</v>
      </c>
      <c r="Q59">
        <f t="shared" si="4"/>
        <v>-4.1587537598453935E-3</v>
      </c>
      <c r="R59">
        <f t="shared" si="5"/>
        <v>6.0506993545772533E-2</v>
      </c>
      <c r="S59">
        <f t="shared" si="6"/>
        <v>7.0421054697004062E-2</v>
      </c>
      <c r="T59">
        <f t="shared" si="7"/>
        <v>6.8291017337640314E-2</v>
      </c>
    </row>
    <row r="60" spans="5:20" x14ac:dyDescent="0.3">
      <c r="E60">
        <f>LN('Data of High Volatile Stocks '!B59/'Data of High Volatile Stocks '!B58)</f>
        <v>8.2154729533910932E-3</v>
      </c>
      <c r="F60">
        <f>LN('Data of High Volatile Stocks '!C59/'Data of High Volatile Stocks '!C58)</f>
        <v>8.4580698081560671E-2</v>
      </c>
      <c r="G60">
        <f>LN('Data of High Volatile Stocks '!D59/'Data of High Volatile Stocks '!D58)</f>
        <v>0.19562145474229037</v>
      </c>
      <c r="H60">
        <f>LN('Data of High Volatile Stocks '!E59/'Data of High Volatile Stocks '!E58)</f>
        <v>8.6105169406091656E-2</v>
      </c>
      <c r="I60">
        <f>LN('Data of High Volatile Stocks '!F59/'Data of High Volatile Stocks '!F58)</f>
        <v>0.10787391072392331</v>
      </c>
      <c r="J60">
        <f>LN('Data of High Volatile Stocks '!G59/'Data of High Volatile Stocks '!G58)</f>
        <v>0.11452609191861425</v>
      </c>
      <c r="K60">
        <f>LN('Data of High Volatile Stocks '!H59/'Data of High Volatile Stocks '!H58)</f>
        <v>7.0169971195603378E-2</v>
      </c>
      <c r="N60">
        <f t="shared" si="1"/>
        <v>1.635435448922129E-2</v>
      </c>
      <c r="O60">
        <f t="shared" si="2"/>
        <v>7.9312012739027715E-2</v>
      </c>
      <c r="P60">
        <f t="shared" si="3"/>
        <v>0.19336733137104992</v>
      </c>
      <c r="Q60">
        <f t="shared" si="4"/>
        <v>8.194641564624626E-2</v>
      </c>
      <c r="R60">
        <f t="shared" si="5"/>
        <v>9.5596559046482232E-2</v>
      </c>
      <c r="S60">
        <f t="shared" si="6"/>
        <v>0.1175971585669405</v>
      </c>
      <c r="T60">
        <f t="shared" si="7"/>
        <v>7.3697672520048926E-2</v>
      </c>
    </row>
    <row r="61" spans="5:20" x14ac:dyDescent="0.3">
      <c r="E61">
        <f>LN('Data of High Volatile Stocks '!B60/'Data of High Volatile Stocks '!B59)</f>
        <v>-3.2335380642936347E-2</v>
      </c>
      <c r="F61">
        <f>LN('Data of High Volatile Stocks '!C60/'Data of High Volatile Stocks '!C59)</f>
        <v>-4.1350489203568257E-2</v>
      </c>
      <c r="G61">
        <f>LN('Data of High Volatile Stocks '!D60/'Data of High Volatile Stocks '!D59)</f>
        <v>-0.26791360116712815</v>
      </c>
      <c r="H61">
        <f>LN('Data of High Volatile Stocks '!E60/'Data of High Volatile Stocks '!E59)</f>
        <v>3.5914232238373214E-2</v>
      </c>
      <c r="I61">
        <f>LN('Data of High Volatile Stocks '!F60/'Data of High Volatile Stocks '!F59)</f>
        <v>-0.1131860082088133</v>
      </c>
      <c r="J61">
        <f>LN('Data of High Volatile Stocks '!G60/'Data of High Volatile Stocks '!G59)</f>
        <v>-0.13507846487193556</v>
      </c>
      <c r="K61">
        <f>LN('Data of High Volatile Stocks '!H60/'Data of High Volatile Stocks '!H59)</f>
        <v>-6.93611277975026E-2</v>
      </c>
      <c r="N61">
        <f t="shared" si="1"/>
        <v>-2.419649910710615E-2</v>
      </c>
      <c r="O61">
        <f t="shared" si="2"/>
        <v>-4.6619174546101212E-2</v>
      </c>
      <c r="P61">
        <f t="shared" si="3"/>
        <v>-0.27016772453836857</v>
      </c>
      <c r="Q61">
        <f t="shared" si="4"/>
        <v>3.1755478478527818E-2</v>
      </c>
      <c r="R61">
        <f t="shared" si="5"/>
        <v>-0.12546335988625437</v>
      </c>
      <c r="S61">
        <f t="shared" si="6"/>
        <v>-0.1320073982236093</v>
      </c>
      <c r="T61">
        <f t="shared" si="7"/>
        <v>-6.5833426473057052E-2</v>
      </c>
    </row>
    <row r="62" spans="5:20" x14ac:dyDescent="0.3">
      <c r="E62">
        <f>LN('Data of High Volatile Stocks '!B61/'Data of High Volatile Stocks '!B60)</f>
        <v>-2.7607655324097157E-2</v>
      </c>
      <c r="F62">
        <f>LN('Data of High Volatile Stocks '!C61/'Data of High Volatile Stocks '!C60)</f>
        <v>4.7408187373111844E-2</v>
      </c>
      <c r="G62">
        <f>LN('Data of High Volatile Stocks '!D61/'Data of High Volatile Stocks '!D60)</f>
        <v>0.13283049895643936</v>
      </c>
      <c r="H62">
        <f>LN('Data of High Volatile Stocks '!E61/'Data of High Volatile Stocks '!E60)</f>
        <v>1.3609591847875994E-2</v>
      </c>
      <c r="I62">
        <f>LN('Data of High Volatile Stocks '!F61/'Data of High Volatile Stocks '!F60)</f>
        <v>0.20296801827895128</v>
      </c>
      <c r="J62">
        <f>LN('Data of High Volatile Stocks '!G61/'Data of High Volatile Stocks '!G60)</f>
        <v>0.2650229101250336</v>
      </c>
      <c r="K62">
        <f>LN('Data of High Volatile Stocks '!H61/'Data of High Volatile Stocks '!H60)</f>
        <v>2.5280750297258178E-2</v>
      </c>
      <c r="N62">
        <f t="shared" si="1"/>
        <v>-1.946877378826696E-2</v>
      </c>
      <c r="O62">
        <f t="shared" si="2"/>
        <v>4.2139502030578889E-2</v>
      </c>
      <c r="P62">
        <f t="shared" si="3"/>
        <v>0.13057637558519891</v>
      </c>
      <c r="Q62">
        <f t="shared" si="4"/>
        <v>9.4508380880305998E-3</v>
      </c>
      <c r="R62">
        <f t="shared" si="5"/>
        <v>0.19069066660151021</v>
      </c>
      <c r="S62">
        <f t="shared" si="6"/>
        <v>0.26809397677335983</v>
      </c>
      <c r="T62">
        <f t="shared" si="7"/>
        <v>2.8808451621703729E-2</v>
      </c>
    </row>
    <row r="63" spans="5:20" x14ac:dyDescent="0.3">
      <c r="E63">
        <f>LN('Data of High Volatile Stocks '!B62/'Data of High Volatile Stocks '!B61)</f>
        <v>-5.4549963254065234E-2</v>
      </c>
      <c r="F63">
        <f>LN('Data of High Volatile Stocks '!C62/'Data of High Volatile Stocks '!C61)</f>
        <v>2.617520836402722E-2</v>
      </c>
      <c r="G63">
        <f>LN('Data of High Volatile Stocks '!D62/'Data of High Volatile Stocks '!D61)</f>
        <v>-0.10945888205010861</v>
      </c>
      <c r="H63">
        <f>LN('Data of High Volatile Stocks '!E62/'Data of High Volatile Stocks '!E61)</f>
        <v>-4.0199046037115382E-2</v>
      </c>
      <c r="I63">
        <f>LN('Data of High Volatile Stocks '!F62/'Data of High Volatile Stocks '!F61)</f>
        <v>-0.1285747529845942</v>
      </c>
      <c r="J63">
        <f>LN('Data of High Volatile Stocks '!G62/'Data of High Volatile Stocks '!G61)</f>
        <v>-0.13297257729844117</v>
      </c>
      <c r="K63">
        <f>LN('Data of High Volatile Stocks '!H62/'Data of High Volatile Stocks '!H61)</f>
        <v>-2.9060962710291422E-2</v>
      </c>
      <c r="N63">
        <f t="shared" si="1"/>
        <v>-4.6411081718235034E-2</v>
      </c>
      <c r="O63">
        <f t="shared" si="2"/>
        <v>2.0906523021494268E-2</v>
      </c>
      <c r="P63">
        <f t="shared" si="3"/>
        <v>-0.11171300542134906</v>
      </c>
      <c r="Q63">
        <f t="shared" si="4"/>
        <v>-4.4357799796960778E-2</v>
      </c>
      <c r="R63">
        <f t="shared" si="5"/>
        <v>-0.14085210466203527</v>
      </c>
      <c r="S63">
        <f t="shared" si="6"/>
        <v>-0.1299015106501149</v>
      </c>
      <c r="T63">
        <f t="shared" si="7"/>
        <v>-2.5533261385845871E-2</v>
      </c>
    </row>
    <row r="64" spans="5:20" x14ac:dyDescent="0.3">
      <c r="E64">
        <f>LN('Data of High Volatile Stocks '!B63/'Data of High Volatile Stocks '!B62)</f>
        <v>8.2157618578162478E-2</v>
      </c>
      <c r="F64">
        <f>LN('Data of High Volatile Stocks '!C63/'Data of High Volatile Stocks '!C62)</f>
        <v>7.2035078750732548E-2</v>
      </c>
      <c r="G64">
        <f>LN('Data of High Volatile Stocks '!D63/'Data of High Volatile Stocks '!D62)</f>
        <v>9.881966366165168E-2</v>
      </c>
      <c r="H64">
        <f>LN('Data of High Volatile Stocks '!E63/'Data of High Volatile Stocks '!E62)</f>
        <v>3.4430353950878415E-2</v>
      </c>
      <c r="I64">
        <f>LN('Data of High Volatile Stocks '!F63/'Data of High Volatile Stocks '!F62)</f>
        <v>2.9234725108351043E-2</v>
      </c>
      <c r="J64">
        <f>LN('Data of High Volatile Stocks '!G63/'Data of High Volatile Stocks '!G62)</f>
        <v>4.6316846190878287E-2</v>
      </c>
      <c r="K64">
        <f>LN('Data of High Volatile Stocks '!H63/'Data of High Volatile Stocks '!H62)</f>
        <v>-4.3118465905326142E-2</v>
      </c>
      <c r="N64">
        <f t="shared" si="1"/>
        <v>9.0296500113992678E-2</v>
      </c>
      <c r="O64">
        <f t="shared" si="2"/>
        <v>6.6766393408199592E-2</v>
      </c>
      <c r="P64">
        <f t="shared" si="3"/>
        <v>9.6565540290411228E-2</v>
      </c>
      <c r="Q64">
        <f t="shared" si="4"/>
        <v>3.0271600191033022E-2</v>
      </c>
      <c r="R64">
        <f t="shared" si="5"/>
        <v>1.6957373430909965E-2</v>
      </c>
      <c r="S64">
        <f t="shared" si="6"/>
        <v>4.9387912839204545E-2</v>
      </c>
      <c r="T64">
        <f t="shared" si="7"/>
        <v>-3.9590764580880587E-2</v>
      </c>
    </row>
    <row r="65" spans="5:20" x14ac:dyDescent="0.3">
      <c r="E65">
        <f>LN('Data of High Volatile Stocks '!B64/'Data of High Volatile Stocks '!B63)</f>
        <v>-2.9540023075151044E-2</v>
      </c>
      <c r="F65">
        <f>LN('Data of High Volatile Stocks '!C64/'Data of High Volatile Stocks '!C63)</f>
        <v>-5.1443633904575688E-2</v>
      </c>
      <c r="G65">
        <f>LN('Data of High Volatile Stocks '!D64/'Data of High Volatile Stocks '!D63)</f>
        <v>-0.18826072131576013</v>
      </c>
      <c r="H65">
        <f>LN('Data of High Volatile Stocks '!E64/'Data of High Volatile Stocks '!E63)</f>
        <v>-0.10545694302398748</v>
      </c>
      <c r="I65">
        <f>LN('Data of High Volatile Stocks '!F64/'Data of High Volatile Stocks '!F63)</f>
        <v>-0.12516314295400605</v>
      </c>
      <c r="J65">
        <f>LN('Data of High Volatile Stocks '!G64/'Data of High Volatile Stocks '!G63)</f>
        <v>-8.9702645867953901E-2</v>
      </c>
      <c r="K65">
        <f>LN('Data of High Volatile Stocks '!H64/'Data of High Volatile Stocks '!H63)</f>
        <v>-5.3518171504731864E-2</v>
      </c>
      <c r="N65">
        <f t="shared" si="1"/>
        <v>-2.1401141539320847E-2</v>
      </c>
      <c r="O65">
        <f t="shared" si="2"/>
        <v>-5.6712319247108643E-2</v>
      </c>
      <c r="P65">
        <f t="shared" si="3"/>
        <v>-0.19051484468700058</v>
      </c>
      <c r="Q65">
        <f t="shared" si="4"/>
        <v>-0.10961569678383287</v>
      </c>
      <c r="R65">
        <f t="shared" si="5"/>
        <v>-0.13744049463144711</v>
      </c>
      <c r="S65">
        <f t="shared" si="6"/>
        <v>-8.663157921962765E-2</v>
      </c>
      <c r="T65">
        <f t="shared" si="7"/>
        <v>-4.9990470180286309E-2</v>
      </c>
    </row>
    <row r="66" spans="5:20" x14ac:dyDescent="0.3">
      <c r="E66">
        <f>LN('Data of High Volatile Stocks '!B65/'Data of High Volatile Stocks '!B64)</f>
        <v>3.4223872387577313E-2</v>
      </c>
      <c r="F66">
        <f>LN('Data of High Volatile Stocks '!C65/'Data of High Volatile Stocks '!C64)</f>
        <v>0.10609529408840038</v>
      </c>
      <c r="G66">
        <f>LN('Data of High Volatile Stocks '!D65/'Data of High Volatile Stocks '!D64)</f>
        <v>0.33866188207937581</v>
      </c>
      <c r="H66">
        <f>LN('Data of High Volatile Stocks '!E65/'Data of High Volatile Stocks '!E64)</f>
        <v>2.1307850199024279E-2</v>
      </c>
      <c r="I66">
        <f>LN('Data of High Volatile Stocks '!F65/'Data of High Volatile Stocks '!F64)</f>
        <v>6.9627590645042564E-2</v>
      </c>
      <c r="J66">
        <f>LN('Data of High Volatile Stocks '!G65/'Data of High Volatile Stocks '!G64)</f>
        <v>6.8448187973504424E-2</v>
      </c>
      <c r="K66">
        <f>LN('Data of High Volatile Stocks '!H65/'Data of High Volatile Stocks '!H64)</f>
        <v>3.0374281351768926E-2</v>
      </c>
      <c r="N66">
        <f t="shared" si="1"/>
        <v>4.2362753923407506E-2</v>
      </c>
      <c r="O66">
        <f t="shared" si="2"/>
        <v>0.10082660874586742</v>
      </c>
      <c r="P66">
        <f t="shared" si="3"/>
        <v>0.33640775870813538</v>
      </c>
      <c r="Q66">
        <f t="shared" si="4"/>
        <v>1.7149096439178887E-2</v>
      </c>
      <c r="R66">
        <f t="shared" si="5"/>
        <v>5.7350238967601483E-2</v>
      </c>
      <c r="S66">
        <f t="shared" si="6"/>
        <v>7.1519254621830675E-2</v>
      </c>
      <c r="T66">
        <f t="shared" si="7"/>
        <v>3.3901982676214477E-2</v>
      </c>
    </row>
    <row r="67" spans="5:20" x14ac:dyDescent="0.3">
      <c r="E67">
        <f>LN('Data of High Volatile Stocks '!B66/'Data of High Volatile Stocks '!B65)</f>
        <v>7.7307121776370988E-2</v>
      </c>
      <c r="F67">
        <f>LN('Data of High Volatile Stocks '!C66/'Data of High Volatile Stocks '!C65)</f>
        <v>-1.193998919969365E-2</v>
      </c>
      <c r="G67">
        <f>LN('Data of High Volatile Stocks '!D66/'Data of High Volatile Stocks '!D65)</f>
        <v>-0.10021683634977792</v>
      </c>
      <c r="H67">
        <f>LN('Data of High Volatile Stocks '!E66/'Data of High Volatile Stocks '!E65)</f>
        <v>-3.2947166856043063E-2</v>
      </c>
      <c r="I67">
        <f>LN('Data of High Volatile Stocks '!F66/'Data of High Volatile Stocks '!F65)</f>
        <v>3.9806250400419574E-2</v>
      </c>
      <c r="J67">
        <f>LN('Data of High Volatile Stocks '!G66/'Data of High Volatile Stocks '!G65)</f>
        <v>-6.8281507416405471E-2</v>
      </c>
      <c r="K67">
        <f>LN('Data of High Volatile Stocks '!H66/'Data of High Volatile Stocks '!H65)</f>
        <v>-2.1702967355470984E-3</v>
      </c>
      <c r="N67">
        <f t="shared" si="1"/>
        <v>8.5446003312201188E-2</v>
      </c>
      <c r="O67">
        <f t="shared" si="2"/>
        <v>-1.7208674542226604E-2</v>
      </c>
      <c r="P67">
        <f t="shared" si="3"/>
        <v>-0.10247095972101837</v>
      </c>
      <c r="Q67">
        <f t="shared" si="4"/>
        <v>-3.7105920615888459E-2</v>
      </c>
      <c r="R67">
        <f t="shared" si="5"/>
        <v>2.7528898722978496E-2</v>
      </c>
      <c r="S67">
        <f t="shared" si="6"/>
        <v>-6.521044076807922E-2</v>
      </c>
      <c r="T67">
        <f t="shared" si="7"/>
        <v>1.3574045888984534E-3</v>
      </c>
    </row>
    <row r="68" spans="5:20" x14ac:dyDescent="0.3">
      <c r="E68">
        <f>LN('Data of High Volatile Stocks '!B67/'Data of High Volatile Stocks '!B66)</f>
        <v>-3.0744626160162832E-2</v>
      </c>
      <c r="F68">
        <f>LN('Data of High Volatile Stocks '!C67/'Data of High Volatile Stocks '!C66)</f>
        <v>4.256594960728359E-2</v>
      </c>
      <c r="G68">
        <f>LN('Data of High Volatile Stocks '!D67/'Data of High Volatile Stocks '!D66)</f>
        <v>-3.8404773939049834E-3</v>
      </c>
      <c r="H68">
        <f>LN('Data of High Volatile Stocks '!E67/'Data of High Volatile Stocks '!E66)</f>
        <v>3.0426686630707935E-2</v>
      </c>
      <c r="I68">
        <f>LN('Data of High Volatile Stocks '!F67/'Data of High Volatile Stocks '!F66)</f>
        <v>3.0032287098875076E-2</v>
      </c>
      <c r="J68">
        <f>LN('Data of High Volatile Stocks '!G67/'Data of High Volatile Stocks '!G66)</f>
        <v>9.2579181293093171E-2</v>
      </c>
      <c r="K68">
        <f>LN('Data of High Volatile Stocks '!H67/'Data of High Volatile Stocks '!H66)</f>
        <v>6.7214543419424247E-2</v>
      </c>
      <c r="N68">
        <f t="shared" si="1"/>
        <v>-2.2605744624332635E-2</v>
      </c>
      <c r="O68">
        <f t="shared" si="2"/>
        <v>3.7297264264750635E-2</v>
      </c>
      <c r="P68">
        <f t="shared" si="3"/>
        <v>-6.09460076514543E-3</v>
      </c>
      <c r="Q68">
        <f t="shared" si="4"/>
        <v>2.6267932870862543E-2</v>
      </c>
      <c r="R68">
        <f t="shared" si="5"/>
        <v>1.7754935421433998E-2</v>
      </c>
      <c r="S68">
        <f t="shared" si="6"/>
        <v>9.5650247941419422E-2</v>
      </c>
      <c r="T68">
        <f t="shared" si="7"/>
        <v>7.0742244743869795E-2</v>
      </c>
    </row>
    <row r="69" spans="5:20" x14ac:dyDescent="0.3">
      <c r="E69">
        <f>LN('Data of High Volatile Stocks '!B68/'Data of High Volatile Stocks '!B67)</f>
        <v>-5.9732958805953196E-2</v>
      </c>
      <c r="F69">
        <f>LN('Data of High Volatile Stocks '!C68/'Data of High Volatile Stocks '!C67)</f>
        <v>-7.1253913258352897E-2</v>
      </c>
      <c r="G69">
        <f>LN('Data of High Volatile Stocks '!D68/'Data of High Volatile Stocks '!D67)</f>
        <v>-9.5103008724666482E-2</v>
      </c>
      <c r="H69">
        <f>LN('Data of High Volatile Stocks '!E68/'Data of High Volatile Stocks '!E67)</f>
        <v>-1.653981725360441E-2</v>
      </c>
      <c r="I69">
        <f>LN('Data of High Volatile Stocks '!F68/'Data of High Volatile Stocks '!F67)</f>
        <v>-4.3537710298682107E-2</v>
      </c>
      <c r="J69">
        <f>LN('Data of High Volatile Stocks '!G68/'Data of High Volatile Stocks '!G67)</f>
        <v>-2.6791440755090049E-2</v>
      </c>
      <c r="K69">
        <f>LN('Data of High Volatile Stocks '!H68/'Data of High Volatile Stocks '!H67)</f>
        <v>-2.7319977669562866E-2</v>
      </c>
      <c r="N69">
        <f t="shared" si="1"/>
        <v>-5.1594077270122995E-2</v>
      </c>
      <c r="O69">
        <f t="shared" si="2"/>
        <v>-7.6522598600885852E-2</v>
      </c>
      <c r="P69">
        <f t="shared" si="3"/>
        <v>-9.7357132095906934E-2</v>
      </c>
      <c r="Q69">
        <f t="shared" si="4"/>
        <v>-2.0698571013449803E-2</v>
      </c>
      <c r="R69">
        <f t="shared" si="5"/>
        <v>-5.5815061976123181E-2</v>
      </c>
      <c r="S69">
        <f t="shared" si="6"/>
        <v>-2.3720374106763791E-2</v>
      </c>
      <c r="T69">
        <f t="shared" si="7"/>
        <v>-2.3792276345117314E-2</v>
      </c>
    </row>
    <row r="70" spans="5:20" x14ac:dyDescent="0.3">
      <c r="E70">
        <f>LN('Data of High Volatile Stocks '!B69/'Data of High Volatile Stocks '!B68)</f>
        <v>1.223544675883835E-2</v>
      </c>
      <c r="F70">
        <f>LN('Data of High Volatile Stocks '!C69/'Data of High Volatile Stocks '!C68)</f>
        <v>6.0339253390054304E-2</v>
      </c>
      <c r="G70">
        <f>LN('Data of High Volatile Stocks '!D69/'Data of High Volatile Stocks '!D68)</f>
        <v>0.12914761168447714</v>
      </c>
      <c r="H70">
        <f>LN('Data of High Volatile Stocks '!E69/'Data of High Volatile Stocks '!E68)</f>
        <v>9.5755599195721311E-3</v>
      </c>
      <c r="I70">
        <f>LN('Data of High Volatile Stocks '!F69/'Data of High Volatile Stocks '!F68)</f>
        <v>8.5258708877687939E-2</v>
      </c>
      <c r="J70">
        <f>LN('Data of High Volatile Stocks '!G69/'Data of High Volatile Stocks '!G68)</f>
        <v>-3.7524275265143667E-2</v>
      </c>
      <c r="K70">
        <f>LN('Data of High Volatile Stocks '!H69/'Data of High Volatile Stocks '!H68)</f>
        <v>-3.3253859954287368E-2</v>
      </c>
      <c r="N70">
        <f t="shared" si="1"/>
        <v>2.0374328294668547E-2</v>
      </c>
      <c r="O70">
        <f t="shared" si="2"/>
        <v>5.5070568047521348E-2</v>
      </c>
      <c r="P70">
        <f t="shared" si="3"/>
        <v>0.12689348831323669</v>
      </c>
      <c r="Q70">
        <f t="shared" si="4"/>
        <v>5.4168061597267376E-3</v>
      </c>
      <c r="R70">
        <f t="shared" si="5"/>
        <v>7.2981357200246857E-2</v>
      </c>
      <c r="S70">
        <f t="shared" si="6"/>
        <v>-3.4453208616817409E-2</v>
      </c>
      <c r="T70">
        <f t="shared" si="7"/>
        <v>-2.9726158629841817E-2</v>
      </c>
    </row>
    <row r="71" spans="5:20" x14ac:dyDescent="0.3">
      <c r="E71">
        <f>LN('Data of High Volatile Stocks '!B70/'Data of High Volatile Stocks '!B69)</f>
        <v>-6.5724131709824635E-2</v>
      </c>
      <c r="F71">
        <f>LN('Data of High Volatile Stocks '!C70/'Data of High Volatile Stocks '!C69)</f>
        <v>-2.6268206873781192E-2</v>
      </c>
      <c r="G71">
        <f>LN('Data of High Volatile Stocks '!D70/'Data of High Volatile Stocks '!D69)</f>
        <v>-0.16899352023167666</v>
      </c>
      <c r="H71">
        <f>LN('Data of High Volatile Stocks '!E70/'Data of High Volatile Stocks '!E69)</f>
        <v>-2.0864181651143506E-2</v>
      </c>
      <c r="I71">
        <f>LN('Data of High Volatile Stocks '!F70/'Data of High Volatile Stocks '!F69)</f>
        <v>-7.4195289333432543E-2</v>
      </c>
      <c r="J71">
        <f>LN('Data of High Volatile Stocks '!G70/'Data of High Volatile Stocks '!G69)</f>
        <v>-6.1303319351059656E-2</v>
      </c>
      <c r="K71">
        <f>LN('Data of High Volatile Stocks '!H70/'Data of High Volatile Stocks '!H69)</f>
        <v>-8.275621804937458E-2</v>
      </c>
      <c r="N71">
        <f t="shared" ref="N71:N134" si="8">E71-E$202</f>
        <v>-5.7585250173994434E-2</v>
      </c>
      <c r="O71">
        <f t="shared" ref="O71:O134" si="9">F71-F$202</f>
        <v>-3.1536892216314144E-2</v>
      </c>
      <c r="P71">
        <f t="shared" ref="P71:P134" si="10">G71-G$202</f>
        <v>-0.17124764360291711</v>
      </c>
      <c r="Q71">
        <f t="shared" ref="Q71:Q134" si="11">H71-H$202</f>
        <v>-2.5022935410988899E-2</v>
      </c>
      <c r="R71">
        <f t="shared" ref="R71:R134" si="12">I71-I$202</f>
        <v>-8.6472641010873624E-2</v>
      </c>
      <c r="S71">
        <f t="shared" ref="S71:S134" si="13">J71-J$202</f>
        <v>-5.8232252702733397E-2</v>
      </c>
      <c r="T71">
        <f t="shared" ref="T71:T134" si="14">K71-K$202</f>
        <v>-7.9228516724929032E-2</v>
      </c>
    </row>
    <row r="72" spans="5:20" x14ac:dyDescent="0.3">
      <c r="E72">
        <f>LN('Data of High Volatile Stocks '!B71/'Data of High Volatile Stocks '!B70)</f>
        <v>-0.13911280246271771</v>
      </c>
      <c r="F72">
        <f>LN('Data of High Volatile Stocks '!C71/'Data of High Volatile Stocks '!C70)</f>
        <v>-9.678574807114658E-2</v>
      </c>
      <c r="G72">
        <f>LN('Data of High Volatile Stocks '!D71/'Data of High Volatile Stocks '!D70)</f>
        <v>-9.3127604007065795E-2</v>
      </c>
      <c r="H72">
        <f>LN('Data of High Volatile Stocks '!E71/'Data of High Volatile Stocks '!E70)</f>
        <v>7.1105664814289692E-3</v>
      </c>
      <c r="I72">
        <f>LN('Data of High Volatile Stocks '!F71/'Data of High Volatile Stocks '!F70)</f>
        <v>-5.3999307249400053E-2</v>
      </c>
      <c r="J72">
        <f>LN('Data of High Volatile Stocks '!G71/'Data of High Volatile Stocks '!G70)</f>
        <v>-3.2210031129916841E-2</v>
      </c>
      <c r="K72">
        <f>LN('Data of High Volatile Stocks '!H71/'Data of High Volatile Stocks '!H70)</f>
        <v>-4.0672219345535873E-2</v>
      </c>
      <c r="N72">
        <f t="shared" si="8"/>
        <v>-0.1309739209268875</v>
      </c>
      <c r="O72">
        <f t="shared" si="9"/>
        <v>-0.10205443341367954</v>
      </c>
      <c r="P72">
        <f t="shared" si="10"/>
        <v>-9.5381727378306247E-2</v>
      </c>
      <c r="Q72">
        <f t="shared" si="11"/>
        <v>2.9518127215835757E-3</v>
      </c>
      <c r="R72">
        <f t="shared" si="12"/>
        <v>-6.6276658926841134E-2</v>
      </c>
      <c r="S72">
        <f t="shared" si="13"/>
        <v>-2.9138964481590583E-2</v>
      </c>
      <c r="T72">
        <f t="shared" si="14"/>
        <v>-3.7144518021090318E-2</v>
      </c>
    </row>
    <row r="73" spans="5:20" x14ac:dyDescent="0.3">
      <c r="E73">
        <f>LN('Data of High Volatile Stocks '!B72/'Data of High Volatile Stocks '!B71)</f>
        <v>-5.6685776175433022E-2</v>
      </c>
      <c r="F73">
        <f>LN('Data of High Volatile Stocks '!C72/'Data of High Volatile Stocks '!C71)</f>
        <v>1.9794460730914527E-2</v>
      </c>
      <c r="G73">
        <f>LN('Data of High Volatile Stocks '!D72/'Data of High Volatile Stocks '!D71)</f>
        <v>7.9484827603279434E-2</v>
      </c>
      <c r="H73">
        <f>LN('Data of High Volatile Stocks '!E72/'Data of High Volatile Stocks '!E71)</f>
        <v>0.19538666731554599</v>
      </c>
      <c r="I73">
        <f>LN('Data of High Volatile Stocks '!F72/'Data of High Volatile Stocks '!F71)</f>
        <v>-4.4862404057260059E-2</v>
      </c>
      <c r="J73">
        <f>LN('Data of High Volatile Stocks '!G72/'Data of High Volatile Stocks '!G71)</f>
        <v>-2.2307095141414629E-2</v>
      </c>
      <c r="K73">
        <f>LN('Data of High Volatile Stocks '!H72/'Data of High Volatile Stocks '!H71)</f>
        <v>3.1565546267344084E-2</v>
      </c>
      <c r="N73">
        <f t="shared" si="8"/>
        <v>-4.8546894639602822E-2</v>
      </c>
      <c r="O73">
        <f t="shared" si="9"/>
        <v>1.4525775388381573E-2</v>
      </c>
      <c r="P73">
        <f t="shared" si="10"/>
        <v>7.7230704232038982E-2</v>
      </c>
      <c r="Q73">
        <f t="shared" si="11"/>
        <v>0.1912279135557006</v>
      </c>
      <c r="R73">
        <f t="shared" si="12"/>
        <v>-5.7139755734701134E-2</v>
      </c>
      <c r="S73">
        <f t="shared" si="13"/>
        <v>-1.9236028493088371E-2</v>
      </c>
      <c r="T73">
        <f t="shared" si="14"/>
        <v>3.5093247591789639E-2</v>
      </c>
    </row>
    <row r="74" spans="5:20" x14ac:dyDescent="0.3">
      <c r="E74">
        <f>LN('Data of High Volatile Stocks '!B73/'Data of High Volatile Stocks '!B72)</f>
        <v>3.8145268259690501E-2</v>
      </c>
      <c r="F74">
        <f>LN('Data of High Volatile Stocks '!C73/'Data of High Volatile Stocks '!C72)</f>
        <v>6.1599334581434996E-2</v>
      </c>
      <c r="G74">
        <f>LN('Data of High Volatile Stocks '!D73/'Data of High Volatile Stocks '!D72)</f>
        <v>-1.5573943433206698E-2</v>
      </c>
      <c r="H74">
        <f>LN('Data of High Volatile Stocks '!E73/'Data of High Volatile Stocks '!E72)</f>
        <v>1.8373220256619322E-2</v>
      </c>
      <c r="I74">
        <f>LN('Data of High Volatile Stocks '!F73/'Data of High Volatile Stocks '!F72)</f>
        <v>0.24846135929849955</v>
      </c>
      <c r="J74">
        <f>LN('Data of High Volatile Stocks '!G73/'Data of High Volatile Stocks '!G72)</f>
        <v>-2.2816077131838974E-2</v>
      </c>
      <c r="K74">
        <f>LN('Data of High Volatile Stocks '!H73/'Data of High Volatile Stocks '!H72)</f>
        <v>4.5637029400941954E-3</v>
      </c>
      <c r="N74">
        <f t="shared" si="8"/>
        <v>4.6284149795520702E-2</v>
      </c>
      <c r="O74">
        <f t="shared" si="9"/>
        <v>5.6330649238902041E-2</v>
      </c>
      <c r="P74">
        <f t="shared" si="10"/>
        <v>-1.7828066804447144E-2</v>
      </c>
      <c r="Q74">
        <f t="shared" si="11"/>
        <v>1.421446649677393E-2</v>
      </c>
      <c r="R74">
        <f t="shared" si="12"/>
        <v>0.23618400762105848</v>
      </c>
      <c r="S74">
        <f t="shared" si="13"/>
        <v>-1.9745010483512716E-2</v>
      </c>
      <c r="T74">
        <f t="shared" si="14"/>
        <v>8.0914042645397477E-3</v>
      </c>
    </row>
    <row r="75" spans="5:20" x14ac:dyDescent="0.3">
      <c r="E75">
        <f>LN('Data of High Volatile Stocks '!B74/'Data of High Volatile Stocks '!B73)</f>
        <v>0.12825433552367885</v>
      </c>
      <c r="F75">
        <f>LN('Data of High Volatile Stocks '!C74/'Data of High Volatile Stocks '!C73)</f>
        <v>0.1054987231074279</v>
      </c>
      <c r="G75">
        <f>LN('Data of High Volatile Stocks '!D74/'Data of High Volatile Stocks '!D73)</f>
        <v>-9.8143094103986736E-3</v>
      </c>
      <c r="H75">
        <f>LN('Data of High Volatile Stocks '!E74/'Data of High Volatile Stocks '!E73)</f>
        <v>1.8807716564741551E-2</v>
      </c>
      <c r="I75">
        <f>LN('Data of High Volatile Stocks '!F74/'Data of High Volatile Stocks '!F73)</f>
        <v>0.20915137900313091</v>
      </c>
      <c r="J75">
        <f>LN('Data of High Volatile Stocks '!G74/'Data of High Volatile Stocks '!G73)</f>
        <v>-2.1065288998014201E-2</v>
      </c>
      <c r="K75">
        <f>LN('Data of High Volatile Stocks '!H74/'Data of High Volatile Stocks '!H73)</f>
        <v>8.5426933013935558E-2</v>
      </c>
      <c r="N75">
        <f t="shared" si="8"/>
        <v>0.13639321705950905</v>
      </c>
      <c r="O75">
        <f t="shared" si="9"/>
        <v>0.10023003776489495</v>
      </c>
      <c r="P75">
        <f t="shared" si="10"/>
        <v>-1.206843278163912E-2</v>
      </c>
      <c r="Q75">
        <f t="shared" si="11"/>
        <v>1.4648962804896158E-2</v>
      </c>
      <c r="R75">
        <f t="shared" si="12"/>
        <v>0.19687402732568984</v>
      </c>
      <c r="S75">
        <f t="shared" si="13"/>
        <v>-1.7994222349687942E-2</v>
      </c>
      <c r="T75">
        <f t="shared" si="14"/>
        <v>8.8954634338381106E-2</v>
      </c>
    </row>
    <row r="76" spans="5:20" x14ac:dyDescent="0.3">
      <c r="E76">
        <f>LN('Data of High Volatile Stocks '!B75/'Data of High Volatile Stocks '!B74)</f>
        <v>5.6014641554671306E-2</v>
      </c>
      <c r="F76">
        <f>LN('Data of High Volatile Stocks '!C75/'Data of High Volatile Stocks '!C74)</f>
        <v>6.2930678670917228E-2</v>
      </c>
      <c r="G76">
        <f>LN('Data of High Volatile Stocks '!D75/'Data of High Volatile Stocks '!D74)</f>
        <v>2.4626221768264517E-3</v>
      </c>
      <c r="H76">
        <f>LN('Data of High Volatile Stocks '!E75/'Data of High Volatile Stocks '!E74)</f>
        <v>-1.8807716564741676E-2</v>
      </c>
      <c r="I76">
        <f>LN('Data of High Volatile Stocks '!F75/'Data of High Volatile Stocks '!F74)</f>
        <v>0.15329634402134265</v>
      </c>
      <c r="J76">
        <f>LN('Data of High Volatile Stocks '!G75/'Data of High Volatile Stocks '!G74)</f>
        <v>6.3337933775453104E-2</v>
      </c>
      <c r="K76">
        <f>LN('Data of High Volatile Stocks '!H75/'Data of High Volatile Stocks '!H74)</f>
        <v>-4.5717191297074605E-2</v>
      </c>
      <c r="N76">
        <f t="shared" si="8"/>
        <v>6.4153523090501499E-2</v>
      </c>
      <c r="O76">
        <f t="shared" si="9"/>
        <v>5.7661993328384273E-2</v>
      </c>
      <c r="P76">
        <f t="shared" si="10"/>
        <v>2.0849880558600513E-4</v>
      </c>
      <c r="Q76">
        <f t="shared" si="11"/>
        <v>-2.2966470324587068E-2</v>
      </c>
      <c r="R76">
        <f t="shared" si="12"/>
        <v>0.14101899234390158</v>
      </c>
      <c r="S76">
        <f t="shared" si="13"/>
        <v>6.6409000423779355E-2</v>
      </c>
      <c r="T76">
        <f t="shared" si="14"/>
        <v>-4.218948997262905E-2</v>
      </c>
    </row>
    <row r="77" spans="5:20" x14ac:dyDescent="0.3">
      <c r="E77">
        <f>LN('Data of High Volatile Stocks '!B76/'Data of High Volatile Stocks '!B75)</f>
        <v>1.2566622599858641E-2</v>
      </c>
      <c r="F77">
        <f>LN('Data of High Volatile Stocks '!C76/'Data of High Volatile Stocks '!C75)</f>
        <v>-1.8334719993128447E-2</v>
      </c>
      <c r="G77">
        <f>LN('Data of High Volatile Stocks '!D76/'Data of High Volatile Stocks '!D75)</f>
        <v>0.12579334407099982</v>
      </c>
      <c r="H77">
        <f>LN('Data of High Volatile Stocks '!E76/'Data of High Volatile Stocks '!E75)</f>
        <v>3.2747873874854519E-2</v>
      </c>
      <c r="I77">
        <f>LN('Data of High Volatile Stocks '!F76/'Data of High Volatile Stocks '!F75)</f>
        <v>6.1787487765681284E-2</v>
      </c>
      <c r="J77">
        <f>LN('Data of High Volatile Stocks '!G76/'Data of High Volatile Stocks '!G75)</f>
        <v>7.0431028042214155E-2</v>
      </c>
      <c r="K77">
        <f>LN('Data of High Volatile Stocks '!H76/'Data of High Volatile Stocks '!H75)</f>
        <v>1.2297695474661375E-2</v>
      </c>
      <c r="N77">
        <f t="shared" si="8"/>
        <v>2.0705504135688838E-2</v>
      </c>
      <c r="O77">
        <f t="shared" si="9"/>
        <v>-2.3603405335661402E-2</v>
      </c>
      <c r="P77">
        <f t="shared" si="10"/>
        <v>0.12353922069975937</v>
      </c>
      <c r="Q77">
        <f t="shared" si="11"/>
        <v>2.8589120115009126E-2</v>
      </c>
      <c r="R77">
        <f t="shared" si="12"/>
        <v>4.9510136088240203E-2</v>
      </c>
      <c r="S77">
        <f t="shared" si="13"/>
        <v>7.3502094690540407E-2</v>
      </c>
      <c r="T77">
        <f t="shared" si="14"/>
        <v>1.5825396799106928E-2</v>
      </c>
    </row>
    <row r="78" spans="5:20" x14ac:dyDescent="0.3">
      <c r="E78">
        <f>LN('Data of High Volatile Stocks '!B77/'Data of High Volatile Stocks '!B76)</f>
        <v>-3.1222048261359988E-2</v>
      </c>
      <c r="F78">
        <f>LN('Data of High Volatile Stocks '!C77/'Data of High Volatile Stocks '!C76)</f>
        <v>-1.1899758169076138E-2</v>
      </c>
      <c r="G78">
        <f>LN('Data of High Volatile Stocks '!D77/'Data of High Volatile Stocks '!D76)</f>
        <v>-0.19187909106051773</v>
      </c>
      <c r="H78">
        <f>LN('Data of High Volatile Stocks '!E77/'Data of High Volatile Stocks '!E76)</f>
        <v>3.1221564689738794E-2</v>
      </c>
      <c r="I78">
        <f>LN('Data of High Volatile Stocks '!F77/'Data of High Volatile Stocks '!F76)</f>
        <v>3.3855636939338726E-2</v>
      </c>
      <c r="J78">
        <f>LN('Data of High Volatile Stocks '!G77/'Data of High Volatile Stocks '!G76)</f>
        <v>0.14436376381252131</v>
      </c>
      <c r="K78">
        <f>LN('Data of High Volatile Stocks '!H77/'Data of High Volatile Stocks '!H76)</f>
        <v>7.4498997709222207E-4</v>
      </c>
      <c r="N78">
        <f t="shared" si="8"/>
        <v>-2.3083166725529791E-2</v>
      </c>
      <c r="O78">
        <f t="shared" si="9"/>
        <v>-1.7168443511609094E-2</v>
      </c>
      <c r="P78">
        <f t="shared" si="10"/>
        <v>-0.19413321443175818</v>
      </c>
      <c r="Q78">
        <f t="shared" si="11"/>
        <v>2.7062810929893402E-2</v>
      </c>
      <c r="R78">
        <f t="shared" si="12"/>
        <v>2.1578285261897649E-2</v>
      </c>
      <c r="S78">
        <f t="shared" si="13"/>
        <v>0.14743483046084757</v>
      </c>
      <c r="T78">
        <f t="shared" si="14"/>
        <v>4.2726913015377743E-3</v>
      </c>
    </row>
    <row r="79" spans="5:20" x14ac:dyDescent="0.3">
      <c r="E79">
        <f>LN('Data of High Volatile Stocks '!B78/'Data of High Volatile Stocks '!B77)</f>
        <v>5.6827999166531196E-2</v>
      </c>
      <c r="F79">
        <f>LN('Data of High Volatile Stocks '!C78/'Data of High Volatile Stocks '!C77)</f>
        <v>3.6830893466973054E-2</v>
      </c>
      <c r="G79">
        <f>LN('Data of High Volatile Stocks '!D78/'Data of High Volatile Stocks '!D77)</f>
        <v>4.2442302733244543E-2</v>
      </c>
      <c r="H79">
        <f>LN('Data of High Volatile Stocks '!E78/'Data of High Volatile Stocks '!E77)</f>
        <v>5.9892468031441E-2</v>
      </c>
      <c r="I79">
        <f>LN('Data of High Volatile Stocks '!F78/'Data of High Volatile Stocks '!F77)</f>
        <v>8.1782461476728088E-2</v>
      </c>
      <c r="J79">
        <f>LN('Data of High Volatile Stocks '!G78/'Data of High Volatile Stocks '!G77)</f>
        <v>1.7265178809958363E-2</v>
      </c>
      <c r="K79">
        <f>LN('Data of High Volatile Stocks '!H78/'Data of High Volatile Stocks '!H77)</f>
        <v>4.2572026217452014E-2</v>
      </c>
      <c r="N79">
        <f t="shared" si="8"/>
        <v>6.4966880702361396E-2</v>
      </c>
      <c r="O79">
        <f t="shared" si="9"/>
        <v>3.1562208124440098E-2</v>
      </c>
      <c r="P79">
        <f t="shared" si="10"/>
        <v>4.0188179362004098E-2</v>
      </c>
      <c r="Q79">
        <f t="shared" si="11"/>
        <v>5.5733714271595604E-2</v>
      </c>
      <c r="R79">
        <f t="shared" si="12"/>
        <v>6.9505109799287007E-2</v>
      </c>
      <c r="S79">
        <f t="shared" si="13"/>
        <v>2.0336245458284621E-2</v>
      </c>
      <c r="T79">
        <f t="shared" si="14"/>
        <v>4.6099727541897569E-2</v>
      </c>
    </row>
    <row r="80" spans="5:20" x14ac:dyDescent="0.3">
      <c r="E80">
        <f>LN('Data of High Volatile Stocks '!B79/'Data of High Volatile Stocks '!B78)</f>
        <v>1.3023439886286823E-2</v>
      </c>
      <c r="F80">
        <f>LN('Data of High Volatile Stocks '!C79/'Data of High Volatile Stocks '!C78)</f>
        <v>-7.6948149637426813E-2</v>
      </c>
      <c r="G80">
        <f>LN('Data of High Volatile Stocks '!D79/'Data of High Volatile Stocks '!D78)</f>
        <v>0.10054592195353983</v>
      </c>
      <c r="H80">
        <f>LN('Data of High Volatile Stocks '!E79/'Data of High Volatile Stocks '!E78)</f>
        <v>-4.1446064394742082E-3</v>
      </c>
      <c r="I80">
        <f>LN('Data of High Volatile Stocks '!F79/'Data of High Volatile Stocks '!F78)</f>
        <v>-0.14996721369834717</v>
      </c>
      <c r="J80">
        <f>LN('Data of High Volatile Stocks '!G79/'Data of High Volatile Stocks '!G78)</f>
        <v>-0.12201819017259058</v>
      </c>
      <c r="K80">
        <f>LN('Data of High Volatile Stocks '!H79/'Data of High Volatile Stocks '!H78)</f>
        <v>-5.0347185003807138E-2</v>
      </c>
      <c r="N80">
        <f t="shared" si="8"/>
        <v>2.116232142211702E-2</v>
      </c>
      <c r="O80">
        <f t="shared" si="9"/>
        <v>-8.2216834979959769E-2</v>
      </c>
      <c r="P80">
        <f t="shared" si="10"/>
        <v>9.8291798582299375E-2</v>
      </c>
      <c r="Q80">
        <f t="shared" si="11"/>
        <v>-8.3033601993196017E-3</v>
      </c>
      <c r="R80">
        <f t="shared" si="12"/>
        <v>-0.16224456537578824</v>
      </c>
      <c r="S80">
        <f t="shared" si="13"/>
        <v>-0.11894712352426433</v>
      </c>
      <c r="T80">
        <f t="shared" si="14"/>
        <v>-4.6819483679361583E-2</v>
      </c>
    </row>
    <row r="81" spans="5:20" x14ac:dyDescent="0.3">
      <c r="E81">
        <f>LN('Data of High Volatile Stocks '!B80/'Data of High Volatile Stocks '!B79)</f>
        <v>9.0087356037524033E-2</v>
      </c>
      <c r="F81">
        <f>LN('Data of High Volatile Stocks '!C80/'Data of High Volatile Stocks '!C79)</f>
        <v>2.2168056340472551E-2</v>
      </c>
      <c r="G81">
        <f>LN('Data of High Volatile Stocks '!D80/'Data of High Volatile Stocks '!D79)</f>
        <v>0.15184725508354185</v>
      </c>
      <c r="H81">
        <f>LN('Data of High Volatile Stocks '!E80/'Data of High Volatile Stocks '!E79)</f>
        <v>-3.930186540826869E-3</v>
      </c>
      <c r="I81">
        <f>LN('Data of High Volatile Stocks '!F80/'Data of High Volatile Stocks '!F79)</f>
        <v>8.8613798769353214E-2</v>
      </c>
      <c r="J81">
        <f>LN('Data of High Volatile Stocks '!G80/'Data of High Volatile Stocks '!G79)</f>
        <v>2.1971957955481312E-2</v>
      </c>
      <c r="K81">
        <f>LN('Data of High Volatile Stocks '!H80/'Data of High Volatile Stocks '!H79)</f>
        <v>1.8736607600491846E-2</v>
      </c>
      <c r="N81">
        <f t="shared" si="8"/>
        <v>9.8226237573354233E-2</v>
      </c>
      <c r="O81">
        <f t="shared" si="9"/>
        <v>1.6899370997939596E-2</v>
      </c>
      <c r="P81">
        <f t="shared" si="10"/>
        <v>0.1495931317123014</v>
      </c>
      <c r="Q81">
        <f t="shared" si="11"/>
        <v>-8.0889403006722625E-3</v>
      </c>
      <c r="R81">
        <f t="shared" si="12"/>
        <v>7.6336447091912132E-2</v>
      </c>
      <c r="S81">
        <f t="shared" si="13"/>
        <v>2.504302460380757E-2</v>
      </c>
      <c r="T81">
        <f t="shared" si="14"/>
        <v>2.2264308924937398E-2</v>
      </c>
    </row>
    <row r="82" spans="5:20" x14ac:dyDescent="0.3">
      <c r="E82">
        <f>LN('Data of High Volatile Stocks '!B81/'Data of High Volatile Stocks '!B80)</f>
        <v>-1.3605652055778598E-2</v>
      </c>
      <c r="F82">
        <f>LN('Data of High Volatile Stocks '!C81/'Data of High Volatile Stocks '!C80)</f>
        <v>-1.9387380235233551E-2</v>
      </c>
      <c r="G82">
        <f>LN('Data of High Volatile Stocks '!D81/'Data of High Volatile Stocks '!D80)</f>
        <v>9.5500746741538189E-2</v>
      </c>
      <c r="H82">
        <f>LN('Data of High Volatile Stocks '!E81/'Data of High Volatile Stocks '!E80)</f>
        <v>-6.0409105639529772E-3</v>
      </c>
      <c r="I82">
        <f>LN('Data of High Volatile Stocks '!F81/'Data of High Volatile Stocks '!F80)</f>
        <v>6.5210305538742589E-4</v>
      </c>
      <c r="J82">
        <f>LN('Data of High Volatile Stocks '!G81/'Data of High Volatile Stocks '!G80)</f>
        <v>-1.7825221550897906E-2</v>
      </c>
      <c r="K82">
        <f>LN('Data of High Volatile Stocks '!H81/'Data of High Volatile Stocks '!H80)</f>
        <v>-3.309924016314416E-2</v>
      </c>
      <c r="N82">
        <f t="shared" si="8"/>
        <v>-5.4667705199484013E-3</v>
      </c>
      <c r="O82">
        <f t="shared" si="9"/>
        <v>-2.4656065577766506E-2</v>
      </c>
      <c r="P82">
        <f t="shared" si="10"/>
        <v>9.3246623370297738E-2</v>
      </c>
      <c r="Q82">
        <f t="shared" si="11"/>
        <v>-1.0199664323798371E-2</v>
      </c>
      <c r="R82">
        <f t="shared" si="12"/>
        <v>-1.1625248622053651E-2</v>
      </c>
      <c r="S82">
        <f t="shared" si="13"/>
        <v>-1.4754154902571648E-2</v>
      </c>
      <c r="T82">
        <f t="shared" si="14"/>
        <v>-2.9571538838698608E-2</v>
      </c>
    </row>
    <row r="83" spans="5:20" x14ac:dyDescent="0.3">
      <c r="E83">
        <f>LN('Data of High Volatile Stocks '!B82/'Data of High Volatile Stocks '!B81)</f>
        <v>0.11854378122369254</v>
      </c>
      <c r="F83">
        <f>LN('Data of High Volatile Stocks '!C82/'Data of High Volatile Stocks '!C81)</f>
        <v>3.6466811168179333E-2</v>
      </c>
      <c r="G83">
        <f>LN('Data of High Volatile Stocks '!D82/'Data of High Volatile Stocks '!D81)</f>
        <v>0.29101112864850792</v>
      </c>
      <c r="H83">
        <f>LN('Data of High Volatile Stocks '!E82/'Data of High Volatile Stocks '!E81)</f>
        <v>4.1986545717431198E-2</v>
      </c>
      <c r="I83">
        <f>LN('Data of High Volatile Stocks '!F82/'Data of High Volatile Stocks '!F81)</f>
        <v>6.6817538891042513E-2</v>
      </c>
      <c r="J83">
        <f>LN('Data of High Volatile Stocks '!G82/'Data of High Volatile Stocks '!G81)</f>
        <v>0.1639026605431543</v>
      </c>
      <c r="K83">
        <f>LN('Data of High Volatile Stocks '!H82/'Data of High Volatile Stocks '!H81)</f>
        <v>7.224629120449956E-2</v>
      </c>
      <c r="N83">
        <f t="shared" si="8"/>
        <v>0.12668266275952272</v>
      </c>
      <c r="O83">
        <f t="shared" si="9"/>
        <v>3.1198125825646378E-2</v>
      </c>
      <c r="P83">
        <f t="shared" si="10"/>
        <v>0.2887570052772675</v>
      </c>
      <c r="Q83">
        <f t="shared" si="11"/>
        <v>3.7827791957585802E-2</v>
      </c>
      <c r="R83">
        <f t="shared" si="12"/>
        <v>5.4540187213601432E-2</v>
      </c>
      <c r="S83">
        <f t="shared" si="13"/>
        <v>0.16697372719148057</v>
      </c>
      <c r="T83">
        <f t="shared" si="14"/>
        <v>7.5773992528945108E-2</v>
      </c>
    </row>
    <row r="84" spans="5:20" x14ac:dyDescent="0.3">
      <c r="E84">
        <f>LN('Data of High Volatile Stocks '!B83/'Data of High Volatile Stocks '!B82)</f>
        <v>-3.1675108479756249E-2</v>
      </c>
      <c r="F84">
        <f>LN('Data of High Volatile Stocks '!C83/'Data of High Volatile Stocks '!C82)</f>
        <v>9.9900930750861858E-3</v>
      </c>
      <c r="G84">
        <f>LN('Data of High Volatile Stocks '!D83/'Data of High Volatile Stocks '!D82)</f>
        <v>-4.3571632738021074E-2</v>
      </c>
      <c r="H84">
        <f>LN('Data of High Volatile Stocks '!E83/'Data of High Volatile Stocks '!E82)</f>
        <v>5.3937839187161357E-2</v>
      </c>
      <c r="I84">
        <f>LN('Data of High Volatile Stocks '!F83/'Data of High Volatile Stocks '!F82)</f>
        <v>1.8275972190240858E-3</v>
      </c>
      <c r="J84">
        <f>LN('Data of High Volatile Stocks '!G83/'Data of High Volatile Stocks '!G82)</f>
        <v>-7.0499207392188748E-3</v>
      </c>
      <c r="K84">
        <f>LN('Data of High Volatile Stocks '!H83/'Data of High Volatile Stocks '!H82)</f>
        <v>6.2138316023377911E-3</v>
      </c>
      <c r="N84">
        <f t="shared" si="8"/>
        <v>-2.3536226943926052E-2</v>
      </c>
      <c r="O84">
        <f t="shared" si="9"/>
        <v>4.721407732553232E-3</v>
      </c>
      <c r="P84">
        <f t="shared" si="10"/>
        <v>-4.5825756109261519E-2</v>
      </c>
      <c r="Q84">
        <f t="shared" si="11"/>
        <v>4.9779085427315961E-2</v>
      </c>
      <c r="R84">
        <f t="shared" si="12"/>
        <v>-1.0449754458416992E-2</v>
      </c>
      <c r="S84">
        <f t="shared" si="13"/>
        <v>-3.9788540908926168E-3</v>
      </c>
      <c r="T84">
        <f t="shared" si="14"/>
        <v>9.7415329267833434E-3</v>
      </c>
    </row>
    <row r="85" spans="5:20" x14ac:dyDescent="0.3">
      <c r="E85">
        <f>LN('Data of High Volatile Stocks '!B84/'Data of High Volatile Stocks '!B83)</f>
        <v>-0.17637381661196858</v>
      </c>
      <c r="F85">
        <f>LN('Data of High Volatile Stocks '!C84/'Data of High Volatile Stocks '!C83)</f>
        <v>3.067124597048786E-2</v>
      </c>
      <c r="G85">
        <f>LN('Data of High Volatile Stocks '!D84/'Data of High Volatile Stocks '!D83)</f>
        <v>-6.1989369363899961E-2</v>
      </c>
      <c r="H85">
        <f>LN('Data of High Volatile Stocks '!E84/'Data of High Volatile Stocks '!E83)</f>
        <v>1.9084148446900207E-2</v>
      </c>
      <c r="I85">
        <f>LN('Data of High Volatile Stocks '!F84/'Data of High Volatile Stocks '!F83)</f>
        <v>8.065116525239345E-2</v>
      </c>
      <c r="J85">
        <f>LN('Data of High Volatile Stocks '!G84/'Data of High Volatile Stocks '!G83)</f>
        <v>0.19818151467733711</v>
      </c>
      <c r="K85">
        <f>LN('Data of High Volatile Stocks '!H84/'Data of High Volatile Stocks '!H83)</f>
        <v>2.8452408500087432E-2</v>
      </c>
      <c r="N85">
        <f t="shared" si="8"/>
        <v>-0.16823493507613838</v>
      </c>
      <c r="O85">
        <f t="shared" si="9"/>
        <v>2.5402560627954908E-2</v>
      </c>
      <c r="P85">
        <f t="shared" si="10"/>
        <v>-6.4243492735140406E-2</v>
      </c>
      <c r="Q85">
        <f t="shared" si="11"/>
        <v>1.4925394687054814E-2</v>
      </c>
      <c r="R85">
        <f t="shared" si="12"/>
        <v>6.8373813574952369E-2</v>
      </c>
      <c r="S85">
        <f t="shared" si="13"/>
        <v>0.20125258132566337</v>
      </c>
      <c r="T85">
        <f t="shared" si="14"/>
        <v>3.1980109824532983E-2</v>
      </c>
    </row>
    <row r="86" spans="5:20" x14ac:dyDescent="0.3">
      <c r="E86">
        <f>LN('Data of High Volatile Stocks '!B85/'Data of High Volatile Stocks '!B84)</f>
        <v>6.5329210416230953E-3</v>
      </c>
      <c r="F86">
        <f>LN('Data of High Volatile Stocks '!C85/'Data of High Volatile Stocks '!C84)</f>
        <v>-3.3391974945663941E-2</v>
      </c>
      <c r="G86">
        <f>LN('Data of High Volatile Stocks '!D85/'Data of High Volatile Stocks '!D84)</f>
        <v>-8.1882375467868432E-2</v>
      </c>
      <c r="H86">
        <f>LN('Data of High Volatile Stocks '!E85/'Data of High Volatile Stocks '!E84)</f>
        <v>-6.3016345516740319E-2</v>
      </c>
      <c r="I86">
        <f>LN('Data of High Volatile Stocks '!F85/'Data of High Volatile Stocks '!F84)</f>
        <v>2.1661496781179467E-2</v>
      </c>
      <c r="J86">
        <f>LN('Data of High Volatile Stocks '!G85/'Data of High Volatile Stocks '!G84)</f>
        <v>-3.705811630344058E-2</v>
      </c>
      <c r="K86">
        <f>LN('Data of High Volatile Stocks '!H85/'Data of High Volatile Stocks '!H84)</f>
        <v>-5.6579039547959675E-2</v>
      </c>
      <c r="N86">
        <f t="shared" si="8"/>
        <v>1.4671802577453291E-2</v>
      </c>
      <c r="O86">
        <f t="shared" si="9"/>
        <v>-3.8660660288196896E-2</v>
      </c>
      <c r="P86">
        <f t="shared" si="10"/>
        <v>-8.4136498839108884E-2</v>
      </c>
      <c r="Q86">
        <f t="shared" si="11"/>
        <v>-6.7175099276585715E-2</v>
      </c>
      <c r="R86">
        <f t="shared" si="12"/>
        <v>9.3841451037383894E-3</v>
      </c>
      <c r="S86">
        <f t="shared" si="13"/>
        <v>-3.3987049655114322E-2</v>
      </c>
      <c r="T86">
        <f t="shared" si="14"/>
        <v>-5.305133822351412E-2</v>
      </c>
    </row>
    <row r="87" spans="5:20" x14ac:dyDescent="0.3">
      <c r="E87">
        <f>LN('Data of High Volatile Stocks '!B86/'Data of High Volatile Stocks '!B85)</f>
        <v>-6.932515259982773E-2</v>
      </c>
      <c r="F87">
        <f>LN('Data of High Volatile Stocks '!C86/'Data of High Volatile Stocks '!C85)</f>
        <v>-1.5198980275414494E-2</v>
      </c>
      <c r="G87">
        <f>LN('Data of High Volatile Stocks '!D86/'Data of High Volatile Stocks '!D85)</f>
        <v>-7.4892399980316382E-2</v>
      </c>
      <c r="H87">
        <f>LN('Data of High Volatile Stocks '!E86/'Data of High Volatile Stocks '!E85)</f>
        <v>-3.3520177962962409E-2</v>
      </c>
      <c r="I87">
        <f>LN('Data of High Volatile Stocks '!F86/'Data of High Volatile Stocks '!F85)</f>
        <v>-0.16640494475072529</v>
      </c>
      <c r="J87">
        <f>LN('Data of High Volatile Stocks '!G86/'Data of High Volatile Stocks '!G85)</f>
        <v>-8.5675216830398498E-2</v>
      </c>
      <c r="K87">
        <f>LN('Data of High Volatile Stocks '!H86/'Data of High Volatile Stocks '!H85)</f>
        <v>-3.6271114415502938E-2</v>
      </c>
      <c r="N87">
        <f t="shared" si="8"/>
        <v>-6.118627106399753E-2</v>
      </c>
      <c r="O87">
        <f t="shared" si="9"/>
        <v>-2.0467665617947446E-2</v>
      </c>
      <c r="P87">
        <f t="shared" si="10"/>
        <v>-7.7146523351556834E-2</v>
      </c>
      <c r="Q87">
        <f t="shared" si="11"/>
        <v>-3.7678931722807806E-2</v>
      </c>
      <c r="R87">
        <f t="shared" si="12"/>
        <v>-0.17868229642816635</v>
      </c>
      <c r="S87">
        <f t="shared" si="13"/>
        <v>-8.2604150182072247E-2</v>
      </c>
      <c r="T87">
        <f t="shared" si="14"/>
        <v>-3.2743413091057383E-2</v>
      </c>
    </row>
    <row r="88" spans="5:20" x14ac:dyDescent="0.3">
      <c r="E88">
        <f>LN('Data of High Volatile Stocks '!B87/'Data of High Volatile Stocks '!B86)</f>
        <v>-8.8553397341445059E-2</v>
      </c>
      <c r="F88">
        <f>LN('Data of High Volatile Stocks '!C87/'Data of High Volatile Stocks '!C86)</f>
        <v>-9.6265403427975328E-3</v>
      </c>
      <c r="G88">
        <f>LN('Data of High Volatile Stocks '!D87/'Data of High Volatile Stocks '!D86)</f>
        <v>-0.10151380422926422</v>
      </c>
      <c r="H88">
        <f>LN('Data of High Volatile Stocks '!E87/'Data of High Volatile Stocks '!E86)</f>
        <v>2.2172854070136985E-2</v>
      </c>
      <c r="I88">
        <f>LN('Data of High Volatile Stocks '!F87/'Data of High Volatile Stocks '!F86)</f>
        <v>-6.7788442750069441E-2</v>
      </c>
      <c r="J88">
        <f>LN('Data of High Volatile Stocks '!G87/'Data of High Volatile Stocks '!G86)</f>
        <v>5.0454087851321567E-4</v>
      </c>
      <c r="K88">
        <f>LN('Data of High Volatile Stocks '!H87/'Data of High Volatile Stocks '!H86)</f>
        <v>-4.6655212930430375E-3</v>
      </c>
      <c r="N88">
        <f t="shared" si="8"/>
        <v>-8.0414515805614858E-2</v>
      </c>
      <c r="O88">
        <f t="shared" si="9"/>
        <v>-1.4895225685330487E-2</v>
      </c>
      <c r="P88">
        <f t="shared" si="10"/>
        <v>-0.10376792760050467</v>
      </c>
      <c r="Q88">
        <f t="shared" si="11"/>
        <v>1.8014100310291593E-2</v>
      </c>
      <c r="R88">
        <f t="shared" si="12"/>
        <v>-8.0065794427510523E-2</v>
      </c>
      <c r="S88">
        <f t="shared" si="13"/>
        <v>3.5756075268394733E-3</v>
      </c>
      <c r="T88">
        <f t="shared" si="14"/>
        <v>-1.1378199685974856E-3</v>
      </c>
    </row>
    <row r="89" spans="5:20" x14ac:dyDescent="0.3">
      <c r="E89">
        <f>LN('Data of High Volatile Stocks '!B88/'Data of High Volatile Stocks '!B87)</f>
        <v>7.5963468919347764E-3</v>
      </c>
      <c r="F89">
        <f>LN('Data of High Volatile Stocks '!C88/'Data of High Volatile Stocks '!C87)</f>
        <v>1.8760250583106229E-2</v>
      </c>
      <c r="G89">
        <f>LN('Data of High Volatile Stocks '!D88/'Data of High Volatile Stocks '!D87)</f>
        <v>1.4513649135798371E-2</v>
      </c>
      <c r="H89">
        <f>LN('Data of High Volatile Stocks '!E88/'Data of High Volatile Stocks '!E87)</f>
        <v>-1.6469633409939403E-2</v>
      </c>
      <c r="I89">
        <f>LN('Data of High Volatile Stocks '!F88/'Data of High Volatile Stocks '!F87)</f>
        <v>8.9872710002364582E-3</v>
      </c>
      <c r="J89">
        <f>LN('Data of High Volatile Stocks '!G88/'Data of High Volatile Stocks '!G87)</f>
        <v>-3.0082268355914016E-2</v>
      </c>
      <c r="K89">
        <f>LN('Data of High Volatile Stocks '!H88/'Data of High Volatile Stocks '!H87)</f>
        <v>2.1047123664929088E-2</v>
      </c>
      <c r="N89">
        <f t="shared" si="8"/>
        <v>1.5735228427764973E-2</v>
      </c>
      <c r="O89">
        <f t="shared" si="9"/>
        <v>1.3491565240573275E-2</v>
      </c>
      <c r="P89">
        <f t="shared" si="10"/>
        <v>1.2259525764557924E-2</v>
      </c>
      <c r="Q89">
        <f t="shared" si="11"/>
        <v>-2.0628387169784795E-2</v>
      </c>
      <c r="R89">
        <f t="shared" si="12"/>
        <v>-3.2900806772046196E-3</v>
      </c>
      <c r="S89">
        <f t="shared" si="13"/>
        <v>-2.7011201707587758E-2</v>
      </c>
      <c r="T89">
        <f t="shared" si="14"/>
        <v>2.457482498937464E-2</v>
      </c>
    </row>
    <row r="90" spans="5:20" x14ac:dyDescent="0.3">
      <c r="E90">
        <f>LN('Data of High Volatile Stocks '!B89/'Data of High Volatile Stocks '!B88)</f>
        <v>0.12102103093015885</v>
      </c>
      <c r="F90">
        <f>LN('Data of High Volatile Stocks '!C89/'Data of High Volatile Stocks '!C88)</f>
        <v>7.5000550212126676E-2</v>
      </c>
      <c r="G90">
        <f>LN('Data of High Volatile Stocks '!D89/'Data of High Volatile Stocks '!D88)</f>
        <v>4.9008164593472528E-2</v>
      </c>
      <c r="H90">
        <f>LN('Data of High Volatile Stocks '!E89/'Data of High Volatile Stocks '!E88)</f>
        <v>6.7718174054950855E-2</v>
      </c>
      <c r="I90">
        <f>LN('Data of High Volatile Stocks '!F89/'Data of High Volatile Stocks '!F88)</f>
        <v>4.3763294385292265E-2</v>
      </c>
      <c r="J90">
        <f>LN('Data of High Volatile Stocks '!G89/'Data of High Volatile Stocks '!G88)</f>
        <v>6.0142909664532979E-2</v>
      </c>
      <c r="K90">
        <f>LN('Data of High Volatile Stocks '!H89/'Data of High Volatile Stocks '!H88)</f>
        <v>5.7683468818702843E-2</v>
      </c>
      <c r="N90">
        <f t="shared" si="8"/>
        <v>0.12915991246598904</v>
      </c>
      <c r="O90">
        <f t="shared" si="9"/>
        <v>6.9731864869593721E-2</v>
      </c>
      <c r="P90">
        <f t="shared" si="10"/>
        <v>4.6754041222232083E-2</v>
      </c>
      <c r="Q90">
        <f t="shared" si="11"/>
        <v>6.3559420295105459E-2</v>
      </c>
      <c r="R90">
        <f t="shared" si="12"/>
        <v>3.1485942707851183E-2</v>
      </c>
      <c r="S90">
        <f t="shared" si="13"/>
        <v>6.321397631285923E-2</v>
      </c>
      <c r="T90">
        <f t="shared" si="14"/>
        <v>6.1211170143148398E-2</v>
      </c>
    </row>
    <row r="91" spans="5:20" x14ac:dyDescent="0.3">
      <c r="E91">
        <f>LN('Data of High Volatile Stocks '!B90/'Data of High Volatile Stocks '!B89)</f>
        <v>-0.10599928923432095</v>
      </c>
      <c r="F91">
        <f>LN('Data of High Volatile Stocks '!C90/'Data of High Volatile Stocks '!C89)</f>
        <v>4.1667633269654503E-2</v>
      </c>
      <c r="G91">
        <f>LN('Data of High Volatile Stocks '!D90/'Data of High Volatile Stocks '!D89)</f>
        <v>5.1235593017768331E-2</v>
      </c>
      <c r="H91">
        <f>LN('Data of High Volatile Stocks '!E90/'Data of High Volatile Stocks '!E89)</f>
        <v>4.2426877387902184E-3</v>
      </c>
      <c r="I91">
        <f>LN('Data of High Volatile Stocks '!F90/'Data of High Volatile Stocks '!F89)</f>
        <v>-3.2992441672192608E-3</v>
      </c>
      <c r="J91">
        <f>LN('Data of High Volatile Stocks '!G90/'Data of High Volatile Stocks '!G89)</f>
        <v>2.1188515913223911E-2</v>
      </c>
      <c r="K91">
        <f>LN('Data of High Volatile Stocks '!H90/'Data of High Volatile Stocks '!H89)</f>
        <v>4.7294565830150173E-3</v>
      </c>
      <c r="N91">
        <f t="shared" si="8"/>
        <v>-9.7860407698490748E-2</v>
      </c>
      <c r="O91">
        <f t="shared" si="9"/>
        <v>3.6398947927121547E-2</v>
      </c>
      <c r="P91">
        <f t="shared" si="10"/>
        <v>4.8981469646527886E-2</v>
      </c>
      <c r="Q91">
        <f t="shared" si="11"/>
        <v>8.3933978944824954E-5</v>
      </c>
      <c r="R91">
        <f t="shared" si="12"/>
        <v>-1.5576595844660339E-2</v>
      </c>
      <c r="S91">
        <f t="shared" si="13"/>
        <v>2.4259582561550169E-2</v>
      </c>
      <c r="T91">
        <f t="shared" si="14"/>
        <v>8.2571579074605696E-3</v>
      </c>
    </row>
    <row r="92" spans="5:20" x14ac:dyDescent="0.3">
      <c r="E92">
        <f>LN('Data of High Volatile Stocks '!B91/'Data of High Volatile Stocks '!B90)</f>
        <v>-2.47991145341327E-2</v>
      </c>
      <c r="F92">
        <f>LN('Data of High Volatile Stocks '!C91/'Data of High Volatile Stocks '!C90)</f>
        <v>-1.5830515877681729E-2</v>
      </c>
      <c r="G92">
        <f>LN('Data of High Volatile Stocks '!D91/'Data of High Volatile Stocks '!D90)</f>
        <v>7.3063812310228296E-4</v>
      </c>
      <c r="H92">
        <f>LN('Data of High Volatile Stocks '!E91/'Data of High Volatile Stocks '!E90)</f>
        <v>5.9096837252280007E-3</v>
      </c>
      <c r="I92">
        <f>LN('Data of High Volatile Stocks '!F91/'Data of High Volatile Stocks '!F90)</f>
        <v>1.3132165083458252E-2</v>
      </c>
      <c r="J92">
        <f>LN('Data of High Volatile Stocks '!G91/'Data of High Volatile Stocks '!G90)</f>
        <v>-9.0338731433227473E-2</v>
      </c>
      <c r="K92">
        <f>LN('Data of High Volatile Stocks '!H91/'Data of High Volatile Stocks '!H90)</f>
        <v>-1.3271131424520688E-2</v>
      </c>
      <c r="N92">
        <f t="shared" si="8"/>
        <v>-1.6660232998302504E-2</v>
      </c>
      <c r="O92">
        <f t="shared" si="9"/>
        <v>-2.1099201220214685E-2</v>
      </c>
      <c r="P92">
        <f t="shared" si="10"/>
        <v>-1.5234852481381636E-3</v>
      </c>
      <c r="Q92">
        <f t="shared" si="11"/>
        <v>1.7509299653826072E-3</v>
      </c>
      <c r="R92">
        <f t="shared" si="12"/>
        <v>8.5481340601717415E-4</v>
      </c>
      <c r="S92">
        <f t="shared" si="13"/>
        <v>-8.7267664784901222E-2</v>
      </c>
      <c r="T92">
        <f t="shared" si="14"/>
        <v>-9.7434301000751365E-3</v>
      </c>
    </row>
    <row r="93" spans="5:20" x14ac:dyDescent="0.3">
      <c r="E93">
        <f>LN('Data of High Volatile Stocks '!B92/'Data of High Volatile Stocks '!B91)</f>
        <v>-5.2673239408738269E-2</v>
      </c>
      <c r="F93">
        <f>LN('Data of High Volatile Stocks '!C92/'Data of High Volatile Stocks '!C91)</f>
        <v>-1.7560356121488568E-2</v>
      </c>
      <c r="G93">
        <f>LN('Data of High Volatile Stocks '!D92/'Data of High Volatile Stocks '!D91)</f>
        <v>-0.14643050648195322</v>
      </c>
      <c r="H93">
        <f>LN('Data of High Volatile Stocks '!E92/'Data of High Volatile Stocks '!E91)</f>
        <v>-6.7686005750378669E-2</v>
      </c>
      <c r="I93">
        <f>LN('Data of High Volatile Stocks '!F92/'Data of High Volatile Stocks '!F91)</f>
        <v>-8.1511496187286675E-2</v>
      </c>
      <c r="J93">
        <f>LN('Data of High Volatile Stocks '!G92/'Data of High Volatile Stocks '!G91)</f>
        <v>-9.6136642394904145E-2</v>
      </c>
      <c r="K93">
        <f>LN('Data of High Volatile Stocks '!H92/'Data of High Volatile Stocks '!H91)</f>
        <v>-3.2297748720762749E-2</v>
      </c>
      <c r="N93">
        <f t="shared" si="8"/>
        <v>-4.4534357872908076E-2</v>
      </c>
      <c r="O93">
        <f t="shared" si="9"/>
        <v>-2.2829041464021524E-2</v>
      </c>
      <c r="P93">
        <f t="shared" si="10"/>
        <v>-0.14868462985319367</v>
      </c>
      <c r="Q93">
        <f t="shared" si="11"/>
        <v>-7.1844759510224065E-2</v>
      </c>
      <c r="R93">
        <f t="shared" si="12"/>
        <v>-9.3788847864727756E-2</v>
      </c>
      <c r="S93">
        <f t="shared" si="13"/>
        <v>-9.3065575746577894E-2</v>
      </c>
      <c r="T93">
        <f t="shared" si="14"/>
        <v>-2.8770047396317198E-2</v>
      </c>
    </row>
    <row r="94" spans="5:20" x14ac:dyDescent="0.3">
      <c r="E94">
        <f>LN('Data of High Volatile Stocks '!B93/'Data of High Volatile Stocks '!B92)</f>
        <v>2.5001302205417401E-2</v>
      </c>
      <c r="F94">
        <f>LN('Data of High Volatile Stocks '!C93/'Data of High Volatile Stocks '!C92)</f>
        <v>2.9157998358595401E-2</v>
      </c>
      <c r="G94">
        <f>LN('Data of High Volatile Stocks '!D93/'Data of High Volatile Stocks '!D92)</f>
        <v>5.6437873716984166E-2</v>
      </c>
      <c r="H94">
        <f>LN('Data of High Volatile Stocks '!E93/'Data of High Volatile Stocks '!E92)</f>
        <v>3.4959312247821686E-2</v>
      </c>
      <c r="I94">
        <f>LN('Data of High Volatile Stocks '!F93/'Data of High Volatile Stocks '!F92)</f>
        <v>0.1242885255433452</v>
      </c>
      <c r="J94">
        <f>LN('Data of High Volatile Stocks '!G93/'Data of High Volatile Stocks '!G92)</f>
        <v>1.8876579372867221E-2</v>
      </c>
      <c r="K94">
        <f>LN('Data of High Volatile Stocks '!H93/'Data of High Volatile Stocks '!H92)</f>
        <v>1.5707506460565901E-2</v>
      </c>
      <c r="N94">
        <f t="shared" si="8"/>
        <v>3.3140183741247595E-2</v>
      </c>
      <c r="O94">
        <f t="shared" si="9"/>
        <v>2.3889313016062445E-2</v>
      </c>
      <c r="P94">
        <f t="shared" si="10"/>
        <v>5.4183750345743721E-2</v>
      </c>
      <c r="Q94">
        <f t="shared" si="11"/>
        <v>3.0800558487976294E-2</v>
      </c>
      <c r="R94">
        <f t="shared" si="12"/>
        <v>0.11201117386590412</v>
      </c>
      <c r="S94">
        <f t="shared" si="13"/>
        <v>2.1947646021193479E-2</v>
      </c>
      <c r="T94">
        <f t="shared" si="14"/>
        <v>1.9235207785011452E-2</v>
      </c>
    </row>
    <row r="95" spans="5:20" x14ac:dyDescent="0.3">
      <c r="E95">
        <f>LN('Data of High Volatile Stocks '!B94/'Data of High Volatile Stocks '!B93)</f>
        <v>-3.1929736387381329E-2</v>
      </c>
      <c r="F95">
        <f>LN('Data of High Volatile Stocks '!C94/'Data of High Volatile Stocks '!C93)</f>
        <v>5.4130108023830753E-2</v>
      </c>
      <c r="G95">
        <f>LN('Data of High Volatile Stocks '!D94/'Data of High Volatile Stocks '!D93)</f>
        <v>4.4034729063098466E-2</v>
      </c>
      <c r="H95">
        <f>LN('Data of High Volatile Stocks '!E94/'Data of High Volatile Stocks '!E93)</f>
        <v>-4.5766670274118666E-3</v>
      </c>
      <c r="I95">
        <f>LN('Data of High Volatile Stocks '!F94/'Data of High Volatile Stocks '!F93)</f>
        <v>3.7416201385422232E-2</v>
      </c>
      <c r="J95">
        <f>LN('Data of High Volatile Stocks '!G94/'Data of High Volatile Stocks '!G93)</f>
        <v>1.7413724679329456E-2</v>
      </c>
      <c r="K95">
        <f>LN('Data of High Volatile Stocks '!H94/'Data of High Volatile Stocks '!H93)</f>
        <v>-6.5892979132295595E-2</v>
      </c>
      <c r="N95">
        <f t="shared" si="8"/>
        <v>-2.3790854851551132E-2</v>
      </c>
      <c r="O95">
        <f t="shared" si="9"/>
        <v>4.8861422681297798E-2</v>
      </c>
      <c r="P95">
        <f t="shared" si="10"/>
        <v>4.1780605691858021E-2</v>
      </c>
      <c r="Q95">
        <f t="shared" si="11"/>
        <v>-8.7354207872572601E-3</v>
      </c>
      <c r="R95">
        <f t="shared" si="12"/>
        <v>2.5138849707981154E-2</v>
      </c>
      <c r="S95">
        <f t="shared" si="13"/>
        <v>2.0484791327655714E-2</v>
      </c>
      <c r="T95">
        <f t="shared" si="14"/>
        <v>-6.2365277807850041E-2</v>
      </c>
    </row>
    <row r="96" spans="5:20" x14ac:dyDescent="0.3">
      <c r="E96">
        <f>LN('Data of High Volatile Stocks '!B95/'Data of High Volatile Stocks '!B94)</f>
        <v>5.7770235769220796E-3</v>
      </c>
      <c r="F96">
        <f>LN('Data of High Volatile Stocks '!C95/'Data of High Volatile Stocks '!C94)</f>
        <v>4.9843378523162257E-2</v>
      </c>
      <c r="G96">
        <f>LN('Data of High Volatile Stocks '!D95/'Data of High Volatile Stocks '!D94)</f>
        <v>-6.6256369317887254E-2</v>
      </c>
      <c r="H96">
        <f>LN('Data of High Volatile Stocks '!E95/'Data of High Volatile Stocks '!E94)</f>
        <v>-5.1546252271412053E-2</v>
      </c>
      <c r="I96">
        <f>LN('Data of High Volatile Stocks '!F95/'Data of High Volatile Stocks '!F94)</f>
        <v>4.416378560700069E-2</v>
      </c>
      <c r="J96">
        <f>LN('Data of High Volatile Stocks '!G95/'Data of High Volatile Stocks '!G94)</f>
        <v>-8.3587430044916006E-2</v>
      </c>
      <c r="K96">
        <f>LN('Data of High Volatile Stocks '!H95/'Data of High Volatile Stocks '!H94)</f>
        <v>-4.2586174491040921E-2</v>
      </c>
      <c r="N96">
        <f t="shared" si="8"/>
        <v>1.3915905112752276E-2</v>
      </c>
      <c r="O96">
        <f t="shared" si="9"/>
        <v>4.4574693180629302E-2</v>
      </c>
      <c r="P96">
        <f t="shared" si="10"/>
        <v>-6.8510492689127706E-2</v>
      </c>
      <c r="Q96">
        <f t="shared" si="11"/>
        <v>-5.5705006031257449E-2</v>
      </c>
      <c r="R96">
        <f t="shared" si="12"/>
        <v>3.1886433929559616E-2</v>
      </c>
      <c r="S96">
        <f t="shared" si="13"/>
        <v>-8.0516363396589755E-2</v>
      </c>
      <c r="T96">
        <f t="shared" si="14"/>
        <v>-3.9058473166595366E-2</v>
      </c>
    </row>
    <row r="97" spans="5:20" x14ac:dyDescent="0.3">
      <c r="E97">
        <f>LN('Data of High Volatile Stocks '!B96/'Data of High Volatile Stocks '!B95)</f>
        <v>8.3934451485150482E-2</v>
      </c>
      <c r="F97">
        <f>LN('Data of High Volatile Stocks '!C96/'Data of High Volatile Stocks '!C95)</f>
        <v>-3.81960390864702E-2</v>
      </c>
      <c r="G97">
        <f>LN('Data of High Volatile Stocks '!D96/'Data of High Volatile Stocks '!D95)</f>
        <v>1.6611902022918641E-2</v>
      </c>
      <c r="H97">
        <f>LN('Data of High Volatile Stocks '!E96/'Data of High Volatile Stocks '!E95)</f>
        <v>-1.2031612052399372E-2</v>
      </c>
      <c r="I97">
        <f>LN('Data of High Volatile Stocks '!F96/'Data of High Volatile Stocks '!F95)</f>
        <v>-7.4728512043321052E-2</v>
      </c>
      <c r="J97">
        <f>LN('Data of High Volatile Stocks '!G96/'Data of High Volatile Stocks '!G95)</f>
        <v>-9.9709125085208183E-2</v>
      </c>
      <c r="K97">
        <f>LN('Data of High Volatile Stocks '!H96/'Data of High Volatile Stocks '!H95)</f>
        <v>-1.6712585678917712E-2</v>
      </c>
      <c r="N97">
        <f t="shared" si="8"/>
        <v>9.2073333020980683E-2</v>
      </c>
      <c r="O97">
        <f t="shared" si="9"/>
        <v>-4.3464724429003156E-2</v>
      </c>
      <c r="P97">
        <f t="shared" si="10"/>
        <v>1.4357778651678194E-2</v>
      </c>
      <c r="Q97">
        <f t="shared" si="11"/>
        <v>-1.6190365812244766E-2</v>
      </c>
      <c r="R97">
        <f t="shared" si="12"/>
        <v>-8.7005863720762133E-2</v>
      </c>
      <c r="S97">
        <f t="shared" si="13"/>
        <v>-9.6638058436881932E-2</v>
      </c>
      <c r="T97">
        <f t="shared" si="14"/>
        <v>-1.3184884354472161E-2</v>
      </c>
    </row>
    <row r="98" spans="5:20" x14ac:dyDescent="0.3">
      <c r="E98">
        <f>LN('Data of High Volatile Stocks '!B97/'Data of High Volatile Stocks '!B96)</f>
        <v>-1.4941579998198914E-2</v>
      </c>
      <c r="F98">
        <f>LN('Data of High Volatile Stocks '!C97/'Data of High Volatile Stocks '!C96)</f>
        <v>-3.3793533651997471E-2</v>
      </c>
      <c r="G98">
        <f>LN('Data of High Volatile Stocks '!D97/'Data of High Volatile Stocks '!D96)</f>
        <v>-5.3367998569120424E-2</v>
      </c>
      <c r="H98">
        <f>LN('Data of High Volatile Stocks '!E97/'Data of High Volatile Stocks '!E96)</f>
        <v>-4.110330348180067E-2</v>
      </c>
      <c r="I98">
        <f>LN('Data of High Volatile Stocks '!F97/'Data of High Volatile Stocks '!F96)</f>
        <v>-6.6734184550478845E-2</v>
      </c>
      <c r="J98">
        <f>LN('Data of High Volatile Stocks '!G97/'Data of High Volatile Stocks '!G96)</f>
        <v>-5.9423420470800646E-2</v>
      </c>
      <c r="K98">
        <f>LN('Data of High Volatile Stocks '!H97/'Data of High Volatile Stocks '!H96)</f>
        <v>-4.000533461369913E-2</v>
      </c>
      <c r="N98">
        <f t="shared" si="8"/>
        <v>-6.8026984623687173E-3</v>
      </c>
      <c r="O98">
        <f t="shared" si="9"/>
        <v>-3.9062218994530426E-2</v>
      </c>
      <c r="P98">
        <f t="shared" si="10"/>
        <v>-5.5622121940360869E-2</v>
      </c>
      <c r="Q98">
        <f t="shared" si="11"/>
        <v>-4.5262057241646066E-2</v>
      </c>
      <c r="R98">
        <f t="shared" si="12"/>
        <v>-7.9011536227919926E-2</v>
      </c>
      <c r="S98">
        <f t="shared" si="13"/>
        <v>-5.6352353822474388E-2</v>
      </c>
      <c r="T98">
        <f t="shared" si="14"/>
        <v>-3.6477633289253575E-2</v>
      </c>
    </row>
    <row r="99" spans="5:20" x14ac:dyDescent="0.3">
      <c r="E99">
        <f>LN('Data of High Volatile Stocks '!B98/'Data of High Volatile Stocks '!B97)</f>
        <v>0.14209675548344561</v>
      </c>
      <c r="F99">
        <f>LN('Data of High Volatile Stocks '!C98/'Data of High Volatile Stocks '!C97)</f>
        <v>8.5467154005853849E-2</v>
      </c>
      <c r="G99">
        <f>LN('Data of High Volatile Stocks '!D98/'Data of High Volatile Stocks '!D97)</f>
        <v>0.19244253157659924</v>
      </c>
      <c r="H99">
        <f>LN('Data of High Volatile Stocks '!E98/'Data of High Volatile Stocks '!E97)</f>
        <v>0.14681292020793077</v>
      </c>
      <c r="I99">
        <f>LN('Data of High Volatile Stocks '!F98/'Data of High Volatile Stocks '!F97)</f>
        <v>0.22592666887501417</v>
      </c>
      <c r="J99">
        <f>LN('Data of High Volatile Stocks '!G98/'Data of High Volatile Stocks '!G97)</f>
        <v>0.40812350577477435</v>
      </c>
      <c r="K99">
        <f>LN('Data of High Volatile Stocks '!H98/'Data of High Volatile Stocks '!H97)</f>
        <v>6.0535325914561462E-2</v>
      </c>
      <c r="N99">
        <f t="shared" si="8"/>
        <v>0.15023563701927581</v>
      </c>
      <c r="O99">
        <f t="shared" si="9"/>
        <v>8.0198468663320893E-2</v>
      </c>
      <c r="P99">
        <f t="shared" si="10"/>
        <v>0.19018840820535879</v>
      </c>
      <c r="Q99">
        <f t="shared" si="11"/>
        <v>0.14265416644808537</v>
      </c>
      <c r="R99">
        <f t="shared" si="12"/>
        <v>0.2136493171975731</v>
      </c>
      <c r="S99">
        <f t="shared" si="13"/>
        <v>0.41119457242310059</v>
      </c>
      <c r="T99">
        <f t="shared" si="14"/>
        <v>6.4063027239007017E-2</v>
      </c>
    </row>
    <row r="100" spans="5:20" x14ac:dyDescent="0.3">
      <c r="E100">
        <f>LN('Data of High Volatile Stocks '!B99/'Data of High Volatile Stocks '!B98)</f>
        <v>5.4459917132380839E-2</v>
      </c>
      <c r="F100">
        <f>LN('Data of High Volatile Stocks '!C99/'Data of High Volatile Stocks '!C98)</f>
        <v>4.1977298000834912E-2</v>
      </c>
      <c r="G100">
        <f>LN('Data of High Volatile Stocks '!D99/'Data of High Volatile Stocks '!D98)</f>
        <v>7.9719901408291785E-2</v>
      </c>
      <c r="H100">
        <f>LN('Data of High Volatile Stocks '!E99/'Data of High Volatile Stocks '!E98)</f>
        <v>7.7154933526459468E-2</v>
      </c>
      <c r="I100">
        <f>LN('Data of High Volatile Stocks '!F99/'Data of High Volatile Stocks '!F98)</f>
        <v>4.0461950887549572E-2</v>
      </c>
      <c r="J100">
        <f>LN('Data of High Volatile Stocks '!G99/'Data of High Volatile Stocks '!G98)</f>
        <v>-4.14367360408135E-2</v>
      </c>
      <c r="K100">
        <f>LN('Data of High Volatile Stocks '!H99/'Data of High Volatile Stocks '!H98)</f>
        <v>-1.4874324613603454E-2</v>
      </c>
      <c r="N100">
        <f t="shared" si="8"/>
        <v>6.2598798668211039E-2</v>
      </c>
      <c r="O100">
        <f t="shared" si="9"/>
        <v>3.6708612658301956E-2</v>
      </c>
      <c r="P100">
        <f t="shared" si="10"/>
        <v>7.7465778037051333E-2</v>
      </c>
      <c r="Q100">
        <f t="shared" si="11"/>
        <v>7.2996179766614072E-2</v>
      </c>
      <c r="R100">
        <f t="shared" si="12"/>
        <v>2.8184599210108494E-2</v>
      </c>
      <c r="S100">
        <f t="shared" si="13"/>
        <v>-3.8365669392487242E-2</v>
      </c>
      <c r="T100">
        <f t="shared" si="14"/>
        <v>-1.1346623289157903E-2</v>
      </c>
    </row>
    <row r="101" spans="5:20" x14ac:dyDescent="0.3">
      <c r="E101">
        <f>LN('Data of High Volatile Stocks '!B100/'Data of High Volatile Stocks '!B99)</f>
        <v>4.9126637927653503E-2</v>
      </c>
      <c r="F101">
        <f>LN('Data of High Volatile Stocks '!C100/'Data of High Volatile Stocks '!C99)</f>
        <v>5.3458438963551971E-2</v>
      </c>
      <c r="G101">
        <f>LN('Data of High Volatile Stocks '!D100/'Data of High Volatile Stocks '!D99)</f>
        <v>6.3885865242351583E-2</v>
      </c>
      <c r="H101">
        <f>LN('Data of High Volatile Stocks '!E100/'Data of High Volatile Stocks '!E99)</f>
        <v>5.3965177330066609E-2</v>
      </c>
      <c r="I101">
        <f>LN('Data of High Volatile Stocks '!F100/'Data of High Volatile Stocks '!F99)</f>
        <v>4.0842329849840431E-2</v>
      </c>
      <c r="J101">
        <f>LN('Data of High Volatile Stocks '!G100/'Data of High Volatile Stocks '!G99)</f>
        <v>0.13400785024802031</v>
      </c>
      <c r="K101">
        <f>LN('Data of High Volatile Stocks '!H100/'Data of High Volatile Stocks '!H99)</f>
        <v>3.2654668721118184E-2</v>
      </c>
      <c r="N101">
        <f t="shared" si="8"/>
        <v>5.7265519463483697E-2</v>
      </c>
      <c r="O101">
        <f t="shared" si="9"/>
        <v>4.8189753621019016E-2</v>
      </c>
      <c r="P101">
        <f t="shared" si="10"/>
        <v>6.1631741871111138E-2</v>
      </c>
      <c r="Q101">
        <f t="shared" si="11"/>
        <v>4.9806423570221213E-2</v>
      </c>
      <c r="R101">
        <f t="shared" si="12"/>
        <v>2.8564978172399353E-2</v>
      </c>
      <c r="S101">
        <f t="shared" si="13"/>
        <v>0.13707891689634658</v>
      </c>
      <c r="T101">
        <f t="shared" si="14"/>
        <v>3.6182370045563739E-2</v>
      </c>
    </row>
    <row r="102" spans="5:20" x14ac:dyDescent="0.3">
      <c r="E102">
        <f>LN('Data of High Volatile Stocks '!B101/'Data of High Volatile Stocks '!B100)</f>
        <v>5.1629654969261973E-2</v>
      </c>
      <c r="F102">
        <f>LN('Data of High Volatile Stocks '!C101/'Data of High Volatile Stocks '!C100)</f>
        <v>1.7091978024901908E-2</v>
      </c>
      <c r="G102">
        <f>LN('Data of High Volatile Stocks '!D101/'Data of High Volatile Stocks '!D100)</f>
        <v>0.15399201720855962</v>
      </c>
      <c r="H102">
        <f>LN('Data of High Volatile Stocks '!E101/'Data of High Volatile Stocks '!E100)</f>
        <v>1.6035329013292177E-2</v>
      </c>
      <c r="I102">
        <f>LN('Data of High Volatile Stocks '!F101/'Data of High Volatile Stocks '!F100)</f>
        <v>-6.5026683217072501E-2</v>
      </c>
      <c r="J102">
        <f>LN('Data of High Volatile Stocks '!G101/'Data of High Volatile Stocks '!G100)</f>
        <v>2.0862917425940718E-2</v>
      </c>
      <c r="K102">
        <f>LN('Data of High Volatile Stocks '!H101/'Data of High Volatile Stocks '!H100)</f>
        <v>6.3739042063961481E-3</v>
      </c>
      <c r="N102">
        <f t="shared" si="8"/>
        <v>5.9768536505092174E-2</v>
      </c>
      <c r="O102">
        <f t="shared" si="9"/>
        <v>1.1823292682368954E-2</v>
      </c>
      <c r="P102">
        <f t="shared" si="10"/>
        <v>0.15173789383731917</v>
      </c>
      <c r="Q102">
        <f t="shared" si="11"/>
        <v>1.1876575253446785E-2</v>
      </c>
      <c r="R102">
        <f t="shared" si="12"/>
        <v>-7.7304034894513582E-2</v>
      </c>
      <c r="S102">
        <f t="shared" si="13"/>
        <v>2.3933984074266976E-2</v>
      </c>
      <c r="T102">
        <f t="shared" si="14"/>
        <v>9.9016055308416995E-3</v>
      </c>
    </row>
    <row r="103" spans="5:20" x14ac:dyDescent="0.3">
      <c r="E103">
        <f>LN('Data of High Volatile Stocks '!B102/'Data of High Volatile Stocks '!B101)</f>
        <v>0.1216802947964743</v>
      </c>
      <c r="F103">
        <f>LN('Data of High Volatile Stocks '!C102/'Data of High Volatile Stocks '!C101)</f>
        <v>0.10946770616244107</v>
      </c>
      <c r="G103">
        <f>LN('Data of High Volatile Stocks '!D102/'Data of High Volatile Stocks '!D101)</f>
        <v>0.14643035898327184</v>
      </c>
      <c r="H103">
        <f>LN('Data of High Volatile Stocks '!E102/'Data of High Volatile Stocks '!E101)</f>
        <v>3.6038336778822323E-2</v>
      </c>
      <c r="I103">
        <f>LN('Data of High Volatile Stocks '!F102/'Data of High Volatile Stocks '!F101)</f>
        <v>5.4231681430172748E-2</v>
      </c>
      <c r="J103">
        <f>LN('Data of High Volatile Stocks '!G102/'Data of High Volatile Stocks '!G101)</f>
        <v>8.681823358004824E-2</v>
      </c>
      <c r="K103">
        <f>LN('Data of High Volatile Stocks '!H102/'Data of High Volatile Stocks '!H101)</f>
        <v>8.5499309240065616E-2</v>
      </c>
      <c r="N103">
        <f t="shared" si="8"/>
        <v>0.1298191763323045</v>
      </c>
      <c r="O103">
        <f t="shared" si="9"/>
        <v>0.10419902081990812</v>
      </c>
      <c r="P103">
        <f t="shared" si="10"/>
        <v>0.14417623561203138</v>
      </c>
      <c r="Q103">
        <f t="shared" si="11"/>
        <v>3.1879583018976927E-2</v>
      </c>
      <c r="R103">
        <f t="shared" si="12"/>
        <v>4.1954329752731667E-2</v>
      </c>
      <c r="S103">
        <f t="shared" si="13"/>
        <v>8.9889300228374491E-2</v>
      </c>
      <c r="T103">
        <f t="shared" si="14"/>
        <v>8.9027010564511164E-2</v>
      </c>
    </row>
    <row r="104" spans="5:20" x14ac:dyDescent="0.3">
      <c r="E104">
        <f>LN('Data of High Volatile Stocks '!B103/'Data of High Volatile Stocks '!B102)</f>
        <v>6.5024612311330776E-2</v>
      </c>
      <c r="F104">
        <f>LN('Data of High Volatile Stocks '!C103/'Data of High Volatile Stocks '!C102)</f>
        <v>3.1494709120388681E-2</v>
      </c>
      <c r="G104">
        <f>LN('Data of High Volatile Stocks '!D103/'Data of High Volatile Stocks '!D102)</f>
        <v>9.1797056459049092E-2</v>
      </c>
      <c r="H104">
        <f>LN('Data of High Volatile Stocks '!E103/'Data of High Volatile Stocks '!E102)</f>
        <v>7.3111087335962471E-2</v>
      </c>
      <c r="I104">
        <f>LN('Data of High Volatile Stocks '!F103/'Data of High Volatile Stocks '!F102)</f>
        <v>-0.13163031829734875</v>
      </c>
      <c r="J104">
        <f>LN('Data of High Volatile Stocks '!G103/'Data of High Volatile Stocks '!G102)</f>
        <v>-1.7399714394636823E-3</v>
      </c>
      <c r="K104">
        <f>LN('Data of High Volatile Stocks '!H103/'Data of High Volatile Stocks '!H102)</f>
        <v>3.8651480179322469E-2</v>
      </c>
      <c r="N104">
        <f t="shared" si="8"/>
        <v>7.3163493847160976E-2</v>
      </c>
      <c r="O104">
        <f t="shared" si="9"/>
        <v>2.6226023777855725E-2</v>
      </c>
      <c r="P104">
        <f t="shared" si="10"/>
        <v>8.954293308780864E-2</v>
      </c>
      <c r="Q104">
        <f t="shared" si="11"/>
        <v>6.8952333576117075E-2</v>
      </c>
      <c r="R104">
        <f t="shared" si="12"/>
        <v>-0.14390766997478982</v>
      </c>
      <c r="S104">
        <f t="shared" si="13"/>
        <v>1.3310952088625753E-3</v>
      </c>
      <c r="T104">
        <f t="shared" si="14"/>
        <v>4.2179181503768023E-2</v>
      </c>
    </row>
    <row r="105" spans="5:20" x14ac:dyDescent="0.3">
      <c r="E105">
        <f>LN('Data of High Volatile Stocks '!B104/'Data of High Volatile Stocks '!B103)</f>
        <v>0.11446408139831979</v>
      </c>
      <c r="F105">
        <f>LN('Data of High Volatile Stocks '!C104/'Data of High Volatile Stocks '!C103)</f>
        <v>6.9781401304424354E-2</v>
      </c>
      <c r="G105">
        <f>LN('Data of High Volatile Stocks '!D104/'Data of High Volatile Stocks '!D103)</f>
        <v>8.6921639213135751E-3</v>
      </c>
      <c r="H105">
        <f>LN('Data of High Volatile Stocks '!E104/'Data of High Volatile Stocks '!E103)</f>
        <v>2.5898363455813247E-3</v>
      </c>
      <c r="I105">
        <f>LN('Data of High Volatile Stocks '!F104/'Data of High Volatile Stocks '!F103)</f>
        <v>2.3909951916189685E-2</v>
      </c>
      <c r="J105">
        <f>LN('Data of High Volatile Stocks '!G104/'Data of High Volatile Stocks '!G103)</f>
        <v>-7.4599281204435416E-2</v>
      </c>
      <c r="K105">
        <f>LN('Data of High Volatile Stocks '!H104/'Data of High Volatile Stocks '!H103)</f>
        <v>-2.0605029616630476E-2</v>
      </c>
      <c r="N105">
        <f t="shared" si="8"/>
        <v>0.12260296293414999</v>
      </c>
      <c r="O105">
        <f t="shared" si="9"/>
        <v>6.4512715961891398E-2</v>
      </c>
      <c r="P105">
        <f t="shared" si="10"/>
        <v>6.4380405500731284E-3</v>
      </c>
      <c r="Q105">
        <f t="shared" si="11"/>
        <v>-1.5689174142640688E-3</v>
      </c>
      <c r="R105">
        <f t="shared" si="12"/>
        <v>1.1632600238748608E-2</v>
      </c>
      <c r="S105">
        <f t="shared" si="13"/>
        <v>-7.1528214556109165E-2</v>
      </c>
      <c r="T105">
        <f t="shared" si="14"/>
        <v>-1.7077328292184925E-2</v>
      </c>
    </row>
    <row r="106" spans="5:20" x14ac:dyDescent="0.3">
      <c r="E106">
        <f>LN('Data of High Volatile Stocks '!B105/'Data of High Volatile Stocks '!B104)</f>
        <v>7.653849551448615E-3</v>
      </c>
      <c r="F106">
        <f>LN('Data of High Volatile Stocks '!C105/'Data of High Volatile Stocks '!C104)</f>
        <v>-1.7258189487675532E-2</v>
      </c>
      <c r="G106">
        <f>LN('Data of High Volatile Stocks '!D105/'Data of High Volatile Stocks '!D104)</f>
        <v>0.17098870658125895</v>
      </c>
      <c r="H106">
        <f>LN('Data of High Volatile Stocks '!E105/'Data of High Volatile Stocks '!E104)</f>
        <v>-2.4277749239480701E-3</v>
      </c>
      <c r="I106">
        <f>LN('Data of High Volatile Stocks '!F105/'Data of High Volatile Stocks '!F104)</f>
        <v>-4.4376840302651946E-2</v>
      </c>
      <c r="J106">
        <f>LN('Data of High Volatile Stocks '!G105/'Data of High Volatile Stocks '!G104)</f>
        <v>-4.9029951073003362E-2</v>
      </c>
      <c r="K106">
        <f>LN('Data of High Volatile Stocks '!H105/'Data of High Volatile Stocks '!H104)</f>
        <v>1.2910570110123146E-2</v>
      </c>
      <c r="N106">
        <f t="shared" si="8"/>
        <v>1.5792731087278813E-2</v>
      </c>
      <c r="O106">
        <f t="shared" si="9"/>
        <v>-2.2526874830208488E-2</v>
      </c>
      <c r="P106">
        <f t="shared" si="10"/>
        <v>0.1687345832100185</v>
      </c>
      <c r="Q106">
        <f t="shared" si="11"/>
        <v>-6.586528683793464E-3</v>
      </c>
      <c r="R106">
        <f t="shared" si="12"/>
        <v>-5.6654191980093027E-2</v>
      </c>
      <c r="S106">
        <f t="shared" si="13"/>
        <v>-4.5958884424677104E-2</v>
      </c>
      <c r="T106">
        <f t="shared" si="14"/>
        <v>1.6438271434568698E-2</v>
      </c>
    </row>
    <row r="107" spans="5:20" x14ac:dyDescent="0.3">
      <c r="E107">
        <f>LN('Data of High Volatile Stocks '!B106/'Data of High Volatile Stocks '!B105)</f>
        <v>-7.0630075844818879E-3</v>
      </c>
      <c r="F107">
        <f>LN('Data of High Volatile Stocks '!C106/'Data of High Volatile Stocks '!C105)</f>
        <v>-1.2134261201177407E-3</v>
      </c>
      <c r="G107">
        <f>LN('Data of High Volatile Stocks '!D106/'Data of High Volatile Stocks '!D105)</f>
        <v>-8.9296529251139331E-3</v>
      </c>
      <c r="H107">
        <f>LN('Data of High Volatile Stocks '!E106/'Data of High Volatile Stocks '!E105)</f>
        <v>-2.2712534098567648E-3</v>
      </c>
      <c r="I107">
        <f>LN('Data of High Volatile Stocks '!F106/'Data of High Volatile Stocks '!F105)</f>
        <v>-1.3881078870713427E-2</v>
      </c>
      <c r="J107">
        <f>LN('Data of High Volatile Stocks '!G106/'Data of High Volatile Stocks '!G105)</f>
        <v>3.497271324125052E-3</v>
      </c>
      <c r="K107">
        <f>LN('Data of High Volatile Stocks '!H106/'Data of High Volatile Stocks '!H105)</f>
        <v>-8.1712247462264447E-3</v>
      </c>
      <c r="N107">
        <f t="shared" si="8"/>
        <v>1.0758739513483089E-3</v>
      </c>
      <c r="O107">
        <f t="shared" si="9"/>
        <v>-6.4821114626506943E-3</v>
      </c>
      <c r="P107">
        <f t="shared" si="10"/>
        <v>-1.118377629635438E-2</v>
      </c>
      <c r="Q107">
        <f t="shared" si="11"/>
        <v>-6.4300071697021583E-3</v>
      </c>
      <c r="R107">
        <f t="shared" si="12"/>
        <v>-2.6158430548154504E-2</v>
      </c>
      <c r="S107">
        <f t="shared" si="13"/>
        <v>6.5683379724513092E-3</v>
      </c>
      <c r="T107">
        <f t="shared" si="14"/>
        <v>-4.6435234217808933E-3</v>
      </c>
    </row>
    <row r="108" spans="5:20" x14ac:dyDescent="0.3">
      <c r="E108">
        <f>LN('Data of High Volatile Stocks '!B107/'Data of High Volatile Stocks '!B106)</f>
        <v>-2.2701094321971989E-2</v>
      </c>
      <c r="F108">
        <f>LN('Data of High Volatile Stocks '!C107/'Data of High Volatile Stocks '!C106)</f>
        <v>-3.1268707602026782E-2</v>
      </c>
      <c r="G108">
        <f>LN('Data of High Volatile Stocks '!D107/'Data of High Volatile Stocks '!D106)</f>
        <v>-0.12177269952299583</v>
      </c>
      <c r="H108">
        <f>LN('Data of High Volatile Stocks '!E107/'Data of High Volatile Stocks '!E106)</f>
        <v>-6.6999453739088985E-2</v>
      </c>
      <c r="I108">
        <f>LN('Data of High Volatile Stocks '!F107/'Data of High Volatile Stocks '!F106)</f>
        <v>-7.1825734571255614E-2</v>
      </c>
      <c r="J108">
        <f>LN('Data of High Volatile Stocks '!G107/'Data of High Volatile Stocks '!G106)</f>
        <v>-2.6196579551852794E-2</v>
      </c>
      <c r="K108">
        <f>LN('Data of High Volatile Stocks '!H107/'Data of High Volatile Stocks '!H106)</f>
        <v>-7.1319910933182865E-2</v>
      </c>
      <c r="N108">
        <f t="shared" si="8"/>
        <v>-1.4562212786141792E-2</v>
      </c>
      <c r="O108">
        <f t="shared" si="9"/>
        <v>-3.6537392944559738E-2</v>
      </c>
      <c r="P108">
        <f t="shared" si="10"/>
        <v>-0.12402682289423628</v>
      </c>
      <c r="Q108">
        <f t="shared" si="11"/>
        <v>-7.1158207498934381E-2</v>
      </c>
      <c r="R108">
        <f t="shared" si="12"/>
        <v>-8.4103086248696696E-2</v>
      </c>
      <c r="S108">
        <f t="shared" si="13"/>
        <v>-2.3125512903526536E-2</v>
      </c>
      <c r="T108">
        <f t="shared" si="14"/>
        <v>-6.7792209608737317E-2</v>
      </c>
    </row>
    <row r="109" spans="5:20" x14ac:dyDescent="0.3">
      <c r="E109">
        <f>LN('Data of High Volatile Stocks '!B108/'Data of High Volatile Stocks '!B107)</f>
        <v>-7.277169773895269E-3</v>
      </c>
      <c r="F109">
        <f>LN('Data of High Volatile Stocks '!C108/'Data of High Volatile Stocks '!C107)</f>
        <v>0.13543392982979865</v>
      </c>
      <c r="G109">
        <f>LN('Data of High Volatile Stocks '!D108/'Data of High Volatile Stocks '!D107)</f>
        <v>-0.16330620171677354</v>
      </c>
      <c r="H109">
        <f>LN('Data of High Volatile Stocks '!E108/'Data of High Volatile Stocks '!E107)</f>
        <v>9.312901596878205E-2</v>
      </c>
      <c r="I109">
        <f>LN('Data of High Volatile Stocks '!F108/'Data of High Volatile Stocks '!F107)</f>
        <v>4.7657154715808447E-2</v>
      </c>
      <c r="J109">
        <f>LN('Data of High Volatile Stocks '!G108/'Data of High Volatile Stocks '!G107)</f>
        <v>-3.6960976871576727E-2</v>
      </c>
      <c r="K109">
        <f>LN('Data of High Volatile Stocks '!H108/'Data of High Volatile Stocks '!H107)</f>
        <v>5.0949746731871699E-2</v>
      </c>
      <c r="N109">
        <f t="shared" si="8"/>
        <v>8.6171176193492773E-4</v>
      </c>
      <c r="O109">
        <f t="shared" si="9"/>
        <v>0.13016524448726571</v>
      </c>
      <c r="P109">
        <f t="shared" si="10"/>
        <v>-0.16556032508801399</v>
      </c>
      <c r="Q109">
        <f t="shared" si="11"/>
        <v>8.8970262208936654E-2</v>
      </c>
      <c r="R109">
        <f t="shared" si="12"/>
        <v>3.5379803038367366E-2</v>
      </c>
      <c r="S109">
        <f t="shared" si="13"/>
        <v>-3.3889910223250469E-2</v>
      </c>
      <c r="T109">
        <f t="shared" si="14"/>
        <v>5.4477448056317254E-2</v>
      </c>
    </row>
    <row r="110" spans="5:20" x14ac:dyDescent="0.3">
      <c r="E110">
        <f>LN('Data of High Volatile Stocks '!B109/'Data of High Volatile Stocks '!B108)</f>
        <v>-6.0882802489447727E-4</v>
      </c>
      <c r="F110">
        <f>LN('Data of High Volatile Stocks '!C109/'Data of High Volatile Stocks '!C108)</f>
        <v>2.5058377829109142E-2</v>
      </c>
      <c r="G110">
        <f>LN('Data of High Volatile Stocks '!D109/'Data of High Volatile Stocks '!D108)</f>
        <v>-4.7204787501501894E-2</v>
      </c>
      <c r="H110">
        <f>LN('Data of High Volatile Stocks '!E109/'Data of High Volatile Stocks '!E108)</f>
        <v>2.9773846095959011E-2</v>
      </c>
      <c r="I110">
        <f>LN('Data of High Volatile Stocks '!F109/'Data of High Volatile Stocks '!F108)</f>
        <v>1.1926059851231061E-3</v>
      </c>
      <c r="J110">
        <f>LN('Data of High Volatile Stocks '!G109/'Data of High Volatile Stocks '!G108)</f>
        <v>1.1783870182975734E-2</v>
      </c>
      <c r="K110">
        <f>LN('Data of High Volatile Stocks '!H109/'Data of High Volatile Stocks '!H108)</f>
        <v>-2.0359126137918931E-2</v>
      </c>
      <c r="N110">
        <f t="shared" si="8"/>
        <v>7.5300535109357192E-3</v>
      </c>
      <c r="O110">
        <f t="shared" si="9"/>
        <v>1.9789692486576187E-2</v>
      </c>
      <c r="P110">
        <f t="shared" si="10"/>
        <v>-4.9458910872742338E-2</v>
      </c>
      <c r="Q110">
        <f t="shared" si="11"/>
        <v>2.5615092336113619E-2</v>
      </c>
      <c r="R110">
        <f t="shared" si="12"/>
        <v>-1.1084745692317972E-2</v>
      </c>
      <c r="S110">
        <f t="shared" si="13"/>
        <v>1.4854936831301992E-2</v>
      </c>
      <c r="T110">
        <f t="shared" si="14"/>
        <v>-1.683142481347338E-2</v>
      </c>
    </row>
    <row r="111" spans="5:20" x14ac:dyDescent="0.3">
      <c r="E111">
        <f>LN('Data of High Volatile Stocks '!B110/'Data of High Volatile Stocks '!B109)</f>
        <v>-1.040719524853582E-2</v>
      </c>
      <c r="F111">
        <f>LN('Data of High Volatile Stocks '!C110/'Data of High Volatile Stocks '!C109)</f>
        <v>-7.9194288377664899E-4</v>
      </c>
      <c r="G111">
        <f>LN('Data of High Volatile Stocks '!D110/'Data of High Volatile Stocks '!D109)</f>
        <v>3.6007240343700867E-3</v>
      </c>
      <c r="H111">
        <f>LN('Data of High Volatile Stocks '!E110/'Data of High Volatile Stocks '!E109)</f>
        <v>6.2772922960432674E-3</v>
      </c>
      <c r="I111">
        <f>LN('Data of High Volatile Stocks '!F110/'Data of High Volatile Stocks '!F109)</f>
        <v>-2.5959803695797756E-2</v>
      </c>
      <c r="J111">
        <f>LN('Data of High Volatile Stocks '!G110/'Data of High Volatile Stocks '!G109)</f>
        <v>2.1923976891615592E-2</v>
      </c>
      <c r="K111">
        <f>LN('Data of High Volatile Stocks '!H110/'Data of High Volatile Stocks '!H109)</f>
        <v>-1.9009199385546998E-2</v>
      </c>
      <c r="N111">
        <f t="shared" si="8"/>
        <v>-2.2683137127056229E-3</v>
      </c>
      <c r="O111">
        <f t="shared" si="9"/>
        <v>-6.0606282263096032E-3</v>
      </c>
      <c r="P111">
        <f t="shared" si="10"/>
        <v>1.3466006631296401E-3</v>
      </c>
      <c r="Q111">
        <f t="shared" si="11"/>
        <v>2.118538536197874E-3</v>
      </c>
      <c r="R111">
        <f t="shared" si="12"/>
        <v>-3.8237155373238838E-2</v>
      </c>
      <c r="S111">
        <f t="shared" si="13"/>
        <v>2.499504353994185E-2</v>
      </c>
      <c r="T111">
        <f t="shared" si="14"/>
        <v>-1.5481498061101447E-2</v>
      </c>
    </row>
    <row r="112" spans="5:20" x14ac:dyDescent="0.3">
      <c r="E112">
        <f>LN('Data of High Volatile Stocks '!B111/'Data of High Volatile Stocks '!B110)</f>
        <v>4.8057294953779264E-2</v>
      </c>
      <c r="F112">
        <f>LN('Data of High Volatile Stocks '!C111/'Data of High Volatile Stocks '!C110)</f>
        <v>4.4662908848817399E-2</v>
      </c>
      <c r="G112">
        <f>LN('Data of High Volatile Stocks '!D111/'Data of High Volatile Stocks '!D110)</f>
        <v>3.1603919464021156E-2</v>
      </c>
      <c r="H112">
        <f>LN('Data of High Volatile Stocks '!E111/'Data of High Volatile Stocks '!E110)</f>
        <v>3.8181147915045933E-2</v>
      </c>
      <c r="I112">
        <f>LN('Data of High Volatile Stocks '!F111/'Data of High Volatile Stocks '!F110)</f>
        <v>4.0161225801965558E-2</v>
      </c>
      <c r="J112">
        <f>LN('Data of High Volatile Stocks '!G111/'Data of High Volatile Stocks '!G110)</f>
        <v>2.255275278505766E-2</v>
      </c>
      <c r="K112">
        <f>LN('Data of High Volatile Stocks '!H111/'Data of High Volatile Stocks '!H110)</f>
        <v>-5.258388800643083E-2</v>
      </c>
      <c r="N112">
        <f t="shared" si="8"/>
        <v>5.6196176489609465E-2</v>
      </c>
      <c r="O112">
        <f t="shared" si="9"/>
        <v>3.9394223506284444E-2</v>
      </c>
      <c r="P112">
        <f t="shared" si="10"/>
        <v>2.9349796092780711E-2</v>
      </c>
      <c r="Q112">
        <f t="shared" si="11"/>
        <v>3.4022394155200537E-2</v>
      </c>
      <c r="R112">
        <f t="shared" si="12"/>
        <v>2.788387412452448E-2</v>
      </c>
      <c r="S112">
        <f t="shared" si="13"/>
        <v>2.5623819433383918E-2</v>
      </c>
      <c r="T112">
        <f t="shared" si="14"/>
        <v>-4.9056186681985275E-2</v>
      </c>
    </row>
    <row r="113" spans="5:20" x14ac:dyDescent="0.3">
      <c r="E113">
        <f>LN('Data of High Volatile Stocks '!B112/'Data of High Volatile Stocks '!B111)</f>
        <v>-0.42830460007798732</v>
      </c>
      <c r="F113">
        <f>LN('Data of High Volatile Stocks '!C112/'Data of High Volatile Stocks '!C111)</f>
        <v>8.1478425380074479E-2</v>
      </c>
      <c r="G113">
        <f>LN('Data of High Volatile Stocks '!D112/'Data of High Volatile Stocks '!D111)</f>
        <v>9.4240254456246939E-2</v>
      </c>
      <c r="H113">
        <f>LN('Data of High Volatile Stocks '!E112/'Data of High Volatile Stocks '!E111)</f>
        <v>4.0874879856045418E-2</v>
      </c>
      <c r="I113">
        <f>LN('Data of High Volatile Stocks '!F112/'Data of High Volatile Stocks '!F111)</f>
        <v>0.3593740009078974</v>
      </c>
      <c r="J113">
        <f>LN('Data of High Volatile Stocks '!G112/'Data of High Volatile Stocks '!G111)</f>
        <v>5.1073562459617423E-2</v>
      </c>
      <c r="K113">
        <f>LN('Data of High Volatile Stocks '!H112/'Data of High Volatile Stocks '!H111)</f>
        <v>2.200596610737009E-2</v>
      </c>
      <c r="N113">
        <f t="shared" si="8"/>
        <v>-0.42016571854215712</v>
      </c>
      <c r="O113">
        <f t="shared" si="9"/>
        <v>7.6209740037541523E-2</v>
      </c>
      <c r="P113">
        <f t="shared" si="10"/>
        <v>9.1986131085006487E-2</v>
      </c>
      <c r="Q113">
        <f t="shared" si="11"/>
        <v>3.6716126096200022E-2</v>
      </c>
      <c r="R113">
        <f t="shared" si="12"/>
        <v>0.3470966492304563</v>
      </c>
      <c r="S113">
        <f t="shared" si="13"/>
        <v>5.4144629107943681E-2</v>
      </c>
      <c r="T113">
        <f t="shared" si="14"/>
        <v>2.5533667431815642E-2</v>
      </c>
    </row>
    <row r="114" spans="5:20" x14ac:dyDescent="0.3">
      <c r="E114">
        <f>LN('Data of High Volatile Stocks '!B113/'Data of High Volatile Stocks '!B112)</f>
        <v>5.3860094295706783E-3</v>
      </c>
      <c r="F114">
        <f>LN('Data of High Volatile Stocks '!C113/'Data of High Volatile Stocks '!C112)</f>
        <v>-3.0368368540945864E-4</v>
      </c>
      <c r="G114">
        <f>LN('Data of High Volatile Stocks '!D113/'Data of High Volatile Stocks '!D112)</f>
        <v>0.23892095920201067</v>
      </c>
      <c r="H114">
        <f>LN('Data of High Volatile Stocks '!E113/'Data of High Volatile Stocks '!E112)</f>
        <v>0.10054000292692536</v>
      </c>
      <c r="I114">
        <f>LN('Data of High Volatile Stocks '!F113/'Data of High Volatile Stocks '!F112)</f>
        <v>2.4580102502691934E-3</v>
      </c>
      <c r="J114">
        <f>LN('Data of High Volatile Stocks '!G113/'Data of High Volatile Stocks '!G112)</f>
        <v>-0.28559656596075955</v>
      </c>
      <c r="K114">
        <f>LN('Data of High Volatile Stocks '!H113/'Data of High Volatile Stocks '!H112)</f>
        <v>-5.6030927210078608E-2</v>
      </c>
      <c r="N114">
        <f t="shared" si="8"/>
        <v>1.3524890965400875E-2</v>
      </c>
      <c r="O114">
        <f t="shared" si="9"/>
        <v>-5.572369027942412E-3</v>
      </c>
      <c r="P114">
        <f t="shared" si="10"/>
        <v>0.23666683583077022</v>
      </c>
      <c r="Q114">
        <f t="shared" si="11"/>
        <v>9.6381249167079963E-2</v>
      </c>
      <c r="R114">
        <f t="shared" si="12"/>
        <v>-9.8193414271718835E-3</v>
      </c>
      <c r="S114">
        <f t="shared" si="13"/>
        <v>-0.28252549931243331</v>
      </c>
      <c r="T114">
        <f t="shared" si="14"/>
        <v>-5.2503225885633054E-2</v>
      </c>
    </row>
    <row r="115" spans="5:20" x14ac:dyDescent="0.3">
      <c r="E115">
        <f>LN('Data of High Volatile Stocks '!B114/'Data of High Volatile Stocks '!B113)</f>
        <v>-3.3685478950935301E-2</v>
      </c>
      <c r="F115">
        <f>LN('Data of High Volatile Stocks '!C114/'Data of High Volatile Stocks '!C113)</f>
        <v>-5.5419733120970947E-2</v>
      </c>
      <c r="G115">
        <f>LN('Data of High Volatile Stocks '!D114/'Data of High Volatile Stocks '!D113)</f>
        <v>-8.2810292617975054E-2</v>
      </c>
      <c r="H115">
        <f>LN('Data of High Volatile Stocks '!E114/'Data of High Volatile Stocks '!E113)</f>
        <v>-2.6818226915650998E-3</v>
      </c>
      <c r="I115">
        <f>LN('Data of High Volatile Stocks '!F114/'Data of High Volatile Stocks '!F113)</f>
        <v>-6.2032117602387839E-2</v>
      </c>
      <c r="J115">
        <f>LN('Data of High Volatile Stocks '!G114/'Data of High Volatile Stocks '!G113)</f>
        <v>-0.11031102081768235</v>
      </c>
      <c r="K115">
        <f>LN('Data of High Volatile Stocks '!H114/'Data of High Volatile Stocks '!H113)</f>
        <v>2.0395863162693834E-2</v>
      </c>
      <c r="N115">
        <f t="shared" si="8"/>
        <v>-2.5546597415105104E-2</v>
      </c>
      <c r="O115">
        <f t="shared" si="9"/>
        <v>-6.0688418463503903E-2</v>
      </c>
      <c r="P115">
        <f t="shared" si="10"/>
        <v>-8.5064415989215506E-2</v>
      </c>
      <c r="Q115">
        <f t="shared" si="11"/>
        <v>-6.8405764514104933E-3</v>
      </c>
      <c r="R115">
        <f t="shared" si="12"/>
        <v>-7.4309469279828913E-2</v>
      </c>
      <c r="S115">
        <f t="shared" si="13"/>
        <v>-0.1072399541693561</v>
      </c>
      <c r="T115">
        <f t="shared" si="14"/>
        <v>2.3923564487139386E-2</v>
      </c>
    </row>
    <row r="116" spans="5:20" x14ac:dyDescent="0.3">
      <c r="E116">
        <f>LN('Data of High Volatile Stocks '!B115/'Data of High Volatile Stocks '!B114)</f>
        <v>4.0821994520254985E-2</v>
      </c>
      <c r="F116">
        <f>LN('Data of High Volatile Stocks '!C115/'Data of High Volatile Stocks '!C114)</f>
        <v>9.9347556407051799E-3</v>
      </c>
      <c r="G116">
        <f>LN('Data of High Volatile Stocks '!D115/'Data of High Volatile Stocks '!D114)</f>
        <v>0.21489174100903799</v>
      </c>
      <c r="H116">
        <f>LN('Data of High Volatile Stocks '!E115/'Data of High Volatile Stocks '!E114)</f>
        <v>3.5549808921368505E-2</v>
      </c>
      <c r="I116">
        <f>LN('Data of High Volatile Stocks '!F115/'Data of High Volatile Stocks '!F114)</f>
        <v>8.1882880834459729E-2</v>
      </c>
      <c r="J116">
        <f>LN('Data of High Volatile Stocks '!G115/'Data of High Volatile Stocks '!G114)</f>
        <v>-1.76801914312248E-2</v>
      </c>
      <c r="K116">
        <f>LN('Data of High Volatile Stocks '!H115/'Data of High Volatile Stocks '!H114)</f>
        <v>0.11194760587272498</v>
      </c>
      <c r="N116">
        <f t="shared" si="8"/>
        <v>4.8960876056085179E-2</v>
      </c>
      <c r="O116">
        <f t="shared" si="9"/>
        <v>4.6660702981722261E-3</v>
      </c>
      <c r="P116">
        <f t="shared" si="10"/>
        <v>0.21263761763779754</v>
      </c>
      <c r="Q116">
        <f t="shared" si="11"/>
        <v>3.1391055161523108E-2</v>
      </c>
      <c r="R116">
        <f t="shared" si="12"/>
        <v>6.9605529157018647E-2</v>
      </c>
      <c r="S116">
        <f t="shared" si="13"/>
        <v>-1.4609124782898542E-2</v>
      </c>
      <c r="T116">
        <f t="shared" si="14"/>
        <v>0.11547530719717053</v>
      </c>
    </row>
    <row r="117" spans="5:20" x14ac:dyDescent="0.3">
      <c r="E117">
        <f>LN('Data of High Volatile Stocks '!B116/'Data of High Volatile Stocks '!B115)</f>
        <v>9.6521566990621893E-2</v>
      </c>
      <c r="F117">
        <f>LN('Data of High Volatile Stocks '!C116/'Data of High Volatile Stocks '!C115)</f>
        <v>2.5885828448298575E-2</v>
      </c>
      <c r="G117">
        <f>LN('Data of High Volatile Stocks '!D116/'Data of High Volatile Stocks '!D115)</f>
        <v>0.22083735128753243</v>
      </c>
      <c r="H117">
        <f>LN('Data of High Volatile Stocks '!E116/'Data of High Volatile Stocks '!E115)</f>
        <v>-2.9176301049276359E-2</v>
      </c>
      <c r="I117">
        <f>LN('Data of High Volatile Stocks '!F116/'Data of High Volatile Stocks '!F115)</f>
        <v>4.3561919804902018E-2</v>
      </c>
      <c r="J117">
        <f>LN('Data of High Volatile Stocks '!G116/'Data of High Volatile Stocks '!G115)</f>
        <v>1.7990317034578655E-2</v>
      </c>
      <c r="K117">
        <f>LN('Data of High Volatile Stocks '!H116/'Data of High Volatile Stocks '!H115)</f>
        <v>-5.4333635106565303E-2</v>
      </c>
      <c r="N117">
        <f t="shared" si="8"/>
        <v>0.10466044852645209</v>
      </c>
      <c r="O117">
        <f t="shared" si="9"/>
        <v>2.0617143105765623E-2</v>
      </c>
      <c r="P117">
        <f t="shared" si="10"/>
        <v>0.21858322791629198</v>
      </c>
      <c r="Q117">
        <f t="shared" si="11"/>
        <v>-3.3335054809121752E-2</v>
      </c>
      <c r="R117">
        <f t="shared" si="12"/>
        <v>3.1284568127460943E-2</v>
      </c>
      <c r="S117">
        <f t="shared" si="13"/>
        <v>2.1061383682904913E-2</v>
      </c>
      <c r="T117">
        <f t="shared" si="14"/>
        <v>-5.0805933782119748E-2</v>
      </c>
    </row>
    <row r="118" spans="5:20" x14ac:dyDescent="0.3">
      <c r="E118">
        <f>LN('Data of High Volatile Stocks '!B117/'Data of High Volatile Stocks '!B116)</f>
        <v>-0.10186917331721736</v>
      </c>
      <c r="F118">
        <f>LN('Data of High Volatile Stocks '!C117/'Data of High Volatile Stocks '!C116)</f>
        <v>-2.2553814258841488E-2</v>
      </c>
      <c r="G118">
        <f>LN('Data of High Volatile Stocks '!D117/'Data of High Volatile Stocks '!D116)</f>
        <v>-5.7172167390083885E-2</v>
      </c>
      <c r="H118">
        <f>LN('Data of High Volatile Stocks '!E117/'Data of High Volatile Stocks '!E116)</f>
        <v>-3.3989186414147825E-2</v>
      </c>
      <c r="I118">
        <f>LN('Data of High Volatile Stocks '!F117/'Data of High Volatile Stocks '!F116)</f>
        <v>-0.10305901866954706</v>
      </c>
      <c r="J118">
        <f>LN('Data of High Volatile Stocks '!G117/'Data of High Volatile Stocks '!G116)</f>
        <v>-7.9384026503579227E-3</v>
      </c>
      <c r="K118">
        <f>LN('Data of High Volatile Stocks '!H117/'Data of High Volatile Stocks '!H116)</f>
        <v>-1.8029334517941913E-2</v>
      </c>
      <c r="N118">
        <f t="shared" si="8"/>
        <v>-9.3730291781387157E-2</v>
      </c>
      <c r="O118">
        <f t="shared" si="9"/>
        <v>-2.7822499601374444E-2</v>
      </c>
      <c r="P118">
        <f t="shared" si="10"/>
        <v>-5.942629076132433E-2</v>
      </c>
      <c r="Q118">
        <f t="shared" si="11"/>
        <v>-3.8147940173993221E-2</v>
      </c>
      <c r="R118">
        <f t="shared" si="12"/>
        <v>-0.11533637034698814</v>
      </c>
      <c r="S118">
        <f t="shared" si="13"/>
        <v>-4.8673360020316647E-3</v>
      </c>
      <c r="T118">
        <f t="shared" si="14"/>
        <v>-1.4501633193496361E-2</v>
      </c>
    </row>
    <row r="119" spans="5:20" x14ac:dyDescent="0.3">
      <c r="E119">
        <f>LN('Data of High Volatile Stocks '!B118/'Data of High Volatile Stocks '!B117)</f>
        <v>1.8592833076615925E-2</v>
      </c>
      <c r="F119">
        <f>LN('Data of High Volatile Stocks '!C118/'Data of High Volatile Stocks '!C117)</f>
        <v>3.7098295240598822E-2</v>
      </c>
      <c r="G119">
        <f>LN('Data of High Volatile Stocks '!D118/'Data of High Volatile Stocks '!D117)</f>
        <v>5.2837323744310723E-2</v>
      </c>
      <c r="H119">
        <f>LN('Data of High Volatile Stocks '!E118/'Data of High Volatile Stocks '!E117)</f>
        <v>5.324354075635504E-2</v>
      </c>
      <c r="I119">
        <f>LN('Data of High Volatile Stocks '!F118/'Data of High Volatile Stocks '!F117)</f>
        <v>2.8951046515825286E-2</v>
      </c>
      <c r="J119">
        <f>LN('Data of High Volatile Stocks '!G118/'Data of High Volatile Stocks '!G117)</f>
        <v>-6.4278656687122831E-3</v>
      </c>
      <c r="K119">
        <f>LN('Data of High Volatile Stocks '!H118/'Data of High Volatile Stocks '!H117)</f>
        <v>0</v>
      </c>
      <c r="N119">
        <f t="shared" si="8"/>
        <v>2.6731714612446122E-2</v>
      </c>
      <c r="O119">
        <f t="shared" si="9"/>
        <v>3.1829609898065866E-2</v>
      </c>
      <c r="P119">
        <f t="shared" si="10"/>
        <v>5.0583200373070278E-2</v>
      </c>
      <c r="Q119">
        <f t="shared" si="11"/>
        <v>4.9084786996509644E-2</v>
      </c>
      <c r="R119">
        <f t="shared" si="12"/>
        <v>1.6673694838384209E-2</v>
      </c>
      <c r="S119">
        <f t="shared" si="13"/>
        <v>-3.3567990203860255E-3</v>
      </c>
      <c r="T119">
        <f t="shared" si="14"/>
        <v>3.5277013244455519E-3</v>
      </c>
    </row>
    <row r="120" spans="5:20" x14ac:dyDescent="0.3">
      <c r="E120">
        <f>LN('Data of High Volatile Stocks '!B119/'Data of High Volatile Stocks '!B118)</f>
        <v>6.9930354909706043E-3</v>
      </c>
      <c r="F120">
        <f>LN('Data of High Volatile Stocks '!C119/'Data of High Volatile Stocks '!C118)</f>
        <v>-2.1569251881154057E-2</v>
      </c>
      <c r="G120">
        <f>LN('Data of High Volatile Stocks '!D119/'Data of High Volatile Stocks '!D118)</f>
        <v>3.6921005857153605E-2</v>
      </c>
      <c r="H120">
        <f>LN('Data of High Volatile Stocks '!E119/'Data of High Volatile Stocks '!E118)</f>
        <v>-4.1221966475606581E-2</v>
      </c>
      <c r="I120">
        <f>LN('Data of High Volatile Stocks '!F119/'Data of High Volatile Stocks '!F118)</f>
        <v>-4.9596941139372061E-2</v>
      </c>
      <c r="J120">
        <f>LN('Data of High Volatile Stocks '!G119/'Data of High Volatile Stocks '!G118)</f>
        <v>2.4700284861632331E-2</v>
      </c>
      <c r="K120">
        <f>LN('Data of High Volatile Stocks '!H119/'Data of High Volatile Stocks '!H118)</f>
        <v>-8.9850600667598108E-3</v>
      </c>
      <c r="N120">
        <f t="shared" si="8"/>
        <v>1.5131917026800801E-2</v>
      </c>
      <c r="O120">
        <f t="shared" si="9"/>
        <v>-2.6837937223687013E-2</v>
      </c>
      <c r="P120">
        <f t="shared" si="10"/>
        <v>3.466688248591316E-2</v>
      </c>
      <c r="Q120">
        <f t="shared" si="11"/>
        <v>-4.5380720235451977E-2</v>
      </c>
      <c r="R120">
        <f t="shared" si="12"/>
        <v>-6.1874292816813142E-2</v>
      </c>
      <c r="S120">
        <f t="shared" si="13"/>
        <v>2.7771351509958589E-2</v>
      </c>
      <c r="T120">
        <f t="shared" si="14"/>
        <v>-5.4573587423142594E-3</v>
      </c>
    </row>
    <row r="121" spans="5:20" x14ac:dyDescent="0.3">
      <c r="E121">
        <f>LN('Data of High Volatile Stocks '!B120/'Data of High Volatile Stocks '!B119)</f>
        <v>-4.2711118093049803E-2</v>
      </c>
      <c r="F121">
        <f>LN('Data of High Volatile Stocks '!C120/'Data of High Volatile Stocks '!C119)</f>
        <v>-1.6004366191811528E-2</v>
      </c>
      <c r="G121">
        <f>LN('Data of High Volatile Stocks '!D120/'Data of High Volatile Stocks '!D119)</f>
        <v>-9.5800644057427067E-2</v>
      </c>
      <c r="H121">
        <f>LN('Data of High Volatile Stocks '!E120/'Data of High Volatile Stocks '!E119)</f>
        <v>2.2056447475702111E-3</v>
      </c>
      <c r="I121">
        <f>LN('Data of High Volatile Stocks '!F120/'Data of High Volatile Stocks '!F119)</f>
        <v>-2.1753325959088295E-3</v>
      </c>
      <c r="J121">
        <f>LN('Data of High Volatile Stocks '!G120/'Data of High Volatile Stocks '!G119)</f>
        <v>-8.5492032942348681E-2</v>
      </c>
      <c r="K121">
        <f>LN('Data of High Volatile Stocks '!H120/'Data of High Volatile Stocks '!H119)</f>
        <v>-3.7881545988377507E-2</v>
      </c>
      <c r="N121">
        <f t="shared" si="8"/>
        <v>-3.457223655721961E-2</v>
      </c>
      <c r="O121">
        <f t="shared" si="9"/>
        <v>-2.127305153434448E-2</v>
      </c>
      <c r="P121">
        <f t="shared" si="10"/>
        <v>-9.8054767428667519E-2</v>
      </c>
      <c r="Q121">
        <f t="shared" si="11"/>
        <v>-1.9531090122751824E-3</v>
      </c>
      <c r="R121">
        <f t="shared" si="12"/>
        <v>-1.4452684273349907E-2</v>
      </c>
      <c r="S121">
        <f t="shared" si="13"/>
        <v>-8.242096629402243E-2</v>
      </c>
      <c r="T121">
        <f t="shared" si="14"/>
        <v>-3.4353844663931953E-2</v>
      </c>
    </row>
    <row r="122" spans="5:20" x14ac:dyDescent="0.3">
      <c r="E122">
        <f>LN('Data of High Volatile Stocks '!B121/'Data of High Volatile Stocks '!B120)</f>
        <v>-1.373019281190202E-2</v>
      </c>
      <c r="F122">
        <f>LN('Data of High Volatile Stocks '!C121/'Data of High Volatile Stocks '!C120)</f>
        <v>-2.0655605875985451E-2</v>
      </c>
      <c r="G122">
        <f>LN('Data of High Volatile Stocks '!D121/'Data of High Volatile Stocks '!D120)</f>
        <v>1.9932849406450258E-2</v>
      </c>
      <c r="H122">
        <f>LN('Data of High Volatile Stocks '!E121/'Data of High Volatile Stocks '!E120)</f>
        <v>-2.4666692760404115E-2</v>
      </c>
      <c r="I122">
        <f>LN('Data of High Volatile Stocks '!F121/'Data of High Volatile Stocks '!F120)</f>
        <v>-1.2711106931928022E-2</v>
      </c>
      <c r="J122">
        <f>LN('Data of High Volatile Stocks '!G121/'Data of High Volatile Stocks '!G120)</f>
        <v>1.1692977194633178E-3</v>
      </c>
      <c r="K122">
        <f>LN('Data of High Volatile Stocks '!H121/'Data of High Volatile Stocks '!H120)</f>
        <v>-2.1033126662108909E-2</v>
      </c>
      <c r="N122">
        <f t="shared" si="8"/>
        <v>-5.5913112760718232E-3</v>
      </c>
      <c r="O122">
        <f t="shared" si="9"/>
        <v>-2.5924291218518407E-2</v>
      </c>
      <c r="P122">
        <f t="shared" si="10"/>
        <v>1.7678726035209813E-2</v>
      </c>
      <c r="Q122">
        <f t="shared" si="11"/>
        <v>-2.8825446520249508E-2</v>
      </c>
      <c r="R122">
        <f t="shared" si="12"/>
        <v>-2.4988458609369102E-2</v>
      </c>
      <c r="S122">
        <f t="shared" si="13"/>
        <v>4.2403643677895756E-3</v>
      </c>
      <c r="T122">
        <f t="shared" si="14"/>
        <v>-1.7505425337663357E-2</v>
      </c>
    </row>
    <row r="123" spans="5:20" x14ac:dyDescent="0.3">
      <c r="E123">
        <f>LN('Data of High Volatile Stocks '!B122/'Data of High Volatile Stocks '!B121)</f>
        <v>2.8170876966696439E-2</v>
      </c>
      <c r="F123">
        <f>LN('Data of High Volatile Stocks '!C122/'Data of High Volatile Stocks '!C121)</f>
        <v>-8.9329073054392638E-2</v>
      </c>
      <c r="G123">
        <f>LN('Data of High Volatile Stocks '!D122/'Data of High Volatile Stocks '!D121)</f>
        <v>-0.15240923330931064</v>
      </c>
      <c r="H123">
        <f>LN('Data of High Volatile Stocks '!E122/'Data of High Volatile Stocks '!E121)</f>
        <v>-8.4213632653500292E-2</v>
      </c>
      <c r="I123">
        <f>LN('Data of High Volatile Stocks '!F122/'Data of High Volatile Stocks '!F121)</f>
        <v>-0.10208206484623954</v>
      </c>
      <c r="J123">
        <f>LN('Data of High Volatile Stocks '!G122/'Data of High Volatile Stocks '!G121)</f>
        <v>-5.1381163989118447E-2</v>
      </c>
      <c r="K123">
        <f>LN('Data of High Volatile Stocks '!H122/'Data of High Volatile Stocks '!H121)</f>
        <v>-3.6013141837360964E-2</v>
      </c>
      <c r="N123">
        <f t="shared" si="8"/>
        <v>3.6309758502526636E-2</v>
      </c>
      <c r="O123">
        <f t="shared" si="9"/>
        <v>-9.4597758396925594E-2</v>
      </c>
      <c r="P123">
        <f t="shared" si="10"/>
        <v>-0.15466335668055109</v>
      </c>
      <c r="Q123">
        <f t="shared" si="11"/>
        <v>-8.8372386413345688E-2</v>
      </c>
      <c r="R123">
        <f t="shared" si="12"/>
        <v>-0.11435941652368062</v>
      </c>
      <c r="S123">
        <f t="shared" si="13"/>
        <v>-4.8310097340792189E-2</v>
      </c>
      <c r="T123">
        <f t="shared" si="14"/>
        <v>-3.2485440512915409E-2</v>
      </c>
    </row>
    <row r="124" spans="5:20" x14ac:dyDescent="0.3">
      <c r="E124">
        <f>LN('Data of High Volatile Stocks '!B123/'Data of High Volatile Stocks '!B122)</f>
        <v>0.26525503666433659</v>
      </c>
      <c r="F124">
        <f>LN('Data of High Volatile Stocks '!C123/'Data of High Volatile Stocks '!C122)</f>
        <v>7.3083935006734657E-2</v>
      </c>
      <c r="G124">
        <f>LN('Data of High Volatile Stocks '!D123/'Data of High Volatile Stocks '!D122)</f>
        <v>0.11328129306510434</v>
      </c>
      <c r="H124">
        <f>LN('Data of High Volatile Stocks '!E123/'Data of High Volatile Stocks '!E122)</f>
        <v>-2.1699827683228042E-3</v>
      </c>
      <c r="I124">
        <f>LN('Data of High Volatile Stocks '!F123/'Data of High Volatile Stocks '!F122)</f>
        <v>9.5443403598291551E-2</v>
      </c>
      <c r="J124">
        <f>LN('Data of High Volatile Stocks '!G123/'Data of High Volatile Stocks '!G122)</f>
        <v>-9.7131006464999149E-3</v>
      </c>
      <c r="K124">
        <f>LN('Data of High Volatile Stocks '!H123/'Data of High Volatile Stocks '!H122)</f>
        <v>4.1998761908300646E-2</v>
      </c>
      <c r="N124">
        <f t="shared" si="8"/>
        <v>0.27339391820016679</v>
      </c>
      <c r="O124">
        <f t="shared" si="9"/>
        <v>6.7815249664201702E-2</v>
      </c>
      <c r="P124">
        <f t="shared" si="10"/>
        <v>0.11102716969386389</v>
      </c>
      <c r="Q124">
        <f t="shared" si="11"/>
        <v>-6.3287365281681981E-3</v>
      </c>
      <c r="R124">
        <f t="shared" si="12"/>
        <v>8.316605192085047E-2</v>
      </c>
      <c r="S124">
        <f t="shared" si="13"/>
        <v>-6.6420339981736569E-3</v>
      </c>
      <c r="T124">
        <f t="shared" si="14"/>
        <v>4.55264632327462E-2</v>
      </c>
    </row>
    <row r="125" spans="5:20" x14ac:dyDescent="0.3">
      <c r="E125">
        <f>LN('Data of High Volatile Stocks '!B124/'Data of High Volatile Stocks '!B123)</f>
        <v>0.11050191515824499</v>
      </c>
      <c r="F125">
        <f>LN('Data of High Volatile Stocks '!C124/'Data of High Volatile Stocks '!C123)</f>
        <v>1.9991549431484287E-2</v>
      </c>
      <c r="G125">
        <f>LN('Data of High Volatile Stocks '!D124/'Data of High Volatile Stocks '!D123)</f>
        <v>-5.6894599026461219E-2</v>
      </c>
      <c r="H125">
        <f>LN('Data of High Volatile Stocks '!E124/'Data of High Volatile Stocks '!E123)</f>
        <v>2.6034148346331127E-3</v>
      </c>
      <c r="I125">
        <f>LN('Data of High Volatile Stocks '!F124/'Data of High Volatile Stocks '!F123)</f>
        <v>3.533628276184881E-2</v>
      </c>
      <c r="J125">
        <f>LN('Data of High Volatile Stocks '!G124/'Data of High Volatile Stocks '!G123)</f>
        <v>4.7817874350492735E-2</v>
      </c>
      <c r="K125">
        <f>LN('Data of High Volatile Stocks '!H124/'Data of High Volatile Stocks '!H123)</f>
        <v>-2.9074483411213291E-3</v>
      </c>
      <c r="N125">
        <f t="shared" si="8"/>
        <v>0.11864079669407519</v>
      </c>
      <c r="O125">
        <f t="shared" si="9"/>
        <v>1.4722864088951333E-2</v>
      </c>
      <c r="P125">
        <f t="shared" si="10"/>
        <v>-5.9148722397701664E-2</v>
      </c>
      <c r="Q125">
        <f t="shared" si="11"/>
        <v>-1.5553389252122808E-3</v>
      </c>
      <c r="R125">
        <f t="shared" si="12"/>
        <v>2.3058931084407732E-2</v>
      </c>
      <c r="S125">
        <f t="shared" si="13"/>
        <v>5.0888940998818993E-2</v>
      </c>
      <c r="T125">
        <f t="shared" si="14"/>
        <v>6.2025298332422278E-4</v>
      </c>
    </row>
    <row r="126" spans="5:20" x14ac:dyDescent="0.3">
      <c r="E126">
        <f>LN('Data of High Volatile Stocks '!B125/'Data of High Volatile Stocks '!B124)</f>
        <v>-1.4879381767123048E-2</v>
      </c>
      <c r="F126">
        <f>LN('Data of High Volatile Stocks '!C125/'Data of High Volatile Stocks '!C124)</f>
        <v>3.3443692449719301E-2</v>
      </c>
      <c r="G126">
        <f>LN('Data of High Volatile Stocks '!D125/'Data of High Volatile Stocks '!D124)</f>
        <v>-0.10538540087476453</v>
      </c>
      <c r="H126">
        <f>LN('Data of High Volatile Stocks '!E125/'Data of High Volatile Stocks '!E124)</f>
        <v>-3.2890940169758014E-2</v>
      </c>
      <c r="I126">
        <f>LN('Data of High Volatile Stocks '!F125/'Data of High Volatile Stocks '!F124)</f>
        <v>-0.12444901023780305</v>
      </c>
      <c r="J126">
        <f>LN('Data of High Volatile Stocks '!G125/'Data of High Volatile Stocks '!G124)</f>
        <v>-2.0510033598579721E-2</v>
      </c>
      <c r="K126">
        <f>LN('Data of High Volatile Stocks '!H125/'Data of High Volatile Stocks '!H124)</f>
        <v>2.4234602700458725E-3</v>
      </c>
      <c r="N126">
        <f t="shared" si="8"/>
        <v>-6.7405002312928512E-3</v>
      </c>
      <c r="O126">
        <f t="shared" si="9"/>
        <v>2.8175007107186345E-2</v>
      </c>
      <c r="P126">
        <f t="shared" si="10"/>
        <v>-0.10763952424600498</v>
      </c>
      <c r="Q126">
        <f t="shared" si="11"/>
        <v>-3.704969392960341E-2</v>
      </c>
      <c r="R126">
        <f t="shared" si="12"/>
        <v>-0.13672636191524412</v>
      </c>
      <c r="S126">
        <f t="shared" si="13"/>
        <v>-1.7438966950253463E-2</v>
      </c>
      <c r="T126">
        <f t="shared" si="14"/>
        <v>5.9511615944914248E-3</v>
      </c>
    </row>
    <row r="127" spans="5:20" x14ac:dyDescent="0.3">
      <c r="E127">
        <f>LN('Data of High Volatile Stocks '!B126/'Data of High Volatile Stocks '!B125)</f>
        <v>2.4953225674015705E-3</v>
      </c>
      <c r="F127">
        <f>LN('Data of High Volatile Stocks '!C126/'Data of High Volatile Stocks '!C125)</f>
        <v>7.5543262512306655E-2</v>
      </c>
      <c r="G127">
        <f>LN('Data of High Volatile Stocks '!D126/'Data of High Volatile Stocks '!D125)</f>
        <v>3.2706332409889662E-2</v>
      </c>
      <c r="H127">
        <f>LN('Data of High Volatile Stocks '!E126/'Data of High Volatile Stocks '!E125)</f>
        <v>-1.9901154317294799E-2</v>
      </c>
      <c r="I127">
        <f>LN('Data of High Volatile Stocks '!F126/'Data of High Volatile Stocks '!F125)</f>
        <v>5.4782346192206587E-2</v>
      </c>
      <c r="J127">
        <f>LN('Data of High Volatile Stocks '!G126/'Data of High Volatile Stocks '!G125)</f>
        <v>5.9171007601718402E-2</v>
      </c>
      <c r="K127">
        <f>LN('Data of High Volatile Stocks '!H126/'Data of High Volatile Stocks '!H125)</f>
        <v>3.47295665842429E-2</v>
      </c>
      <c r="N127">
        <f t="shared" si="8"/>
        <v>1.0634204103231768E-2</v>
      </c>
      <c r="O127">
        <f t="shared" si="9"/>
        <v>7.02745771697737E-2</v>
      </c>
      <c r="P127">
        <f t="shared" si="10"/>
        <v>3.0452209038649217E-2</v>
      </c>
      <c r="Q127">
        <f t="shared" si="11"/>
        <v>-2.4059908077140191E-2</v>
      </c>
      <c r="R127">
        <f t="shared" si="12"/>
        <v>4.2504994514765512E-2</v>
      </c>
      <c r="S127">
        <f t="shared" si="13"/>
        <v>6.224207425004466E-2</v>
      </c>
      <c r="T127">
        <f t="shared" si="14"/>
        <v>3.8257267908688455E-2</v>
      </c>
    </row>
    <row r="128" spans="5:20" x14ac:dyDescent="0.3">
      <c r="E128">
        <f>LN('Data of High Volatile Stocks '!B127/'Data of High Volatile Stocks '!B126)</f>
        <v>-5.3098497142485122E-2</v>
      </c>
      <c r="F128">
        <f>LN('Data of High Volatile Stocks '!C127/'Data of High Volatile Stocks '!C126)</f>
        <v>1.5887916650792883E-2</v>
      </c>
      <c r="G128">
        <f>LN('Data of High Volatile Stocks '!D127/'Data of High Volatile Stocks '!D126)</f>
        <v>0.13518585176828488</v>
      </c>
      <c r="H128">
        <f>LN('Data of High Volatile Stocks '!E127/'Data of High Volatile Stocks '!E126)</f>
        <v>-2.1704846515168866E-2</v>
      </c>
      <c r="I128">
        <f>LN('Data of High Volatile Stocks '!F127/'Data of High Volatile Stocks '!F126)</f>
        <v>-3.5074907130832791E-2</v>
      </c>
      <c r="J128">
        <f>LN('Data of High Volatile Stocks '!G127/'Data of High Volatile Stocks '!G126)</f>
        <v>-7.9229236547574813E-2</v>
      </c>
      <c r="K128">
        <f>LN('Data of High Volatile Stocks '!H127/'Data of High Volatile Stocks '!H126)</f>
        <v>-1.8086519604294946E-2</v>
      </c>
      <c r="N128">
        <f t="shared" si="8"/>
        <v>-4.4959615606654929E-2</v>
      </c>
      <c r="O128">
        <f t="shared" si="9"/>
        <v>1.061923130825993E-2</v>
      </c>
      <c r="P128">
        <f t="shared" si="10"/>
        <v>0.13293172839704442</v>
      </c>
      <c r="Q128">
        <f t="shared" si="11"/>
        <v>-2.5863600275014258E-2</v>
      </c>
      <c r="R128">
        <f t="shared" si="12"/>
        <v>-4.7352258808273873E-2</v>
      </c>
      <c r="S128">
        <f t="shared" si="13"/>
        <v>-7.6158169899248562E-2</v>
      </c>
      <c r="T128">
        <f t="shared" si="14"/>
        <v>-1.4558818279849395E-2</v>
      </c>
    </row>
    <row r="129" spans="5:20" x14ac:dyDescent="0.3">
      <c r="E129">
        <f>LN('Data of High Volatile Stocks '!B128/'Data of High Volatile Stocks '!B127)</f>
        <v>-1.3227706097551202E-2</v>
      </c>
      <c r="F129">
        <f>LN('Data of High Volatile Stocks '!C128/'Data of High Volatile Stocks '!C127)</f>
        <v>-0.11378288124856251</v>
      </c>
      <c r="G129">
        <f>LN('Data of High Volatile Stocks '!D128/'Data of High Volatile Stocks '!D127)</f>
        <v>-5.0618048755141316E-2</v>
      </c>
      <c r="H129">
        <f>LN('Data of High Volatile Stocks '!E128/'Data of High Volatile Stocks '!E127)</f>
        <v>4.6576702739809404E-3</v>
      </c>
      <c r="I129">
        <f>LN('Data of High Volatile Stocks '!F128/'Data of High Volatile Stocks '!F127)</f>
        <v>3.1391661714536251E-2</v>
      </c>
      <c r="J129">
        <f>LN('Data of High Volatile Stocks '!G128/'Data of High Volatile Stocks '!G127)</f>
        <v>1.1212451033678805E-2</v>
      </c>
      <c r="K129">
        <f>LN('Data of High Volatile Stocks '!H128/'Data of High Volatile Stocks '!H127)</f>
        <v>-2.6861285267858508E-2</v>
      </c>
      <c r="N129">
        <f t="shared" si="8"/>
        <v>-5.0888245617210053E-3</v>
      </c>
      <c r="O129">
        <f t="shared" si="9"/>
        <v>-0.11905156659109546</v>
      </c>
      <c r="P129">
        <f t="shared" si="10"/>
        <v>-5.2872172126381761E-2</v>
      </c>
      <c r="Q129">
        <f t="shared" si="11"/>
        <v>4.9891651413554693E-4</v>
      </c>
      <c r="R129">
        <f t="shared" si="12"/>
        <v>1.9114310037095173E-2</v>
      </c>
      <c r="S129">
        <f t="shared" si="13"/>
        <v>1.4283517682005063E-2</v>
      </c>
      <c r="T129">
        <f t="shared" si="14"/>
        <v>-2.3333583943412957E-2</v>
      </c>
    </row>
    <row r="130" spans="5:20" x14ac:dyDescent="0.3">
      <c r="E130">
        <f>LN('Data of High Volatile Stocks '!B129/'Data of High Volatile Stocks '!B128)</f>
        <v>3.7247036733696434E-2</v>
      </c>
      <c r="F130">
        <f>LN('Data of High Volatile Stocks '!C129/'Data of High Volatile Stocks '!C128)</f>
        <v>0.10707422479134097</v>
      </c>
      <c r="G130">
        <f>LN('Data of High Volatile Stocks '!D129/'Data of High Volatile Stocks '!D128)</f>
        <v>7.7642793791215067E-2</v>
      </c>
      <c r="H130">
        <f>LN('Data of High Volatile Stocks '!E129/'Data of High Volatile Stocks '!E128)</f>
        <v>7.0994171968199932E-2</v>
      </c>
      <c r="I130">
        <f>LN('Data of High Volatile Stocks '!F129/'Data of High Volatile Stocks '!F128)</f>
        <v>7.249227647622021E-2</v>
      </c>
      <c r="J130">
        <f>LN('Data of High Volatile Stocks '!G129/'Data of High Volatile Stocks '!G128)</f>
        <v>-8.7145975014097483E-4</v>
      </c>
      <c r="K130">
        <f>LN('Data of High Volatile Stocks '!H129/'Data of High Volatile Stocks '!H128)</f>
        <v>2.4159654701314995E-2</v>
      </c>
      <c r="N130">
        <f t="shared" si="8"/>
        <v>4.5385918269526634E-2</v>
      </c>
      <c r="O130">
        <f t="shared" si="9"/>
        <v>0.10180553944880802</v>
      </c>
      <c r="P130">
        <f t="shared" si="10"/>
        <v>7.5388670419974615E-2</v>
      </c>
      <c r="Q130">
        <f t="shared" si="11"/>
        <v>6.6835418208354536E-2</v>
      </c>
      <c r="R130">
        <f t="shared" si="12"/>
        <v>6.0214924798779129E-2</v>
      </c>
      <c r="S130">
        <f t="shared" si="13"/>
        <v>2.1996068981852829E-3</v>
      </c>
      <c r="T130">
        <f t="shared" si="14"/>
        <v>2.7687356025760546E-2</v>
      </c>
    </row>
    <row r="131" spans="5:20" x14ac:dyDescent="0.3">
      <c r="E131">
        <f>LN('Data of High Volatile Stocks '!B130/'Data of High Volatile Stocks '!B129)</f>
        <v>0</v>
      </c>
      <c r="F131">
        <f>LN('Data of High Volatile Stocks '!C130/'Data of High Volatile Stocks '!C129)</f>
        <v>9.8943891510034743E-2</v>
      </c>
      <c r="G131">
        <f>LN('Data of High Volatile Stocks '!D130/'Data of High Volatile Stocks '!D129)</f>
        <v>1.3915608188344738E-3</v>
      </c>
      <c r="H131">
        <f>LN('Data of High Volatile Stocks '!E130/'Data of High Volatile Stocks '!E129)</f>
        <v>1.0762821839447391E-2</v>
      </c>
      <c r="I131">
        <f>LN('Data of High Volatile Stocks '!F130/'Data of High Volatile Stocks '!F129)</f>
        <v>1.1092263900373983E-2</v>
      </c>
      <c r="J131">
        <f>LN('Data of High Volatile Stocks '!G130/'Data of High Volatile Stocks '!G129)</f>
        <v>-5.0788672499190293E-2</v>
      </c>
      <c r="K131">
        <f>LN('Data of High Volatile Stocks '!H130/'Data of High Volatile Stocks '!H129)</f>
        <v>-8.4641639152631398E-2</v>
      </c>
      <c r="N131">
        <f t="shared" si="8"/>
        <v>8.1388815358301968E-3</v>
      </c>
      <c r="O131">
        <f t="shared" si="9"/>
        <v>9.3675206167501787E-2</v>
      </c>
      <c r="P131">
        <f t="shared" si="10"/>
        <v>-8.6256255240597284E-4</v>
      </c>
      <c r="Q131">
        <f t="shared" si="11"/>
        <v>6.6040680796019971E-3</v>
      </c>
      <c r="R131">
        <f t="shared" si="12"/>
        <v>-1.1850877770670943E-3</v>
      </c>
      <c r="S131">
        <f t="shared" si="13"/>
        <v>-4.7717605850864035E-2</v>
      </c>
      <c r="T131">
        <f t="shared" si="14"/>
        <v>-8.111393782818585E-2</v>
      </c>
    </row>
    <row r="132" spans="5:20" x14ac:dyDescent="0.3">
      <c r="E132">
        <f>LN('Data of High Volatile Stocks '!B131/'Data of High Volatile Stocks '!B130)</f>
        <v>-5.1447058812377064E-3</v>
      </c>
      <c r="F132">
        <f>LN('Data of High Volatile Stocks '!C131/'Data of High Volatile Stocks '!C130)</f>
        <v>-1.2531819487861102E-2</v>
      </c>
      <c r="G132">
        <f>LN('Data of High Volatile Stocks '!D131/'Data of High Volatile Stocks '!D130)</f>
        <v>-7.9299970619402457E-2</v>
      </c>
      <c r="H132">
        <f>LN('Data of High Volatile Stocks '!E131/'Data of High Volatile Stocks '!E130)</f>
        <v>2.1387332598165475E-3</v>
      </c>
      <c r="I132">
        <f>LN('Data of High Volatile Stocks '!F131/'Data of High Volatile Stocks '!F130)</f>
        <v>1.1390125249109352E-2</v>
      </c>
      <c r="J132">
        <f>LN('Data of High Volatile Stocks '!G131/'Data of High Volatile Stocks '!G130)</f>
        <v>-2.0200172142925839E-3</v>
      </c>
      <c r="K132">
        <f>LN('Data of High Volatile Stocks '!H131/'Data of High Volatile Stocks '!H130)</f>
        <v>1.9551300185831812E-2</v>
      </c>
      <c r="N132">
        <f t="shared" si="8"/>
        <v>2.9941756545924904E-3</v>
      </c>
      <c r="O132">
        <f t="shared" si="9"/>
        <v>-1.7800504830394054E-2</v>
      </c>
      <c r="P132">
        <f t="shared" si="10"/>
        <v>-8.1554093990642909E-2</v>
      </c>
      <c r="Q132">
        <f t="shared" si="11"/>
        <v>-2.020020500028846E-3</v>
      </c>
      <c r="R132">
        <f t="shared" si="12"/>
        <v>-8.8722642833172563E-4</v>
      </c>
      <c r="S132">
        <f t="shared" si="13"/>
        <v>1.0510494340336737E-3</v>
      </c>
      <c r="T132">
        <f t="shared" si="14"/>
        <v>2.3079001510277364E-2</v>
      </c>
    </row>
    <row r="133" spans="5:20" x14ac:dyDescent="0.3">
      <c r="E133">
        <f>LN('Data of High Volatile Stocks '!B132/'Data of High Volatile Stocks '!B131)</f>
        <v>6.8519946436755935E-2</v>
      </c>
      <c r="F133">
        <f>LN('Data of High Volatile Stocks '!C132/'Data of High Volatile Stocks '!C131)</f>
        <v>6.7031750559157065E-3</v>
      </c>
      <c r="G133">
        <f>LN('Data of High Volatile Stocks '!D132/'Data of High Volatile Stocks '!D131)</f>
        <v>-1.6202456702147042E-2</v>
      </c>
      <c r="H133">
        <f>LN('Data of High Volatile Stocks '!E132/'Data of High Volatile Stocks '!E131)</f>
        <v>3.4575492498813219E-2</v>
      </c>
      <c r="I133">
        <f>LN('Data of High Volatile Stocks '!F132/'Data of High Volatile Stocks '!F131)</f>
        <v>6.062462181643484E-2</v>
      </c>
      <c r="J133">
        <f>LN('Data of High Volatile Stocks '!G132/'Data of High Volatile Stocks '!G131)</f>
        <v>9.681306060819686E-2</v>
      </c>
      <c r="K133">
        <f>LN('Data of High Volatile Stocks '!H132/'Data of High Volatile Stocks '!H131)</f>
        <v>5.2511342820127944E-3</v>
      </c>
      <c r="N133">
        <f t="shared" si="8"/>
        <v>7.6658827972586135E-2</v>
      </c>
      <c r="O133">
        <f t="shared" si="9"/>
        <v>1.4344897133827528E-3</v>
      </c>
      <c r="P133">
        <f t="shared" si="10"/>
        <v>-1.8456580073387491E-2</v>
      </c>
      <c r="Q133">
        <f t="shared" si="11"/>
        <v>3.0416738738967827E-2</v>
      </c>
      <c r="R133">
        <f t="shared" si="12"/>
        <v>4.8347270138993759E-2</v>
      </c>
      <c r="S133">
        <f t="shared" si="13"/>
        <v>9.9884127256523111E-2</v>
      </c>
      <c r="T133">
        <f t="shared" si="14"/>
        <v>8.7788356064583458E-3</v>
      </c>
    </row>
    <row r="134" spans="5:20" x14ac:dyDescent="0.3">
      <c r="E134">
        <f>LN('Data of High Volatile Stocks '!B133/'Data of High Volatile Stocks '!B132)</f>
        <v>-1.3943845200280171E-2</v>
      </c>
      <c r="F134">
        <f>LN('Data of High Volatile Stocks '!C133/'Data of High Volatile Stocks '!C132)</f>
        <v>1.6794939775492117E-2</v>
      </c>
      <c r="G134">
        <f>LN('Data of High Volatile Stocks '!D133/'Data of High Volatile Stocks '!D132)</f>
        <v>6.5035774520683506E-3</v>
      </c>
      <c r="H134">
        <f>LN('Data of High Volatile Stocks '!E133/'Data of High Volatile Stocks '!E132)</f>
        <v>-2.2541652935089463E-2</v>
      </c>
      <c r="I134">
        <f>LN('Data of High Volatile Stocks '!F133/'Data of High Volatile Stocks '!F132)</f>
        <v>7.2329842672084546E-2</v>
      </c>
      <c r="J134">
        <f>LN('Data of High Volatile Stocks '!G133/'Data of High Volatile Stocks '!G132)</f>
        <v>3.524666140486947E-2</v>
      </c>
      <c r="K134">
        <f>LN('Data of High Volatile Stocks '!H133/'Data of High Volatile Stocks '!H132)</f>
        <v>-1.5836857171345101E-2</v>
      </c>
      <c r="N134">
        <f t="shared" si="8"/>
        <v>-5.804963664449974E-3</v>
      </c>
      <c r="O134">
        <f t="shared" si="9"/>
        <v>1.1526254432959163E-2</v>
      </c>
      <c r="P134">
        <f t="shared" si="10"/>
        <v>4.249454080827904E-3</v>
      </c>
      <c r="Q134">
        <f t="shared" si="11"/>
        <v>-2.6700406694934856E-2</v>
      </c>
      <c r="R134">
        <f t="shared" si="12"/>
        <v>6.0052490994643465E-2</v>
      </c>
      <c r="S134">
        <f t="shared" si="13"/>
        <v>3.8317728053195728E-2</v>
      </c>
      <c r="T134">
        <f t="shared" si="14"/>
        <v>-1.2309155846899549E-2</v>
      </c>
    </row>
    <row r="135" spans="5:20" x14ac:dyDescent="0.3">
      <c r="E135">
        <f>LN('Data of High Volatile Stocks '!B134/'Data of High Volatile Stocks '!B133)</f>
        <v>-1.228516679457769E-2</v>
      </c>
      <c r="F135">
        <f>LN('Data of High Volatile Stocks '!C134/'Data of High Volatile Stocks '!C133)</f>
        <v>-4.8261664966555456E-2</v>
      </c>
      <c r="G135">
        <f>LN('Data of High Volatile Stocks '!D134/'Data of High Volatile Stocks '!D133)</f>
        <v>-2.5629657345232912E-2</v>
      </c>
      <c r="H135">
        <f>LN('Data of High Volatile Stocks '!E134/'Data of High Volatile Stocks '!E133)</f>
        <v>1.9095987614353622E-2</v>
      </c>
      <c r="I135">
        <f>LN('Data of High Volatile Stocks '!F134/'Data of High Volatile Stocks '!F133)</f>
        <v>3.0382083688122972E-2</v>
      </c>
      <c r="J135">
        <f>LN('Data of High Volatile Stocks '!G134/'Data of High Volatile Stocks '!G133)</f>
        <v>-1.2317821871349889E-2</v>
      </c>
      <c r="K135">
        <f>LN('Data of High Volatile Stocks '!H134/'Data of High Volatile Stocks '!H133)</f>
        <v>-1.1740466347258683E-2</v>
      </c>
      <c r="N135">
        <f t="shared" ref="N135:N198" si="15">E135-E$202</f>
        <v>-4.1462852587474935E-3</v>
      </c>
      <c r="O135">
        <f t="shared" ref="O135:O198" si="16">F135-F$202</f>
        <v>-5.3530350309088412E-2</v>
      </c>
      <c r="P135">
        <f t="shared" ref="P135:P198" si="17">G135-G$202</f>
        <v>-2.7883780716473357E-2</v>
      </c>
      <c r="Q135">
        <f t="shared" ref="Q135:Q198" si="18">H135-H$202</f>
        <v>1.4937233854508229E-2</v>
      </c>
      <c r="R135">
        <f t="shared" ref="R135:R198" si="19">I135-I$202</f>
        <v>1.8104732010681895E-2</v>
      </c>
      <c r="S135">
        <f t="shared" ref="S135:S198" si="20">J135-J$202</f>
        <v>-9.2467552230236314E-3</v>
      </c>
      <c r="T135">
        <f t="shared" ref="T135:T198" si="21">K135-K$202</f>
        <v>-8.2127650228131319E-3</v>
      </c>
    </row>
    <row r="136" spans="5:20" x14ac:dyDescent="0.3">
      <c r="E136">
        <f>LN('Data of High Volatile Stocks '!B135/'Data of High Volatile Stocks '!B134)</f>
        <v>-0.11654770504839063</v>
      </c>
      <c r="F136">
        <f>LN('Data of High Volatile Stocks '!C135/'Data of High Volatile Stocks '!C134)</f>
        <v>-0.19688360406589453</v>
      </c>
      <c r="G136">
        <f>LN('Data of High Volatile Stocks '!D135/'Data of High Volatile Stocks '!D134)</f>
        <v>0.16755849829302888</v>
      </c>
      <c r="H136">
        <f>LN('Data of High Volatile Stocks '!E135/'Data of High Volatile Stocks '!E134)</f>
        <v>-7.3311764184613062E-2</v>
      </c>
      <c r="I136">
        <f>LN('Data of High Volatile Stocks '!F135/'Data of High Volatile Stocks '!F134)</f>
        <v>1.8005782127930157E-2</v>
      </c>
      <c r="J136">
        <f>LN('Data of High Volatile Stocks '!G135/'Data of High Volatile Stocks '!G134)</f>
        <v>1.9860182909306648E-2</v>
      </c>
      <c r="K136">
        <f>LN('Data of High Volatile Stocks '!H135/'Data of High Volatile Stocks '!H134)</f>
        <v>2.2156337856140084E-2</v>
      </c>
      <c r="N136">
        <f t="shared" si="15"/>
        <v>-0.10840882351256043</v>
      </c>
      <c r="O136">
        <f t="shared" si="16"/>
        <v>-0.20215228940842747</v>
      </c>
      <c r="P136">
        <f t="shared" si="17"/>
        <v>0.16530437492178843</v>
      </c>
      <c r="Q136">
        <f t="shared" si="18"/>
        <v>-7.7470517944458459E-2</v>
      </c>
      <c r="R136">
        <f t="shared" si="19"/>
        <v>5.7284304504890797E-3</v>
      </c>
      <c r="S136">
        <f t="shared" si="20"/>
        <v>2.2931249557632906E-2</v>
      </c>
      <c r="T136">
        <f t="shared" si="21"/>
        <v>2.5684039180585636E-2</v>
      </c>
    </row>
    <row r="137" spans="5:20" x14ac:dyDescent="0.3">
      <c r="E137">
        <f>LN('Data of High Volatile Stocks '!B136/'Data of High Volatile Stocks '!B135)</f>
        <v>-7.7211072391337704E-2</v>
      </c>
      <c r="F137">
        <f>LN('Data of High Volatile Stocks '!C136/'Data of High Volatile Stocks '!C135)</f>
        <v>-0.1743783712174326</v>
      </c>
      <c r="G137">
        <f>LN('Data of High Volatile Stocks '!D136/'Data of High Volatile Stocks '!D135)</f>
        <v>-5.9371963995249251E-2</v>
      </c>
      <c r="H137">
        <f>LN('Data of High Volatile Stocks '!E136/'Data of High Volatile Stocks '!E135)</f>
        <v>-4.4195180912313801E-2</v>
      </c>
      <c r="I137">
        <f>LN('Data of High Volatile Stocks '!F136/'Data of High Volatile Stocks '!F135)</f>
        <v>-5.0225763778723613E-2</v>
      </c>
      <c r="J137">
        <f>LN('Data of High Volatile Stocks '!G136/'Data of High Volatile Stocks '!G135)</f>
        <v>-5.7751056620703047E-2</v>
      </c>
      <c r="K137">
        <f>LN('Data of High Volatile Stocks '!H136/'Data of High Volatile Stocks '!H135)</f>
        <v>2.0511815305666658E-2</v>
      </c>
      <c r="N137">
        <f t="shared" si="15"/>
        <v>-6.9072190855507504E-2</v>
      </c>
      <c r="O137">
        <f t="shared" si="16"/>
        <v>-0.17964705655996555</v>
      </c>
      <c r="P137">
        <f t="shared" si="17"/>
        <v>-6.1626087366489696E-2</v>
      </c>
      <c r="Q137">
        <f t="shared" si="18"/>
        <v>-4.8353934672159198E-2</v>
      </c>
      <c r="R137">
        <f t="shared" si="19"/>
        <v>-6.2503115456164687E-2</v>
      </c>
      <c r="S137">
        <f t="shared" si="20"/>
        <v>-5.4679989972376788E-2</v>
      </c>
      <c r="T137">
        <f t="shared" si="21"/>
        <v>2.4039516630112209E-2</v>
      </c>
    </row>
    <row r="138" spans="5:20" x14ac:dyDescent="0.3">
      <c r="E138">
        <f>LN('Data of High Volatile Stocks '!B137/'Data of High Volatile Stocks '!B136)</f>
        <v>-0.35357184370111666</v>
      </c>
      <c r="F138">
        <f>LN('Data of High Volatile Stocks '!C137/'Data of High Volatile Stocks '!C136)</f>
        <v>-0.16181190096221826</v>
      </c>
      <c r="G138">
        <f>LN('Data of High Volatile Stocks '!D137/'Data of High Volatile Stocks '!D136)</f>
        <v>-0.1724988020979133</v>
      </c>
      <c r="H138">
        <f>LN('Data of High Volatile Stocks '!E137/'Data of High Volatile Stocks '!E136)</f>
        <v>-8.7745695095324108E-2</v>
      </c>
      <c r="I138">
        <f>LN('Data of High Volatile Stocks '!F137/'Data of High Volatile Stocks '!F136)</f>
        <v>-9.4060041758655913E-2</v>
      </c>
      <c r="J138">
        <f>LN('Data of High Volatile Stocks '!G137/'Data of High Volatile Stocks '!G136)</f>
        <v>-0.10528523996054961</v>
      </c>
      <c r="K138">
        <f>LN('Data of High Volatile Stocks '!H137/'Data of High Volatile Stocks '!H136)</f>
        <v>-2.6987638890902239E-2</v>
      </c>
      <c r="N138">
        <f t="shared" si="15"/>
        <v>-0.34543296216528646</v>
      </c>
      <c r="O138">
        <f t="shared" si="16"/>
        <v>-0.1670805863047512</v>
      </c>
      <c r="P138">
        <f t="shared" si="17"/>
        <v>-0.17475292546915375</v>
      </c>
      <c r="Q138">
        <f t="shared" si="18"/>
        <v>-9.1904448855169504E-2</v>
      </c>
      <c r="R138">
        <f t="shared" si="19"/>
        <v>-0.10633739343609699</v>
      </c>
      <c r="S138">
        <f t="shared" si="20"/>
        <v>-0.10221417331222336</v>
      </c>
      <c r="T138">
        <f t="shared" si="21"/>
        <v>-2.3459937566456687E-2</v>
      </c>
    </row>
    <row r="139" spans="5:20" x14ac:dyDescent="0.3">
      <c r="E139">
        <f>LN('Data of High Volatile Stocks '!B138/'Data of High Volatile Stocks '!B137)</f>
        <v>-3.3680532777665806E-2</v>
      </c>
      <c r="F139">
        <f>LN('Data of High Volatile Stocks '!C138/'Data of High Volatile Stocks '!C137)</f>
        <v>0.10039156133463924</v>
      </c>
      <c r="G139">
        <f>LN('Data of High Volatile Stocks '!D138/'Data of High Volatile Stocks '!D137)</f>
        <v>-4.0681376350321832E-2</v>
      </c>
      <c r="H139">
        <f>LN('Data of High Volatile Stocks '!E138/'Data of High Volatile Stocks '!E137)</f>
        <v>0.15004957843147887</v>
      </c>
      <c r="I139">
        <f>LN('Data of High Volatile Stocks '!F138/'Data of High Volatile Stocks '!F137)</f>
        <v>0.19310929248793407</v>
      </c>
      <c r="J139">
        <f>LN('Data of High Volatile Stocks '!G138/'Data of High Volatile Stocks '!G137)</f>
        <v>3.6219775827201463E-2</v>
      </c>
      <c r="K139">
        <f>LN('Data of High Volatile Stocks '!H138/'Data of High Volatile Stocks '!H137)</f>
        <v>-3.6741313768967887E-2</v>
      </c>
      <c r="N139">
        <f t="shared" si="15"/>
        <v>-2.5541651241835609E-2</v>
      </c>
      <c r="O139">
        <f t="shared" si="16"/>
        <v>9.5122875992106282E-2</v>
      </c>
      <c r="P139">
        <f t="shared" si="17"/>
        <v>-4.2935499721562277E-2</v>
      </c>
      <c r="Q139">
        <f t="shared" si="18"/>
        <v>0.14589082467163347</v>
      </c>
      <c r="R139">
        <f t="shared" si="19"/>
        <v>0.180831940810493</v>
      </c>
      <c r="S139">
        <f t="shared" si="20"/>
        <v>3.9290842475527721E-2</v>
      </c>
      <c r="T139">
        <f t="shared" si="21"/>
        <v>-3.3213612444522332E-2</v>
      </c>
    </row>
    <row r="140" spans="5:20" x14ac:dyDescent="0.3">
      <c r="E140">
        <f>LN('Data of High Volatile Stocks '!B139/'Data of High Volatile Stocks '!B138)</f>
        <v>1.9694290802925944E-2</v>
      </c>
      <c r="F140">
        <f>LN('Data of High Volatile Stocks '!C139/'Data of High Volatile Stocks '!C138)</f>
        <v>8.6021541754435785E-2</v>
      </c>
      <c r="G140">
        <f>LN('Data of High Volatile Stocks '!D139/'Data of High Volatile Stocks '!D138)</f>
        <v>4.4927874494915893E-2</v>
      </c>
      <c r="H140">
        <f>LN('Data of High Volatile Stocks '!E139/'Data of High Volatile Stocks '!E138)</f>
        <v>4.9804003861292537E-2</v>
      </c>
      <c r="I140">
        <f>LN('Data of High Volatile Stocks '!F139/'Data of High Volatile Stocks '!F138)</f>
        <v>6.6702123546037898E-2</v>
      </c>
      <c r="J140">
        <f>LN('Data of High Volatile Stocks '!G139/'Data of High Volatile Stocks '!G138)</f>
        <v>6.1243625240718594E-2</v>
      </c>
      <c r="K140">
        <f>LN('Data of High Volatile Stocks '!H139/'Data of High Volatile Stocks '!H138)</f>
        <v>2.9534693697991915E-2</v>
      </c>
      <c r="N140">
        <f t="shared" si="15"/>
        <v>2.7833172338756141E-2</v>
      </c>
      <c r="O140">
        <f t="shared" si="16"/>
        <v>8.0752856411902829E-2</v>
      </c>
      <c r="P140">
        <f t="shared" si="17"/>
        <v>4.2673751123675448E-2</v>
      </c>
      <c r="Q140">
        <f t="shared" si="18"/>
        <v>4.5645250101447141E-2</v>
      </c>
      <c r="R140">
        <f t="shared" si="19"/>
        <v>5.4424771868596816E-2</v>
      </c>
      <c r="S140">
        <f t="shared" si="20"/>
        <v>6.4314691889044845E-2</v>
      </c>
      <c r="T140">
        <f t="shared" si="21"/>
        <v>3.306239502243747E-2</v>
      </c>
    </row>
    <row r="141" spans="5:20" x14ac:dyDescent="0.3">
      <c r="E141">
        <f>LN('Data of High Volatile Stocks '!B140/'Data of High Volatile Stocks '!B139)</f>
        <v>2.1437048130605259E-2</v>
      </c>
      <c r="F141">
        <f>LN('Data of High Volatile Stocks '!C140/'Data of High Volatile Stocks '!C139)</f>
        <v>3.3706006796873862E-2</v>
      </c>
      <c r="G141">
        <f>LN('Data of High Volatile Stocks '!D140/'Data of High Volatile Stocks '!D139)</f>
        <v>2.9231041391464221E-2</v>
      </c>
      <c r="H141">
        <f>LN('Data of High Volatile Stocks '!E140/'Data of High Volatile Stocks '!E139)</f>
        <v>3.0889431415958124E-2</v>
      </c>
      <c r="I141">
        <f>LN('Data of High Volatile Stocks '!F140/'Data of High Volatile Stocks '!F139)</f>
        <v>-9.3956218897437698E-3</v>
      </c>
      <c r="J141">
        <f>LN('Data of High Volatile Stocks '!G140/'Data of High Volatile Stocks '!G139)</f>
        <v>0.16574009309389118</v>
      </c>
      <c r="K141">
        <f>LN('Data of High Volatile Stocks '!H140/'Data of High Volatile Stocks '!H139)</f>
        <v>0.18884406532807349</v>
      </c>
      <c r="N141">
        <f t="shared" si="15"/>
        <v>2.9575929666435456E-2</v>
      </c>
      <c r="O141">
        <f t="shared" si="16"/>
        <v>2.8437321454340907E-2</v>
      </c>
      <c r="P141">
        <f t="shared" si="17"/>
        <v>2.6976918020223777E-2</v>
      </c>
      <c r="Q141">
        <f t="shared" si="18"/>
        <v>2.6730677656112731E-2</v>
      </c>
      <c r="R141">
        <f t="shared" si="19"/>
        <v>-2.1672973567184846E-2</v>
      </c>
      <c r="S141">
        <f t="shared" si="20"/>
        <v>0.16881115974221744</v>
      </c>
      <c r="T141">
        <f t="shared" si="21"/>
        <v>0.19237176665251904</v>
      </c>
    </row>
    <row r="142" spans="5:20" x14ac:dyDescent="0.3">
      <c r="E142">
        <f>LN('Data of High Volatile Stocks '!B141/'Data of High Volatile Stocks '!B140)</f>
        <v>-9.5898444046148487E-3</v>
      </c>
      <c r="F142">
        <f>LN('Data of High Volatile Stocks '!C141/'Data of High Volatile Stocks '!C140)</f>
        <v>2.0918367795160681E-2</v>
      </c>
      <c r="G142">
        <f>LN('Data of High Volatile Stocks '!D141/'Data of High Volatile Stocks '!D140)</f>
        <v>-0.14230063990976244</v>
      </c>
      <c r="H142">
        <f>LN('Data of High Volatile Stocks '!E141/'Data of High Volatile Stocks '!E140)</f>
        <v>-1.5872272440853732E-2</v>
      </c>
      <c r="I142">
        <f>LN('Data of High Volatile Stocks '!F141/'Data of High Volatile Stocks '!F140)</f>
        <v>-9.4847375593674222E-3</v>
      </c>
      <c r="J142">
        <f>LN('Data of High Volatile Stocks '!G141/'Data of High Volatile Stocks '!G140)</f>
        <v>-2.0013815345456921E-2</v>
      </c>
      <c r="K142">
        <f>LN('Data of High Volatile Stocks '!H141/'Data of High Volatile Stocks '!H140)</f>
        <v>-1.5227991433554196E-2</v>
      </c>
      <c r="N142">
        <f t="shared" si="15"/>
        <v>-1.4509628687846519E-3</v>
      </c>
      <c r="O142">
        <f t="shared" si="16"/>
        <v>1.5649682452627725E-2</v>
      </c>
      <c r="P142">
        <f t="shared" si="17"/>
        <v>-0.14455476328100289</v>
      </c>
      <c r="Q142">
        <f t="shared" si="18"/>
        <v>-2.0031026200699124E-2</v>
      </c>
      <c r="R142">
        <f t="shared" si="19"/>
        <v>-2.1762089236808502E-2</v>
      </c>
      <c r="S142">
        <f t="shared" si="20"/>
        <v>-1.6942748697130663E-2</v>
      </c>
      <c r="T142">
        <f t="shared" si="21"/>
        <v>-1.1700290109108644E-2</v>
      </c>
    </row>
    <row r="143" spans="5:20" x14ac:dyDescent="0.3">
      <c r="E143">
        <f>LN('Data of High Volatile Stocks '!B142/'Data of High Volatile Stocks '!B141)</f>
        <v>-8.0221167565149548E-2</v>
      </c>
      <c r="F143">
        <f>LN('Data of High Volatile Stocks '!C142/'Data of High Volatile Stocks '!C141)</f>
        <v>-0.11811217954708526</v>
      </c>
      <c r="G143">
        <f>LN('Data of High Volatile Stocks '!D142/'Data of High Volatile Stocks '!D141)</f>
        <v>-0.21864072434267109</v>
      </c>
      <c r="H143">
        <f>LN('Data of High Volatile Stocks '!E142/'Data of High Volatile Stocks '!E141)</f>
        <v>-4.9761509559063825E-2</v>
      </c>
      <c r="I143">
        <f>LN('Data of High Volatile Stocks '!F142/'Data of High Volatile Stocks '!F141)</f>
        <v>-3.7215101848712795E-2</v>
      </c>
      <c r="J143">
        <f>LN('Data of High Volatile Stocks '!G142/'Data of High Volatile Stocks '!G141)</f>
        <v>-5.1471933083496998E-2</v>
      </c>
      <c r="K143">
        <f>LN('Data of High Volatile Stocks '!H142/'Data of High Volatile Stocks '!H141)</f>
        <v>-2.7889669094331087E-2</v>
      </c>
      <c r="N143">
        <f t="shared" si="15"/>
        <v>-7.2082286029319348E-2</v>
      </c>
      <c r="O143">
        <f t="shared" si="16"/>
        <v>-0.12338086488961822</v>
      </c>
      <c r="P143">
        <f t="shared" si="17"/>
        <v>-0.22089484771391155</v>
      </c>
      <c r="Q143">
        <f t="shared" si="18"/>
        <v>-5.3920263318909221E-2</v>
      </c>
      <c r="R143">
        <f t="shared" si="19"/>
        <v>-4.9492453526153876E-2</v>
      </c>
      <c r="S143">
        <f t="shared" si="20"/>
        <v>-4.840086643517074E-2</v>
      </c>
      <c r="T143">
        <f t="shared" si="21"/>
        <v>-2.4361967769885536E-2</v>
      </c>
    </row>
    <row r="144" spans="5:20" x14ac:dyDescent="0.3">
      <c r="E144">
        <f>LN('Data of High Volatile Stocks '!B143/'Data of High Volatile Stocks '!B142)</f>
        <v>9.9309764127672326E-2</v>
      </c>
      <c r="F144">
        <f>LN('Data of High Volatile Stocks '!C143/'Data of High Volatile Stocks '!C142)</f>
        <v>5.0414219856278482E-2</v>
      </c>
      <c r="G144">
        <f>LN('Data of High Volatile Stocks '!D143/'Data of High Volatile Stocks '!D142)</f>
        <v>0.10124619305162462</v>
      </c>
      <c r="H144">
        <f>LN('Data of High Volatile Stocks '!E143/'Data of High Volatile Stocks '!E142)</f>
        <v>4.083349201092807E-2</v>
      </c>
      <c r="I144">
        <f>LN('Data of High Volatile Stocks '!F143/'Data of High Volatile Stocks '!F142)</f>
        <v>0.15992737782161165</v>
      </c>
      <c r="J144">
        <f>LN('Data of High Volatile Stocks '!G143/'Data of High Volatile Stocks '!G142)</f>
        <v>0.14869852830445077</v>
      </c>
      <c r="K144">
        <f>LN('Data of High Volatile Stocks '!H143/'Data of High Volatile Stocks '!H142)</f>
        <v>6.0844589281159253E-3</v>
      </c>
      <c r="N144">
        <f t="shared" si="15"/>
        <v>0.10744864566350253</v>
      </c>
      <c r="O144">
        <f t="shared" si="16"/>
        <v>4.5145534513745526E-2</v>
      </c>
      <c r="P144">
        <f t="shared" si="17"/>
        <v>9.8992069680384168E-2</v>
      </c>
      <c r="Q144">
        <f t="shared" si="18"/>
        <v>3.6674738251082674E-2</v>
      </c>
      <c r="R144">
        <f t="shared" si="19"/>
        <v>0.14765002614417058</v>
      </c>
      <c r="S144">
        <f t="shared" si="20"/>
        <v>0.15176959495277703</v>
      </c>
      <c r="T144">
        <f t="shared" si="21"/>
        <v>9.6121602525614767E-3</v>
      </c>
    </row>
    <row r="145" spans="5:20" x14ac:dyDescent="0.3">
      <c r="E145">
        <f>LN('Data of High Volatile Stocks '!B144/'Data of High Volatile Stocks '!B143)</f>
        <v>5.4177785701810838E-2</v>
      </c>
      <c r="F145">
        <f>LN('Data of High Volatile Stocks '!C144/'Data of High Volatile Stocks '!C143)</f>
        <v>0.14595248333802965</v>
      </c>
      <c r="G145">
        <f>LN('Data of High Volatile Stocks '!D144/'Data of High Volatile Stocks '!D143)</f>
        <v>4.2270806490672171E-2</v>
      </c>
      <c r="H145">
        <f>LN('Data of High Volatile Stocks '!E144/'Data of High Volatile Stocks '!E143)</f>
        <v>1.9943291773761983E-2</v>
      </c>
      <c r="I145">
        <f>LN('Data of High Volatile Stocks '!F144/'Data of High Volatile Stocks '!F143)</f>
        <v>4.424406175699961E-2</v>
      </c>
      <c r="J145">
        <f>LN('Data of High Volatile Stocks '!G144/'Data of High Volatile Stocks '!G143)</f>
        <v>1.765024919212746E-2</v>
      </c>
      <c r="K145">
        <f>LN('Data of High Volatile Stocks '!H144/'Data of High Volatile Stocks '!H143)</f>
        <v>-8.8809952551221788E-4</v>
      </c>
      <c r="N145">
        <f t="shared" si="15"/>
        <v>6.2316667237641038E-2</v>
      </c>
      <c r="O145">
        <f t="shared" si="16"/>
        <v>0.14068379799549671</v>
      </c>
      <c r="P145">
        <f t="shared" si="17"/>
        <v>4.0016683119431726E-2</v>
      </c>
      <c r="Q145">
        <f t="shared" si="18"/>
        <v>1.5784538013916591E-2</v>
      </c>
      <c r="R145">
        <f t="shared" si="19"/>
        <v>3.1966710079558536E-2</v>
      </c>
      <c r="S145">
        <f t="shared" si="20"/>
        <v>2.0721315840453718E-2</v>
      </c>
      <c r="T145">
        <f t="shared" si="21"/>
        <v>2.6396017989333341E-3</v>
      </c>
    </row>
    <row r="146" spans="5:20" x14ac:dyDescent="0.3">
      <c r="E146">
        <f>LN('Data of High Volatile Stocks '!B145/'Data of High Volatile Stocks '!B144)</f>
        <v>7.8434066628033136E-2</v>
      </c>
      <c r="F146">
        <f>LN('Data of High Volatile Stocks '!C145/'Data of High Volatile Stocks '!C144)</f>
        <v>-4.7780169133549689E-2</v>
      </c>
      <c r="G146">
        <f>LN('Data of High Volatile Stocks '!D145/'Data of High Volatile Stocks '!D144)</f>
        <v>0.11714918334888243</v>
      </c>
      <c r="H146">
        <f>LN('Data of High Volatile Stocks '!E145/'Data of High Volatile Stocks '!E144)</f>
        <v>2.4184490880992608E-2</v>
      </c>
      <c r="I146">
        <f>LN('Data of High Volatile Stocks '!F145/'Data of High Volatile Stocks '!F144)</f>
        <v>-9.7245498919947444E-3</v>
      </c>
      <c r="J146">
        <f>LN('Data of High Volatile Stocks '!G145/'Data of High Volatile Stocks '!G144)</f>
        <v>-2.140612215193282E-2</v>
      </c>
      <c r="K146">
        <f>LN('Data of High Volatile Stocks '!H145/'Data of High Volatile Stocks '!H144)</f>
        <v>2.9473974782701227E-2</v>
      </c>
      <c r="N146">
        <f t="shared" si="15"/>
        <v>8.6572948163863336E-2</v>
      </c>
      <c r="O146">
        <f t="shared" si="16"/>
        <v>-5.3048854476082645E-2</v>
      </c>
      <c r="P146">
        <f t="shared" si="17"/>
        <v>0.11489505997764198</v>
      </c>
      <c r="Q146">
        <f t="shared" si="18"/>
        <v>2.0025737121147216E-2</v>
      </c>
      <c r="R146">
        <f t="shared" si="19"/>
        <v>-2.2001901569435822E-2</v>
      </c>
      <c r="S146">
        <f t="shared" si="20"/>
        <v>-1.8335055503606562E-2</v>
      </c>
      <c r="T146">
        <f t="shared" si="21"/>
        <v>3.3001676107146778E-2</v>
      </c>
    </row>
    <row r="147" spans="5:20" x14ac:dyDescent="0.3">
      <c r="E147">
        <f>LN('Data of High Volatile Stocks '!B146/'Data of High Volatile Stocks '!B145)</f>
        <v>-6.4605670029439059E-3</v>
      </c>
      <c r="F147">
        <f>LN('Data of High Volatile Stocks '!C146/'Data of High Volatile Stocks '!C145)</f>
        <v>2.2073202006057967E-2</v>
      </c>
      <c r="G147">
        <f>LN('Data of High Volatile Stocks '!D146/'Data of High Volatile Stocks '!D145)</f>
        <v>-0.11233978991446893</v>
      </c>
      <c r="H147">
        <f>LN('Data of High Volatile Stocks '!E146/'Data of High Volatile Stocks '!E145)</f>
        <v>-1.9596707904973497E-2</v>
      </c>
      <c r="I147">
        <f>LN('Data of High Volatile Stocks '!F146/'Data of High Volatile Stocks '!F145)</f>
        <v>8.25452114820375E-2</v>
      </c>
      <c r="J147">
        <f>LN('Data of High Volatile Stocks '!G146/'Data of High Volatile Stocks '!G145)</f>
        <v>1.9694582006651674E-2</v>
      </c>
      <c r="K147">
        <f>LN('Data of High Volatile Stocks '!H146/'Data of High Volatile Stocks '!H145)</f>
        <v>-1.2879130339905936E-2</v>
      </c>
      <c r="N147">
        <f t="shared" si="15"/>
        <v>1.6783145328862908E-3</v>
      </c>
      <c r="O147">
        <f t="shared" si="16"/>
        <v>1.6804516663525011E-2</v>
      </c>
      <c r="P147">
        <f t="shared" si="17"/>
        <v>-0.11459391328570938</v>
      </c>
      <c r="Q147">
        <f t="shared" si="18"/>
        <v>-2.3755461664818889E-2</v>
      </c>
      <c r="R147">
        <f t="shared" si="19"/>
        <v>7.0267859804596419E-2</v>
      </c>
      <c r="S147">
        <f t="shared" si="20"/>
        <v>2.2765648654977932E-2</v>
      </c>
      <c r="T147">
        <f t="shared" si="21"/>
        <v>-9.3514290154603844E-3</v>
      </c>
    </row>
    <row r="148" spans="5:20" x14ac:dyDescent="0.3">
      <c r="E148">
        <f>LN('Data of High Volatile Stocks '!B147/'Data of High Volatile Stocks '!B146)</f>
        <v>3.0098031157279565E-2</v>
      </c>
      <c r="F148">
        <f>LN('Data of High Volatile Stocks '!C147/'Data of High Volatile Stocks '!C146)</f>
        <v>9.1401648068875171E-2</v>
      </c>
      <c r="G148">
        <f>LN('Data of High Volatile Stocks '!D147/'Data of High Volatile Stocks '!D146)</f>
        <v>3.1503656299620909E-2</v>
      </c>
      <c r="H148">
        <f>LN('Data of High Volatile Stocks '!E147/'Data of High Volatile Stocks '!E146)</f>
        <v>0.15045125364282638</v>
      </c>
      <c r="I148">
        <f>LN('Data of High Volatile Stocks '!F147/'Data of High Volatile Stocks '!F146)</f>
        <v>8.3861373863444999E-2</v>
      </c>
      <c r="J148">
        <f>LN('Data of High Volatile Stocks '!G147/'Data of High Volatile Stocks '!G146)</f>
        <v>3.2156277648951868E-2</v>
      </c>
      <c r="K148">
        <f>LN('Data of High Volatile Stocks '!H147/'Data of High Volatile Stocks '!H146)</f>
        <v>2.8995859421949866E-2</v>
      </c>
      <c r="N148">
        <f t="shared" si="15"/>
        <v>3.8236912693109762E-2</v>
      </c>
      <c r="O148">
        <f t="shared" si="16"/>
        <v>8.6132962726342216E-2</v>
      </c>
      <c r="P148">
        <f t="shared" si="17"/>
        <v>2.9249532928380464E-2</v>
      </c>
      <c r="Q148">
        <f t="shared" si="18"/>
        <v>0.14629249988298099</v>
      </c>
      <c r="R148">
        <f t="shared" si="19"/>
        <v>7.1584022186003918E-2</v>
      </c>
      <c r="S148">
        <f t="shared" si="20"/>
        <v>3.5227344297278126E-2</v>
      </c>
      <c r="T148">
        <f t="shared" si="21"/>
        <v>3.2523560746395418E-2</v>
      </c>
    </row>
    <row r="149" spans="5:20" x14ac:dyDescent="0.3">
      <c r="E149">
        <f>LN('Data of High Volatile Stocks '!B148/'Data of High Volatile Stocks '!B147)</f>
        <v>-5.9221742879247662E-2</v>
      </c>
      <c r="F149">
        <f>LN('Data of High Volatile Stocks '!C148/'Data of High Volatile Stocks '!C147)</f>
        <v>-3.1920979136775926E-2</v>
      </c>
      <c r="G149">
        <f>LN('Data of High Volatile Stocks '!D148/'Data of High Volatile Stocks '!D147)</f>
        <v>0.22194087805806614</v>
      </c>
      <c r="H149">
        <f>LN('Data of High Volatile Stocks '!E148/'Data of High Volatile Stocks '!E147)</f>
        <v>-8.682186939296653E-2</v>
      </c>
      <c r="I149">
        <f>LN('Data of High Volatile Stocks '!F148/'Data of High Volatile Stocks '!F147)</f>
        <v>-1.2488598945685018E-2</v>
      </c>
      <c r="J149">
        <f>LN('Data of High Volatile Stocks '!G148/'Data of High Volatile Stocks '!G147)</f>
        <v>2.1460051019769069E-2</v>
      </c>
      <c r="K149">
        <f>LN('Data of High Volatile Stocks '!H148/'Data of High Volatile Stocks '!H147)</f>
        <v>-2.2662899218263027E-3</v>
      </c>
      <c r="N149">
        <f t="shared" si="15"/>
        <v>-5.1082861343417468E-2</v>
      </c>
      <c r="O149">
        <f t="shared" si="16"/>
        <v>-3.7189664479308882E-2</v>
      </c>
      <c r="P149">
        <f t="shared" si="17"/>
        <v>0.21968675468682569</v>
      </c>
      <c r="Q149">
        <f t="shared" si="18"/>
        <v>-9.0980623152811926E-2</v>
      </c>
      <c r="R149">
        <f t="shared" si="19"/>
        <v>-2.4765950623126094E-2</v>
      </c>
      <c r="S149">
        <f t="shared" si="20"/>
        <v>2.4531117668095327E-2</v>
      </c>
      <c r="T149">
        <f t="shared" si="21"/>
        <v>1.2614114026192492E-3</v>
      </c>
    </row>
    <row r="150" spans="5:20" x14ac:dyDescent="0.3">
      <c r="E150">
        <f>LN('Data of High Volatile Stocks '!B149/'Data of High Volatile Stocks '!B148)</f>
        <v>-3.8204439973858815E-3</v>
      </c>
      <c r="F150">
        <f>LN('Data of High Volatile Stocks '!C149/'Data of High Volatile Stocks '!C148)</f>
        <v>-3.1209042714046401E-2</v>
      </c>
      <c r="G150">
        <f>LN('Data of High Volatile Stocks '!D149/'Data of High Volatile Stocks '!D148)</f>
        <v>-7.1376554462285247E-2</v>
      </c>
      <c r="H150">
        <f>LN('Data of High Volatile Stocks '!E149/'Data of High Volatile Stocks '!E148)</f>
        <v>-1.9645994793604665E-2</v>
      </c>
      <c r="I150">
        <f>LN('Data of High Volatile Stocks '!F149/'Data of High Volatile Stocks '!F148)</f>
        <v>4.3044331305158584E-2</v>
      </c>
      <c r="J150">
        <f>LN('Data of High Volatile Stocks '!G149/'Data of High Volatile Stocks '!G148)</f>
        <v>-6.1819603038101766E-2</v>
      </c>
      <c r="K150">
        <f>LN('Data of High Volatile Stocks '!H149/'Data of High Volatile Stocks '!H148)</f>
        <v>2.948170208840737E-2</v>
      </c>
      <c r="N150">
        <f t="shared" si="15"/>
        <v>4.3184375384443148E-3</v>
      </c>
      <c r="O150">
        <f t="shared" si="16"/>
        <v>-3.6477728056579353E-2</v>
      </c>
      <c r="P150">
        <f t="shared" si="17"/>
        <v>-7.3630677833525698E-2</v>
      </c>
      <c r="Q150">
        <f t="shared" si="18"/>
        <v>-2.3804748553450057E-2</v>
      </c>
      <c r="R150">
        <f t="shared" si="19"/>
        <v>3.0766979627717506E-2</v>
      </c>
      <c r="S150">
        <f t="shared" si="20"/>
        <v>-5.8748536389775508E-2</v>
      </c>
      <c r="T150">
        <f t="shared" si="21"/>
        <v>3.3009403412852925E-2</v>
      </c>
    </row>
    <row r="151" spans="5:20" x14ac:dyDescent="0.3">
      <c r="E151">
        <f>LN('Data of High Volatile Stocks '!B150/'Data of High Volatile Stocks '!B149)</f>
        <v>0.18152379049715689</v>
      </c>
      <c r="F151">
        <f>LN('Data of High Volatile Stocks '!C150/'Data of High Volatile Stocks '!C149)</f>
        <v>8.3147476959898759E-3</v>
      </c>
      <c r="G151">
        <f>LN('Data of High Volatile Stocks '!D150/'Data of High Volatile Stocks '!D149)</f>
        <v>-0.11437488200931507</v>
      </c>
      <c r="H151">
        <f>LN('Data of High Volatile Stocks '!E150/'Data of High Volatile Stocks '!E149)</f>
        <v>-5.7946878043583609E-2</v>
      </c>
      <c r="I151">
        <f>LN('Data of High Volatile Stocks '!F150/'Data of High Volatile Stocks '!F149)</f>
        <v>-6.7783489079275464E-2</v>
      </c>
      <c r="J151">
        <f>LN('Data of High Volatile Stocks '!G150/'Data of High Volatile Stocks '!G149)</f>
        <v>-0.13598272355587571</v>
      </c>
      <c r="K151">
        <f>LN('Data of High Volatile Stocks '!H150/'Data of High Volatile Stocks '!H149)</f>
        <v>4.0078223567410524E-2</v>
      </c>
      <c r="N151">
        <f t="shared" si="15"/>
        <v>0.18966267203298709</v>
      </c>
      <c r="O151">
        <f t="shared" si="16"/>
        <v>3.0460623534569221E-3</v>
      </c>
      <c r="P151">
        <f t="shared" si="17"/>
        <v>-0.11662900538055553</v>
      </c>
      <c r="Q151">
        <f t="shared" si="18"/>
        <v>-6.2105631803429005E-2</v>
      </c>
      <c r="R151">
        <f t="shared" si="19"/>
        <v>-8.0060840756716545E-2</v>
      </c>
      <c r="S151">
        <f t="shared" si="20"/>
        <v>-0.13291165690754944</v>
      </c>
      <c r="T151">
        <f t="shared" si="21"/>
        <v>4.3605924891856079E-2</v>
      </c>
    </row>
    <row r="152" spans="5:20" x14ac:dyDescent="0.3">
      <c r="E152">
        <f>LN('Data of High Volatile Stocks '!B151/'Data of High Volatile Stocks '!B150)</f>
        <v>-4.2386132816084679E-2</v>
      </c>
      <c r="F152">
        <f>LN('Data of High Volatile Stocks '!C151/'Data of High Volatile Stocks '!C150)</f>
        <v>8.5021803018383857E-2</v>
      </c>
      <c r="G152">
        <f>LN('Data of High Volatile Stocks '!D151/'Data of High Volatile Stocks '!D150)</f>
        <v>0.39232875071113965</v>
      </c>
      <c r="H152">
        <f>LN('Data of High Volatile Stocks '!E151/'Data of High Volatile Stocks '!E150)</f>
        <v>-1.6656727589421282E-2</v>
      </c>
      <c r="I152">
        <f>LN('Data of High Volatile Stocks '!F151/'Data of High Volatile Stocks '!F150)</f>
        <v>0.33138160228265956</v>
      </c>
      <c r="J152">
        <f>LN('Data of High Volatile Stocks '!G151/'Data of High Volatile Stocks '!G150)</f>
        <v>0.11653077211128754</v>
      </c>
      <c r="K152">
        <f>LN('Data of High Volatile Stocks '!H151/'Data of High Volatile Stocks '!H150)</f>
        <v>7.4655819034779219E-2</v>
      </c>
      <c r="N152">
        <f t="shared" si="15"/>
        <v>-3.4247251280254479E-2</v>
      </c>
      <c r="O152">
        <f t="shared" si="16"/>
        <v>7.9753117675850901E-2</v>
      </c>
      <c r="P152">
        <f t="shared" si="17"/>
        <v>0.39007462733989923</v>
      </c>
      <c r="Q152">
        <f t="shared" si="18"/>
        <v>-2.0815481349266675E-2</v>
      </c>
      <c r="R152">
        <f t="shared" si="19"/>
        <v>0.31910425060521846</v>
      </c>
      <c r="S152">
        <f t="shared" si="20"/>
        <v>0.11960183875961379</v>
      </c>
      <c r="T152">
        <f t="shared" si="21"/>
        <v>7.8183520359224767E-2</v>
      </c>
    </row>
    <row r="153" spans="5:20" x14ac:dyDescent="0.3">
      <c r="E153">
        <f>LN('Data of High Volatile Stocks '!B152/'Data of High Volatile Stocks '!B151)</f>
        <v>-0.12488563497387067</v>
      </c>
      <c r="F153">
        <f>LN('Data of High Volatile Stocks '!C152/'Data of High Volatile Stocks '!C151)</f>
        <v>2.0157255871019374E-2</v>
      </c>
      <c r="G153">
        <f>LN('Data of High Volatile Stocks '!D152/'Data of High Volatile Stocks '!D151)</f>
        <v>0.12193583493093371</v>
      </c>
      <c r="H153">
        <f>LN('Data of High Volatile Stocks '!E152/'Data of High Volatile Stocks '!E151)</f>
        <v>1.6656727589421345E-2</v>
      </c>
      <c r="I153">
        <f>LN('Data of High Volatile Stocks '!F152/'Data of High Volatile Stocks '!F151)</f>
        <v>0.11901916501781334</v>
      </c>
      <c r="J153">
        <f>LN('Data of High Volatile Stocks '!G152/'Data of High Volatile Stocks '!G151)</f>
        <v>-6.9409028045245541E-2</v>
      </c>
      <c r="K153">
        <f>LN('Data of High Volatile Stocks '!H152/'Data of High Volatile Stocks '!H151)</f>
        <v>-3.9360444419652731E-3</v>
      </c>
      <c r="N153">
        <f t="shared" si="15"/>
        <v>-0.11674675343804047</v>
      </c>
      <c r="O153">
        <f t="shared" si="16"/>
        <v>1.488857052848642E-2</v>
      </c>
      <c r="P153">
        <f t="shared" si="17"/>
        <v>0.11968171155969326</v>
      </c>
      <c r="Q153">
        <f t="shared" si="18"/>
        <v>1.2497973829575952E-2</v>
      </c>
      <c r="R153">
        <f t="shared" si="19"/>
        <v>0.10674181334037226</v>
      </c>
      <c r="S153">
        <f t="shared" si="20"/>
        <v>-6.633796139691929E-2</v>
      </c>
      <c r="T153">
        <f t="shared" si="21"/>
        <v>-4.083431175197212E-4</v>
      </c>
    </row>
    <row r="154" spans="5:20" x14ac:dyDescent="0.3">
      <c r="E154">
        <f>LN('Data of High Volatile Stocks '!B153/'Data of High Volatile Stocks '!B152)</f>
        <v>7.4512203109842787E-2</v>
      </c>
      <c r="F154">
        <f>LN('Data of High Volatile Stocks '!C153/'Data of High Volatile Stocks '!C152)</f>
        <v>0.10025171957971366</v>
      </c>
      <c r="G154">
        <f>LN('Data of High Volatile Stocks '!D153/'Data of High Volatile Stocks '!D152)</f>
        <v>-3.9640340855734459E-3</v>
      </c>
      <c r="H154">
        <f>LN('Data of High Volatile Stocks '!E153/'Data of High Volatile Stocks '!E152)</f>
        <v>-2.4040947836872044E-2</v>
      </c>
      <c r="I154">
        <f>LN('Data of High Volatile Stocks '!F153/'Data of High Volatile Stocks '!F152)</f>
        <v>-2.1826873271124019E-2</v>
      </c>
      <c r="J154">
        <f>LN('Data of High Volatile Stocks '!G153/'Data of High Volatile Stocks '!G152)</f>
        <v>4.7801930670168932E-3</v>
      </c>
      <c r="K154">
        <f>LN('Data of High Volatile Stocks '!H153/'Data of High Volatile Stocks '!H152)</f>
        <v>5.6774915232279129E-2</v>
      </c>
      <c r="N154">
        <f t="shared" si="15"/>
        <v>8.2651084645672987E-2</v>
      </c>
      <c r="O154">
        <f t="shared" si="16"/>
        <v>9.49830342371807E-2</v>
      </c>
      <c r="P154">
        <f t="shared" si="17"/>
        <v>-6.2181574568138925E-3</v>
      </c>
      <c r="Q154">
        <f t="shared" si="18"/>
        <v>-2.8199701596717437E-2</v>
      </c>
      <c r="R154">
        <f t="shared" si="19"/>
        <v>-3.4104224948565097E-2</v>
      </c>
      <c r="S154">
        <f t="shared" si="20"/>
        <v>7.8512597153431504E-3</v>
      </c>
      <c r="T154">
        <f t="shared" si="21"/>
        <v>6.0302616556724684E-2</v>
      </c>
    </row>
    <row r="155" spans="5:20" x14ac:dyDescent="0.3">
      <c r="E155">
        <f>LN('Data of High Volatile Stocks '!B154/'Data of High Volatile Stocks '!B153)</f>
        <v>3.3580425981406765E-2</v>
      </c>
      <c r="F155">
        <f>LN('Data of High Volatile Stocks '!C154/'Data of High Volatile Stocks '!C153)</f>
        <v>-7.3240468773888248E-2</v>
      </c>
      <c r="G155">
        <f>LN('Data of High Volatile Stocks '!D154/'Data of High Volatile Stocks '!D153)</f>
        <v>-2.8095849769302041E-2</v>
      </c>
      <c r="H155">
        <f>LN('Data of High Volatile Stocks '!E154/'Data of High Volatile Stocks '!E153)</f>
        <v>6.273109022027613E-3</v>
      </c>
      <c r="I155">
        <f>LN('Data of High Volatile Stocks '!F154/'Data of High Volatile Stocks '!F153)</f>
        <v>4.1549002912872481E-2</v>
      </c>
      <c r="J155">
        <f>LN('Data of High Volatile Stocks '!G154/'Data of High Volatile Stocks '!G153)</f>
        <v>-2.4596699082397415E-3</v>
      </c>
      <c r="K155">
        <f>LN('Data of High Volatile Stocks '!H154/'Data of High Volatile Stocks '!H153)</f>
        <v>-3.7852297276504923E-2</v>
      </c>
      <c r="N155">
        <f t="shared" si="15"/>
        <v>4.1719307517236959E-2</v>
      </c>
      <c r="O155">
        <f t="shared" si="16"/>
        <v>-7.8509154116421204E-2</v>
      </c>
      <c r="P155">
        <f t="shared" si="17"/>
        <v>-3.034997314054249E-2</v>
      </c>
      <c r="Q155">
        <f t="shared" si="18"/>
        <v>2.1143552621822196E-3</v>
      </c>
      <c r="R155">
        <f t="shared" si="19"/>
        <v>2.9271651235431403E-2</v>
      </c>
      <c r="S155">
        <f t="shared" si="20"/>
        <v>6.113967400865161E-4</v>
      </c>
      <c r="T155">
        <f t="shared" si="21"/>
        <v>-3.4324595952059368E-2</v>
      </c>
    </row>
    <row r="156" spans="5:20" x14ac:dyDescent="0.3">
      <c r="E156">
        <f>LN('Data of High Volatile Stocks '!B155/'Data of High Volatile Stocks '!B154)</f>
        <v>5.1970457101762402E-2</v>
      </c>
      <c r="F156">
        <f>LN('Data of High Volatile Stocks '!C155/'Data of High Volatile Stocks '!C154)</f>
        <v>5.5324525620661237E-2</v>
      </c>
      <c r="G156">
        <f>LN('Data of High Volatile Stocks '!D155/'Data of High Volatile Stocks '!D154)</f>
        <v>0.14850149380012254</v>
      </c>
      <c r="H156">
        <f>LN('Data of High Volatile Stocks '!E155/'Data of High Volatile Stocks '!E154)</f>
        <v>-8.5092959599970708E-2</v>
      </c>
      <c r="I156">
        <f>LN('Data of High Volatile Stocks '!F155/'Data of High Volatile Stocks '!F154)</f>
        <v>0.12931111036207568</v>
      </c>
      <c r="J156">
        <f>LN('Data of High Volatile Stocks '!G155/'Data of High Volatile Stocks '!G154)</f>
        <v>0.19770315811911487</v>
      </c>
      <c r="K156">
        <f>LN('Data of High Volatile Stocks '!H155/'Data of High Volatile Stocks '!H154)</f>
        <v>4.1803493584913233E-2</v>
      </c>
      <c r="N156">
        <f t="shared" si="15"/>
        <v>6.0109338637592602E-2</v>
      </c>
      <c r="O156">
        <f t="shared" si="16"/>
        <v>5.0055840278128282E-2</v>
      </c>
      <c r="P156">
        <f t="shared" si="17"/>
        <v>0.14624737042888208</v>
      </c>
      <c r="Q156">
        <f t="shared" si="18"/>
        <v>-8.9251713359816104E-2</v>
      </c>
      <c r="R156">
        <f t="shared" si="19"/>
        <v>0.1170337586846346</v>
      </c>
      <c r="S156">
        <f t="shared" si="20"/>
        <v>0.20077422476744114</v>
      </c>
      <c r="T156">
        <f t="shared" si="21"/>
        <v>4.5331194909358788E-2</v>
      </c>
    </row>
    <row r="157" spans="5:20" x14ac:dyDescent="0.3">
      <c r="E157">
        <f>LN('Data of High Volatile Stocks '!B156/'Data of High Volatile Stocks '!B155)</f>
        <v>-9.5229797183004214E-2</v>
      </c>
      <c r="F157">
        <f>LN('Data of High Volatile Stocks '!C156/'Data of High Volatile Stocks '!C155)</f>
        <v>6.4606928012681765E-3</v>
      </c>
      <c r="G157">
        <f>LN('Data of High Volatile Stocks '!D156/'Data of High Volatile Stocks '!D155)</f>
        <v>-0.10109487849277794</v>
      </c>
      <c r="H157">
        <f>LN('Data of High Volatile Stocks '!E156/'Data of High Volatile Stocks '!E155)</f>
        <v>-9.7840235012267573E-2</v>
      </c>
      <c r="I157">
        <f>LN('Data of High Volatile Stocks '!F156/'Data of High Volatile Stocks '!F155)</f>
        <v>-3.543078307873997E-3</v>
      </c>
      <c r="J157">
        <f>LN('Data of High Volatile Stocks '!G156/'Data of High Volatile Stocks '!G155)</f>
        <v>-1.3524232224142502E-2</v>
      </c>
      <c r="K157">
        <f>LN('Data of High Volatile Stocks '!H156/'Data of High Volatile Stocks '!H155)</f>
        <v>-2.8588500693793355E-2</v>
      </c>
      <c r="N157">
        <f t="shared" si="15"/>
        <v>-8.7090915647174014E-2</v>
      </c>
      <c r="O157">
        <f t="shared" si="16"/>
        <v>1.1920074587352227E-3</v>
      </c>
      <c r="P157">
        <f t="shared" si="17"/>
        <v>-0.10334900186401839</v>
      </c>
      <c r="Q157">
        <f t="shared" si="18"/>
        <v>-0.10199898877211297</v>
      </c>
      <c r="R157">
        <f t="shared" si="19"/>
        <v>-1.5820429985315076E-2</v>
      </c>
      <c r="S157">
        <f t="shared" si="20"/>
        <v>-1.0453165575816244E-2</v>
      </c>
      <c r="T157">
        <f t="shared" si="21"/>
        <v>-2.5060799369347804E-2</v>
      </c>
    </row>
    <row r="158" spans="5:20" x14ac:dyDescent="0.3">
      <c r="E158">
        <f>LN('Data of High Volatile Stocks '!B157/'Data of High Volatile Stocks '!B156)</f>
        <v>7.9260652724207226E-3</v>
      </c>
      <c r="F158">
        <f>LN('Data of High Volatile Stocks '!C157/'Data of High Volatile Stocks '!C156)</f>
        <v>-1.5692288433397907E-2</v>
      </c>
      <c r="G158">
        <f>LN('Data of High Volatile Stocks '!D157/'Data of High Volatile Stocks '!D156)</f>
        <v>-0.10826970242135046</v>
      </c>
      <c r="H158">
        <f>LN('Data of High Volatile Stocks '!E157/'Data of High Volatile Stocks '!E156)</f>
        <v>1.3260595439390142E-2</v>
      </c>
      <c r="I158">
        <f>LN('Data of High Volatile Stocks '!F157/'Data of High Volatile Stocks '!F156)</f>
        <v>5.7224140613773573E-2</v>
      </c>
      <c r="J158">
        <f>LN('Data of High Volatile Stocks '!G157/'Data of High Volatile Stocks '!G156)</f>
        <v>-2.9345546273936603E-2</v>
      </c>
      <c r="K158">
        <f>LN('Data of High Volatile Stocks '!H157/'Data of High Volatile Stocks '!H156)</f>
        <v>2.1371614522501216E-2</v>
      </c>
      <c r="N158">
        <f t="shared" si="15"/>
        <v>1.6064946808250921E-2</v>
      </c>
      <c r="O158">
        <f t="shared" si="16"/>
        <v>-2.0960973775930862E-2</v>
      </c>
      <c r="P158">
        <f t="shared" si="17"/>
        <v>-0.11052382579259092</v>
      </c>
      <c r="Q158">
        <f t="shared" si="18"/>
        <v>9.1018416795447497E-3</v>
      </c>
      <c r="R158">
        <f t="shared" si="19"/>
        <v>4.4946788936332499E-2</v>
      </c>
      <c r="S158">
        <f t="shared" si="20"/>
        <v>-2.6274479625610345E-2</v>
      </c>
      <c r="T158">
        <f t="shared" si="21"/>
        <v>2.4899315846946768E-2</v>
      </c>
    </row>
    <row r="159" spans="5:20" x14ac:dyDescent="0.3">
      <c r="E159">
        <f>LN('Data of High Volatile Stocks '!B158/'Data of High Volatile Stocks '!B157)</f>
        <v>-3.6627586984919781E-2</v>
      </c>
      <c r="F159">
        <f>LN('Data of High Volatile Stocks '!C158/'Data of High Volatile Stocks '!C157)</f>
        <v>-2.0355376020253106E-2</v>
      </c>
      <c r="G159">
        <f>LN('Data of High Volatile Stocks '!D158/'Data of High Volatile Stocks '!D157)</f>
        <v>-4.7766326230091333E-2</v>
      </c>
      <c r="H159">
        <f>LN('Data of High Volatile Stocks '!E158/'Data of High Volatile Stocks '!E157)</f>
        <v>6.564934131150094E-3</v>
      </c>
      <c r="I159">
        <f>LN('Data of High Volatile Stocks '!F158/'Data of High Volatile Stocks '!F157)</f>
        <v>-1.8418111320567261E-2</v>
      </c>
      <c r="J159">
        <f>LN('Data of High Volatile Stocks '!G158/'Data of High Volatile Stocks '!G157)</f>
        <v>-4.5179615971545573E-2</v>
      </c>
      <c r="K159">
        <f>LN('Data of High Volatile Stocks '!H158/'Data of High Volatile Stocks '!H157)</f>
        <v>-2.1013640650770937E-2</v>
      </c>
      <c r="N159">
        <f t="shared" si="15"/>
        <v>-2.8488705449089585E-2</v>
      </c>
      <c r="O159">
        <f t="shared" si="16"/>
        <v>-2.5624061362786062E-2</v>
      </c>
      <c r="P159">
        <f t="shared" si="17"/>
        <v>-5.0020449601331778E-2</v>
      </c>
      <c r="Q159">
        <f t="shared" si="18"/>
        <v>2.4061803713047005E-3</v>
      </c>
      <c r="R159">
        <f t="shared" si="19"/>
        <v>-3.0695462998008339E-2</v>
      </c>
      <c r="S159">
        <f t="shared" si="20"/>
        <v>-4.2108549323219314E-2</v>
      </c>
      <c r="T159">
        <f t="shared" si="21"/>
        <v>-1.7485939326325386E-2</v>
      </c>
    </row>
    <row r="160" spans="5:20" x14ac:dyDescent="0.3">
      <c r="E160">
        <f>LN('Data of High Volatile Stocks '!B159/'Data of High Volatile Stocks '!B158)</f>
        <v>8.5417751154351768E-2</v>
      </c>
      <c r="F160">
        <f>LN('Data of High Volatile Stocks '!C159/'Data of High Volatile Stocks '!C158)</f>
        <v>1.128847717834683E-2</v>
      </c>
      <c r="G160">
        <f>LN('Data of High Volatile Stocks '!D159/'Data of High Volatile Stocks '!D158)</f>
        <v>1.8420984753385494E-2</v>
      </c>
      <c r="H160">
        <f>LN('Data of High Volatile Stocks '!E159/'Data of High Volatile Stocks '!E158)</f>
        <v>5.5056856003747406E-2</v>
      </c>
      <c r="I160">
        <f>LN('Data of High Volatile Stocks '!F159/'Data of High Volatile Stocks '!F158)</f>
        <v>1.0190690191534436E-2</v>
      </c>
      <c r="J160">
        <f>LN('Data of High Volatile Stocks '!G159/'Data of High Volatile Stocks '!G158)</f>
        <v>4.5333929074922886E-3</v>
      </c>
      <c r="K160">
        <f>LN('Data of High Volatile Stocks '!H159/'Data of High Volatile Stocks '!H158)</f>
        <v>-1.3452040467279738E-2</v>
      </c>
      <c r="N160">
        <f t="shared" si="15"/>
        <v>9.3556632690181968E-2</v>
      </c>
      <c r="O160">
        <f t="shared" si="16"/>
        <v>6.0197918358138765E-3</v>
      </c>
      <c r="P160">
        <f t="shared" si="17"/>
        <v>1.6166861382145049E-2</v>
      </c>
      <c r="Q160">
        <f t="shared" si="18"/>
        <v>5.089810224390201E-2</v>
      </c>
      <c r="R160">
        <f t="shared" si="19"/>
        <v>-2.0866614859066414E-3</v>
      </c>
      <c r="S160">
        <f t="shared" si="20"/>
        <v>7.6044595558185466E-3</v>
      </c>
      <c r="T160">
        <f t="shared" si="21"/>
        <v>-9.9243391428341862E-3</v>
      </c>
    </row>
    <row r="161" spans="5:20" x14ac:dyDescent="0.3">
      <c r="E161">
        <f>LN('Data of High Volatile Stocks '!B160/'Data of High Volatile Stocks '!B159)</f>
        <v>4.0922240122063407E-2</v>
      </c>
      <c r="F161">
        <f>LN('Data of High Volatile Stocks '!C160/'Data of High Volatile Stocks '!C159)</f>
        <v>-2.876473288413928E-2</v>
      </c>
      <c r="G161">
        <f>LN('Data of High Volatile Stocks '!D160/'Data of High Volatile Stocks '!D159)</f>
        <v>-4.484819335518013E-2</v>
      </c>
      <c r="H161">
        <f>LN('Data of High Volatile Stocks '!E160/'Data of High Volatile Stocks '!E159)</f>
        <v>2.1140493190398062E-2</v>
      </c>
      <c r="I161">
        <f>LN('Data of High Volatile Stocks '!F160/'Data of High Volatile Stocks '!F159)</f>
        <v>-0.172084982181827</v>
      </c>
      <c r="J161">
        <f>LN('Data of High Volatile Stocks '!G160/'Data of High Volatile Stocks '!G159)</f>
        <v>2.3121678949954184E-2</v>
      </c>
      <c r="K161">
        <f>LN('Data of High Volatile Stocks '!H160/'Data of High Volatile Stocks '!H159)</f>
        <v>-3.9965851643192829E-2</v>
      </c>
      <c r="N161">
        <f t="shared" si="15"/>
        <v>4.90611216578936E-2</v>
      </c>
      <c r="O161">
        <f t="shared" si="16"/>
        <v>-3.4033418226672232E-2</v>
      </c>
      <c r="P161">
        <f t="shared" si="17"/>
        <v>-4.7102316726420575E-2</v>
      </c>
      <c r="Q161">
        <f t="shared" si="18"/>
        <v>1.6981739430552669E-2</v>
      </c>
      <c r="R161">
        <f t="shared" si="19"/>
        <v>-0.18436233385926806</v>
      </c>
      <c r="S161">
        <f t="shared" si="20"/>
        <v>2.6192745598280442E-2</v>
      </c>
      <c r="T161">
        <f t="shared" si="21"/>
        <v>-3.6438150318747274E-2</v>
      </c>
    </row>
    <row r="162" spans="5:20" x14ac:dyDescent="0.3">
      <c r="E162">
        <f>LN('Data of High Volatile Stocks '!B161/'Data of High Volatile Stocks '!B160)</f>
        <v>-0.1382394451861558</v>
      </c>
      <c r="F162">
        <f>LN('Data of High Volatile Stocks '!C161/'Data of High Volatile Stocks '!C160)</f>
        <v>2.3122417420854212E-2</v>
      </c>
      <c r="G162">
        <f>LN('Data of High Volatile Stocks '!D161/'Data of High Volatile Stocks '!D160)</f>
        <v>0.13262287277273044</v>
      </c>
      <c r="H162">
        <f>LN('Data of High Volatile Stocks '!E161/'Data of High Volatile Stocks '!E160)</f>
        <v>2.0554320498149006E-2</v>
      </c>
      <c r="I162">
        <f>LN('Data of High Volatile Stocks '!F161/'Data of High Volatile Stocks '!F160)</f>
        <v>6.4900855129856799E-2</v>
      </c>
      <c r="J162">
        <f>LN('Data of High Volatile Stocks '!G161/'Data of High Volatile Stocks '!G160)</f>
        <v>-4.2565104806499589E-2</v>
      </c>
      <c r="K162">
        <f>LN('Data of High Volatile Stocks '!H161/'Data of High Volatile Stocks '!H160)</f>
        <v>-1.7647890254253347E-2</v>
      </c>
      <c r="N162">
        <f t="shared" si="15"/>
        <v>-0.1301005636503256</v>
      </c>
      <c r="O162">
        <f t="shared" si="16"/>
        <v>1.7853732078321256E-2</v>
      </c>
      <c r="P162">
        <f t="shared" si="17"/>
        <v>0.13036874940148999</v>
      </c>
      <c r="Q162">
        <f t="shared" si="18"/>
        <v>1.6395566738303613E-2</v>
      </c>
      <c r="R162">
        <f t="shared" si="19"/>
        <v>5.2623503452415718E-2</v>
      </c>
      <c r="S162">
        <f t="shared" si="20"/>
        <v>-3.9494038158173331E-2</v>
      </c>
      <c r="T162">
        <f t="shared" si="21"/>
        <v>-1.4120188929807796E-2</v>
      </c>
    </row>
    <row r="163" spans="5:20" x14ac:dyDescent="0.3">
      <c r="E163">
        <f>LN('Data of High Volatile Stocks '!B162/'Data of High Volatile Stocks '!B161)</f>
        <v>2.7586224390798823E-3</v>
      </c>
      <c r="F163">
        <f>LN('Data of High Volatile Stocks '!C162/'Data of High Volatile Stocks '!C161)</f>
        <v>4.8976888098646067E-2</v>
      </c>
      <c r="G163">
        <f>LN('Data of High Volatile Stocks '!D162/'Data of High Volatile Stocks '!D161)</f>
        <v>8.4923338448672815E-3</v>
      </c>
      <c r="H163">
        <f>LN('Data of High Volatile Stocks '!E162/'Data of High Volatile Stocks '!E161)</f>
        <v>1.7954860556595852E-2</v>
      </c>
      <c r="I163">
        <f>LN('Data of High Volatile Stocks '!F162/'Data of High Volatile Stocks '!F161)</f>
        <v>9.5728094416522941E-2</v>
      </c>
      <c r="J163">
        <f>LN('Data of High Volatile Stocks '!G162/'Data of High Volatile Stocks '!G161)</f>
        <v>6.8738084342659544E-2</v>
      </c>
      <c r="K163">
        <f>LN('Data of High Volatile Stocks '!H162/'Data of High Volatile Stocks '!H161)</f>
        <v>2.6543519922660738E-2</v>
      </c>
      <c r="N163">
        <f t="shared" si="15"/>
        <v>1.0897503974910079E-2</v>
      </c>
      <c r="O163">
        <f t="shared" si="16"/>
        <v>4.3708202756113111E-2</v>
      </c>
      <c r="P163">
        <f t="shared" si="17"/>
        <v>6.2382104736268349E-3</v>
      </c>
      <c r="Q163">
        <f t="shared" si="18"/>
        <v>1.379610679675046E-2</v>
      </c>
      <c r="R163">
        <f t="shared" si="19"/>
        <v>8.345074273908186E-2</v>
      </c>
      <c r="S163">
        <f t="shared" si="20"/>
        <v>7.1809150990985796E-2</v>
      </c>
      <c r="T163">
        <f t="shared" si="21"/>
        <v>3.0071221247106289E-2</v>
      </c>
    </row>
    <row r="164" spans="5:20" x14ac:dyDescent="0.3">
      <c r="E164">
        <f>LN('Data of High Volatile Stocks '!B163/'Data of High Volatile Stocks '!B162)</f>
        <v>3.6072441216701404E-2</v>
      </c>
      <c r="F164">
        <f>LN('Data of High Volatile Stocks '!C163/'Data of High Volatile Stocks '!C162)</f>
        <v>5.9915199338169696E-2</v>
      </c>
      <c r="G164">
        <f>LN('Data of High Volatile Stocks '!D163/'Data of High Volatile Stocks '!D162)</f>
        <v>-2.2636841231032191E-2</v>
      </c>
      <c r="H164">
        <f>LN('Data of High Volatile Stocks '!E163/'Data of High Volatile Stocks '!E162)</f>
        <v>-2.5257970741572273E-2</v>
      </c>
      <c r="I164">
        <f>LN('Data of High Volatile Stocks '!F163/'Data of High Volatile Stocks '!F162)</f>
        <v>4.3482418014136909E-2</v>
      </c>
      <c r="J164">
        <f>LN('Data of High Volatile Stocks '!G163/'Data of High Volatile Stocks '!G162)</f>
        <v>1.7921845118861295E-2</v>
      </c>
      <c r="K164">
        <f>LN('Data of High Volatile Stocks '!H163/'Data of High Volatile Stocks '!H162)</f>
        <v>8.1068845505785622E-2</v>
      </c>
      <c r="N164">
        <f t="shared" si="15"/>
        <v>4.4211322752531604E-2</v>
      </c>
      <c r="O164">
        <f t="shared" si="16"/>
        <v>5.464651399563674E-2</v>
      </c>
      <c r="P164">
        <f t="shared" si="17"/>
        <v>-2.4890964602272636E-2</v>
      </c>
      <c r="Q164">
        <f t="shared" si="18"/>
        <v>-2.9416724501417666E-2</v>
      </c>
      <c r="R164">
        <f t="shared" si="19"/>
        <v>3.1205066336695831E-2</v>
      </c>
      <c r="S164">
        <f t="shared" si="20"/>
        <v>2.0992911767187553E-2</v>
      </c>
      <c r="T164">
        <f t="shared" si="21"/>
        <v>8.459654683023117E-2</v>
      </c>
    </row>
    <row r="165" spans="5:20" x14ac:dyDescent="0.3">
      <c r="E165">
        <f>LN('Data of High Volatile Stocks '!B164/'Data of High Volatile Stocks '!B163)</f>
        <v>-3.3321407844811558E-2</v>
      </c>
      <c r="F165">
        <f>LN('Data of High Volatile Stocks '!C164/'Data of High Volatile Stocks '!C163)</f>
        <v>5.740540856430848E-2</v>
      </c>
      <c r="G165">
        <f>LN('Data of High Volatile Stocks '!D164/'Data of High Volatile Stocks '!D163)</f>
        <v>-5.9541814860866273E-2</v>
      </c>
      <c r="H165">
        <f>LN('Data of High Volatile Stocks '!E164/'Data of High Volatile Stocks '!E163)</f>
        <v>0.10968920366176307</v>
      </c>
      <c r="I165">
        <f>LN('Data of High Volatile Stocks '!F164/'Data of High Volatile Stocks '!F163)</f>
        <v>0.29550086218968008</v>
      </c>
      <c r="J165">
        <f>LN('Data of High Volatile Stocks '!G164/'Data of High Volatile Stocks '!G163)</f>
        <v>2.6706403612974095E-2</v>
      </c>
      <c r="K165">
        <f>LN('Data of High Volatile Stocks '!H164/'Data of High Volatile Stocks '!H163)</f>
        <v>-9.4765530644836445E-3</v>
      </c>
      <c r="N165">
        <f t="shared" si="15"/>
        <v>-2.5182526308981362E-2</v>
      </c>
      <c r="O165">
        <f t="shared" si="16"/>
        <v>5.2136723221775524E-2</v>
      </c>
      <c r="P165">
        <f t="shared" si="17"/>
        <v>-6.1795938232106717E-2</v>
      </c>
      <c r="Q165">
        <f t="shared" si="18"/>
        <v>0.10553044990191768</v>
      </c>
      <c r="R165">
        <f t="shared" si="19"/>
        <v>0.28322351051223899</v>
      </c>
      <c r="S165">
        <f t="shared" si="20"/>
        <v>2.9777470261300353E-2</v>
      </c>
      <c r="T165">
        <f t="shared" si="21"/>
        <v>-5.9488517400380931E-3</v>
      </c>
    </row>
    <row r="166" spans="5:20" x14ac:dyDescent="0.3">
      <c r="E166">
        <f>LN('Data of High Volatile Stocks '!B165/'Data of High Volatile Stocks '!B164)</f>
        <v>-6.4308903302904025E-3</v>
      </c>
      <c r="F166">
        <f>LN('Data of High Volatile Stocks '!C165/'Data of High Volatile Stocks '!C164)</f>
        <v>6.907351530932275E-2</v>
      </c>
      <c r="G166">
        <f>LN('Data of High Volatile Stocks '!D165/'Data of High Volatile Stocks '!D164)</f>
        <v>-6.559766999073781E-4</v>
      </c>
      <c r="H166">
        <f>LN('Data of High Volatile Stocks '!E165/'Data of High Volatile Stocks '!E164)</f>
        <v>6.2609718493390421E-2</v>
      </c>
      <c r="I166">
        <f>LN('Data of High Volatile Stocks '!F165/'Data of High Volatile Stocks '!F164)</f>
        <v>7.2289191782761025E-2</v>
      </c>
      <c r="J166">
        <f>LN('Data of High Volatile Stocks '!G165/'Data of High Volatile Stocks '!G164)</f>
        <v>0.15317541449462227</v>
      </c>
      <c r="K166">
        <f>LN('Data of High Volatile Stocks '!H165/'Data of High Volatile Stocks '!H164)</f>
        <v>-1.191463691683395E-2</v>
      </c>
      <c r="N166">
        <f t="shared" si="15"/>
        <v>1.7079912055397942E-3</v>
      </c>
      <c r="O166">
        <f t="shared" si="16"/>
        <v>6.3804829966789794E-2</v>
      </c>
      <c r="P166">
        <f t="shared" si="17"/>
        <v>-2.9101000711478247E-3</v>
      </c>
      <c r="Q166">
        <f t="shared" si="18"/>
        <v>5.8450964733545024E-2</v>
      </c>
      <c r="R166">
        <f t="shared" si="19"/>
        <v>6.0011840105319944E-2</v>
      </c>
      <c r="S166">
        <f t="shared" si="20"/>
        <v>0.15624648114294853</v>
      </c>
      <c r="T166">
        <f t="shared" si="21"/>
        <v>-8.3869355923883986E-3</v>
      </c>
    </row>
    <row r="167" spans="5:20" x14ac:dyDescent="0.3">
      <c r="E167">
        <f>LN('Data of High Volatile Stocks '!B166/'Data of High Volatile Stocks '!B165)</f>
        <v>-4.8145210906185412E-2</v>
      </c>
      <c r="F167">
        <f>LN('Data of High Volatile Stocks '!C166/'Data of High Volatile Stocks '!C165)</f>
        <v>-0.10508015768312563</v>
      </c>
      <c r="G167">
        <f>LN('Data of High Volatile Stocks '!D166/'Data of High Volatile Stocks '!D165)</f>
        <v>-0.1530576242640824</v>
      </c>
      <c r="H167">
        <f>LN('Data of High Volatile Stocks '!E166/'Data of High Volatile Stocks '!E165)</f>
        <v>-6.6957485961071641E-3</v>
      </c>
      <c r="I167">
        <f>LN('Data of High Volatile Stocks '!F166/'Data of High Volatile Stocks '!F165)</f>
        <v>-0.16188725494707254</v>
      </c>
      <c r="J167">
        <f>LN('Data of High Volatile Stocks '!G166/'Data of High Volatile Stocks '!G165)</f>
        <v>-0.10876457347717644</v>
      </c>
      <c r="K167">
        <f>LN('Data of High Volatile Stocks '!H166/'Data of High Volatile Stocks '!H165)</f>
        <v>-3.1028742238693067E-2</v>
      </c>
      <c r="N167">
        <f t="shared" si="15"/>
        <v>-4.0006329370355212E-2</v>
      </c>
      <c r="O167">
        <f t="shared" si="16"/>
        <v>-0.11034884302565859</v>
      </c>
      <c r="P167">
        <f t="shared" si="17"/>
        <v>-0.15531174763532285</v>
      </c>
      <c r="Q167">
        <f t="shared" si="18"/>
        <v>-1.0854502355952558E-2</v>
      </c>
      <c r="R167">
        <f t="shared" si="19"/>
        <v>-0.17416460662451361</v>
      </c>
      <c r="S167">
        <f t="shared" si="20"/>
        <v>-0.10569350682885019</v>
      </c>
      <c r="T167">
        <f t="shared" si="21"/>
        <v>-2.7501040914247515E-2</v>
      </c>
    </row>
    <row r="168" spans="5:20" x14ac:dyDescent="0.3">
      <c r="E168">
        <f>LN('Data of High Volatile Stocks '!B167/'Data of High Volatile Stocks '!B166)</f>
        <v>-8.742163495865915E-3</v>
      </c>
      <c r="F168">
        <f>LN('Data of High Volatile Stocks '!C167/'Data of High Volatile Stocks '!C166)</f>
        <v>-4.2752071389219125E-2</v>
      </c>
      <c r="G168">
        <f>LN('Data of High Volatile Stocks '!D167/'Data of High Volatile Stocks '!D166)</f>
        <v>-8.7683630338544358E-2</v>
      </c>
      <c r="H168">
        <f>LN('Data of High Volatile Stocks '!E167/'Data of High Volatile Stocks '!E166)</f>
        <v>-3.7189566529049159E-2</v>
      </c>
      <c r="I168">
        <f>LN('Data of High Volatile Stocks '!F167/'Data of High Volatile Stocks '!F166)</f>
        <v>-0.17687023606295368</v>
      </c>
      <c r="J168">
        <f>LN('Data of High Volatile Stocks '!G167/'Data of High Volatile Stocks '!G166)</f>
        <v>-6.2095712342624294E-2</v>
      </c>
      <c r="K168">
        <f>LN('Data of High Volatile Stocks '!H167/'Data of High Volatile Stocks '!H166)</f>
        <v>-0.1127954941453444</v>
      </c>
      <c r="N168">
        <f t="shared" si="15"/>
        <v>-6.0328196003571824E-4</v>
      </c>
      <c r="O168">
        <f t="shared" si="16"/>
        <v>-4.802075673175208E-2</v>
      </c>
      <c r="P168">
        <f t="shared" si="17"/>
        <v>-8.993775370978481E-2</v>
      </c>
      <c r="Q168">
        <f t="shared" si="18"/>
        <v>-4.1348320288894555E-2</v>
      </c>
      <c r="R168">
        <f t="shared" si="19"/>
        <v>-0.18914758774039475</v>
      </c>
      <c r="S168">
        <f t="shared" si="20"/>
        <v>-5.9024645694298036E-2</v>
      </c>
      <c r="T168">
        <f t="shared" si="21"/>
        <v>-0.10926779282089885</v>
      </c>
    </row>
    <row r="169" spans="5:20" x14ac:dyDescent="0.3">
      <c r="E169">
        <f>LN('Data of High Volatile Stocks '!B168/'Data of High Volatile Stocks '!B167)</f>
        <v>-5.3092087112069405E-2</v>
      </c>
      <c r="F169">
        <f>LN('Data of High Volatile Stocks '!C168/'Data of High Volatile Stocks '!C167)</f>
        <v>-0.15563169866206281</v>
      </c>
      <c r="G169">
        <f>LN('Data of High Volatile Stocks '!D168/'Data of High Volatile Stocks '!D167)</f>
        <v>8.4513399326754165E-3</v>
      </c>
      <c r="H169">
        <f>LN('Data of High Volatile Stocks '!E168/'Data of High Volatile Stocks '!E167)</f>
        <v>3.4147655981979805E-3</v>
      </c>
      <c r="I169">
        <f>LN('Data of High Volatile Stocks '!F168/'Data of High Volatile Stocks '!F167)</f>
        <v>-1.1776482378329952E-4</v>
      </c>
      <c r="J169">
        <f>LN('Data of High Volatile Stocks '!G168/'Data of High Volatile Stocks '!G167)</f>
        <v>-8.5455887594335034E-2</v>
      </c>
      <c r="K169">
        <f>LN('Data of High Volatile Stocks '!H168/'Data of High Volatile Stocks '!H167)</f>
        <v>3.0467348564188628E-2</v>
      </c>
      <c r="N169">
        <f t="shared" si="15"/>
        <v>-4.4953205576239205E-2</v>
      </c>
      <c r="O169">
        <f t="shared" si="16"/>
        <v>-0.16090038400459575</v>
      </c>
      <c r="P169">
        <f t="shared" si="17"/>
        <v>6.1972165614349699E-3</v>
      </c>
      <c r="Q169">
        <f t="shared" si="18"/>
        <v>-7.4398816164741302E-4</v>
      </c>
      <c r="R169">
        <f t="shared" si="19"/>
        <v>-1.2395116501224377E-2</v>
      </c>
      <c r="S169">
        <f t="shared" si="20"/>
        <v>-8.2384820946008783E-2</v>
      </c>
      <c r="T169">
        <f t="shared" si="21"/>
        <v>3.399504988863418E-2</v>
      </c>
    </row>
    <row r="170" spans="5:20" x14ac:dyDescent="0.3">
      <c r="E170">
        <f>LN('Data of High Volatile Stocks '!B169/'Data of High Volatile Stocks '!B168)</f>
        <v>-0.11778303565638351</v>
      </c>
      <c r="F170">
        <f>LN('Data of High Volatile Stocks '!C169/'Data of High Volatile Stocks '!C168)</f>
        <v>5.8891044901013288E-2</v>
      </c>
      <c r="G170">
        <f>LN('Data of High Volatile Stocks '!D169/'Data of High Volatile Stocks '!D168)</f>
        <v>-0.17182726339933602</v>
      </c>
      <c r="H170">
        <f>LN('Data of High Volatile Stocks '!E169/'Data of High Volatile Stocks '!E168)</f>
        <v>-6.3883170173687248E-2</v>
      </c>
      <c r="I170">
        <f>LN('Data of High Volatile Stocks '!F169/'Data of High Volatile Stocks '!F168)</f>
        <v>1.554223514941489E-2</v>
      </c>
      <c r="J170">
        <f>LN('Data of High Volatile Stocks '!G169/'Data of High Volatile Stocks '!G168)</f>
        <v>-0.1232433313918978</v>
      </c>
      <c r="K170">
        <f>LN('Data of High Volatile Stocks '!H169/'Data of High Volatile Stocks '!H168)</f>
        <v>-2.3705997586144723E-2</v>
      </c>
      <c r="N170">
        <f t="shared" si="15"/>
        <v>-0.10964415412055331</v>
      </c>
      <c r="O170">
        <f t="shared" si="16"/>
        <v>5.3622359558480333E-2</v>
      </c>
      <c r="P170">
        <f t="shared" si="17"/>
        <v>-0.17408138677057647</v>
      </c>
      <c r="Q170">
        <f t="shared" si="18"/>
        <v>-6.8041923933532644E-2</v>
      </c>
      <c r="R170">
        <f t="shared" si="19"/>
        <v>3.2648834719738121E-3</v>
      </c>
      <c r="S170">
        <f t="shared" si="20"/>
        <v>-0.12017226474357155</v>
      </c>
      <c r="T170">
        <f t="shared" si="21"/>
        <v>-2.0178296261699171E-2</v>
      </c>
    </row>
    <row r="171" spans="5:20" x14ac:dyDescent="0.3">
      <c r="E171">
        <f>LN('Data of High Volatile Stocks '!B170/'Data of High Volatile Stocks '!B169)</f>
        <v>7.6832432043288046E-2</v>
      </c>
      <c r="F171">
        <f>LN('Data of High Volatile Stocks '!C170/'Data of High Volatile Stocks '!C169)</f>
        <v>2.3773065318071825E-2</v>
      </c>
      <c r="G171">
        <f>LN('Data of High Volatile Stocks '!D170/'Data of High Volatile Stocks '!D169)</f>
        <v>3.6145282809341144E-2</v>
      </c>
      <c r="H171">
        <f>LN('Data of High Volatile Stocks '!E170/'Data of High Volatile Stocks '!E169)</f>
        <v>5.8229351944306576E-2</v>
      </c>
      <c r="I171">
        <f>LN('Data of High Volatile Stocks '!F170/'Data of High Volatile Stocks '!F169)</f>
        <v>5.3285742281593586E-2</v>
      </c>
      <c r="J171">
        <f>LN('Data of High Volatile Stocks '!G170/'Data of High Volatile Stocks '!G169)</f>
        <v>0.14415271474091751</v>
      </c>
      <c r="K171">
        <f>LN('Data of High Volatile Stocks '!H170/'Data of High Volatile Stocks '!H169)</f>
        <v>2.3574375341795309E-2</v>
      </c>
      <c r="N171">
        <f t="shared" si="15"/>
        <v>8.4971313579118246E-2</v>
      </c>
      <c r="O171">
        <f t="shared" si="16"/>
        <v>1.8504379975538873E-2</v>
      </c>
      <c r="P171">
        <f t="shared" si="17"/>
        <v>3.3891159438100699E-2</v>
      </c>
      <c r="Q171">
        <f t="shared" si="18"/>
        <v>5.407059818446118E-2</v>
      </c>
      <c r="R171">
        <f t="shared" si="19"/>
        <v>4.1008390604152511E-2</v>
      </c>
      <c r="S171">
        <f t="shared" si="20"/>
        <v>0.14722378138924377</v>
      </c>
      <c r="T171">
        <f t="shared" si="21"/>
        <v>2.710207666624086E-2</v>
      </c>
    </row>
    <row r="172" spans="5:20" x14ac:dyDescent="0.3">
      <c r="E172">
        <f>LN('Data of High Volatile Stocks '!B171/'Data of High Volatile Stocks '!B170)</f>
        <v>-4.8307965333439139E-2</v>
      </c>
      <c r="F172">
        <f>LN('Data of High Volatile Stocks '!C171/'Data of High Volatile Stocks '!C170)</f>
        <v>-1.4263118006044124E-2</v>
      </c>
      <c r="G172">
        <f>LN('Data of High Volatile Stocks '!D171/'Data of High Volatile Stocks '!D170)</f>
        <v>-8.7634039033590599E-2</v>
      </c>
      <c r="H172">
        <f>LN('Data of High Volatile Stocks '!E171/'Data of High Volatile Stocks '!E170)</f>
        <v>-4.1596951895164526E-2</v>
      </c>
      <c r="I172">
        <f>LN('Data of High Volatile Stocks '!F171/'Data of High Volatile Stocks '!F170)</f>
        <v>-5.7818262098796064E-2</v>
      </c>
      <c r="J172">
        <f>LN('Data of High Volatile Stocks '!G171/'Data of High Volatile Stocks '!G170)</f>
        <v>-7.697125960703663E-2</v>
      </c>
      <c r="K172">
        <f>LN('Data of High Volatile Stocks '!H171/'Data of High Volatile Stocks '!H170)</f>
        <v>-1.498602410924132E-2</v>
      </c>
      <c r="N172">
        <f t="shared" si="15"/>
        <v>-4.0169083797608945E-2</v>
      </c>
      <c r="O172">
        <f t="shared" si="16"/>
        <v>-1.9531803348577077E-2</v>
      </c>
      <c r="P172">
        <f t="shared" si="17"/>
        <v>-8.9888162404831051E-2</v>
      </c>
      <c r="Q172">
        <f t="shared" si="18"/>
        <v>-4.5755705655009922E-2</v>
      </c>
      <c r="R172">
        <f t="shared" si="19"/>
        <v>-7.0095613776237145E-2</v>
      </c>
      <c r="S172">
        <f t="shared" si="20"/>
        <v>-7.3900192958710378E-2</v>
      </c>
      <c r="T172">
        <f t="shared" si="21"/>
        <v>-1.1458322784795768E-2</v>
      </c>
    </row>
    <row r="173" spans="5:20" x14ac:dyDescent="0.3">
      <c r="E173">
        <f>LN('Data of High Volatile Stocks '!B172/'Data of High Volatile Stocks '!B171)</f>
        <v>-9.9254958095341142E-2</v>
      </c>
      <c r="F173">
        <f>LN('Data of High Volatile Stocks '!C172/'Data of High Volatile Stocks '!C171)</f>
        <v>-0.10464204103246126</v>
      </c>
      <c r="G173">
        <f>LN('Data of High Volatile Stocks '!D172/'Data of High Volatile Stocks '!D171)</f>
        <v>-8.0047498884538895E-2</v>
      </c>
      <c r="H173">
        <f>LN('Data of High Volatile Stocks '!E172/'Data of High Volatile Stocks '!E171)</f>
        <v>-0.1185049456552496</v>
      </c>
      <c r="I173">
        <f>LN('Data of High Volatile Stocks '!F172/'Data of High Volatile Stocks '!F171)</f>
        <v>-0.14840136813410942</v>
      </c>
      <c r="J173">
        <f>LN('Data of High Volatile Stocks '!G172/'Data of High Volatile Stocks '!G171)</f>
        <v>-0.27103744185337192</v>
      </c>
      <c r="K173">
        <f>LN('Data of High Volatile Stocks '!H172/'Data of High Volatile Stocks '!H171)</f>
        <v>-9.9528041646078591E-2</v>
      </c>
      <c r="N173">
        <f t="shared" si="15"/>
        <v>-9.1116076559510942E-2</v>
      </c>
      <c r="O173">
        <f t="shared" si="16"/>
        <v>-0.10991072637499422</v>
      </c>
      <c r="P173">
        <f t="shared" si="17"/>
        <v>-8.2301622255779347E-2</v>
      </c>
      <c r="Q173">
        <f t="shared" si="18"/>
        <v>-0.122663699415095</v>
      </c>
      <c r="R173">
        <f t="shared" si="19"/>
        <v>-0.16067871981155049</v>
      </c>
      <c r="S173">
        <f t="shared" si="20"/>
        <v>-0.26796637520504568</v>
      </c>
      <c r="T173">
        <f t="shared" si="21"/>
        <v>-9.6000340321633043E-2</v>
      </c>
    </row>
    <row r="174" spans="5:20" x14ac:dyDescent="0.3">
      <c r="E174">
        <f>LN('Data of High Volatile Stocks '!B173/'Data of High Volatile Stocks '!B172)</f>
        <v>-1.1243091574180467E-2</v>
      </c>
      <c r="F174">
        <f>LN('Data of High Volatile Stocks '!C173/'Data of High Volatile Stocks '!C172)</f>
        <v>0.16122779381918509</v>
      </c>
      <c r="G174">
        <f>LN('Data of High Volatile Stocks '!D173/'Data of High Volatile Stocks '!D172)</f>
        <v>8.9033622370397456E-2</v>
      </c>
      <c r="H174">
        <f>LN('Data of High Volatile Stocks '!E173/'Data of High Volatile Stocks '!E172)</f>
        <v>0.11202350532767556</v>
      </c>
      <c r="I174">
        <f>LN('Data of High Volatile Stocks '!F173/'Data of High Volatile Stocks '!F172)</f>
        <v>0.17936714501946738</v>
      </c>
      <c r="J174">
        <f>LN('Data of High Volatile Stocks '!G173/'Data of High Volatile Stocks '!G172)</f>
        <v>8.5593343594173282E-2</v>
      </c>
      <c r="K174">
        <f>LN('Data of High Volatile Stocks '!H173/'Data of High Volatile Stocks '!H172)</f>
        <v>5.1632720170935217E-2</v>
      </c>
      <c r="N174">
        <f t="shared" si="15"/>
        <v>-3.1042100383502705E-3</v>
      </c>
      <c r="O174">
        <f t="shared" si="16"/>
        <v>0.15595910847665215</v>
      </c>
      <c r="P174">
        <f t="shared" si="17"/>
        <v>8.6779498999157004E-2</v>
      </c>
      <c r="Q174">
        <f t="shared" si="18"/>
        <v>0.10786475156783017</v>
      </c>
      <c r="R174">
        <f t="shared" si="19"/>
        <v>0.16708979334202631</v>
      </c>
      <c r="S174">
        <f t="shared" si="20"/>
        <v>8.8664410242499533E-2</v>
      </c>
      <c r="T174">
        <f t="shared" si="21"/>
        <v>5.5160421495380772E-2</v>
      </c>
    </row>
    <row r="175" spans="5:20" x14ac:dyDescent="0.3">
      <c r="E175">
        <f>LN('Data of High Volatile Stocks '!B174/'Data of High Volatile Stocks '!B173)</f>
        <v>-1.0101095986503933E-2</v>
      </c>
      <c r="F175">
        <f>LN('Data of High Volatile Stocks '!C174/'Data of High Volatile Stocks '!C173)</f>
        <v>-6.0516163026518698E-3</v>
      </c>
      <c r="G175">
        <f>LN('Data of High Volatile Stocks '!D174/'Data of High Volatile Stocks '!D173)</f>
        <v>-2.6816551031763618E-3</v>
      </c>
      <c r="H175">
        <f>LN('Data of High Volatile Stocks '!E174/'Data of High Volatile Stocks '!E173)</f>
        <v>4.0135538708801849E-2</v>
      </c>
      <c r="I175">
        <f>LN('Data of High Volatile Stocks '!F174/'Data of High Volatile Stocks '!F173)</f>
        <v>5.7384249432597671E-2</v>
      </c>
      <c r="J175">
        <f>LN('Data of High Volatile Stocks '!G174/'Data of High Volatile Stocks '!G173)</f>
        <v>-2.9661763370487898E-2</v>
      </c>
      <c r="K175">
        <f>LN('Data of High Volatile Stocks '!H174/'Data of High Volatile Stocks '!H173)</f>
        <v>2.1003998480149462E-3</v>
      </c>
      <c r="N175">
        <f t="shared" si="15"/>
        <v>-1.9622144506737365E-3</v>
      </c>
      <c r="O175">
        <f t="shared" si="16"/>
        <v>-1.1320301645184824E-2</v>
      </c>
      <c r="P175">
        <f t="shared" si="17"/>
        <v>-4.935778474416808E-3</v>
      </c>
      <c r="Q175">
        <f t="shared" si="18"/>
        <v>3.5976784948956453E-2</v>
      </c>
      <c r="R175">
        <f t="shared" si="19"/>
        <v>4.5106897755156597E-2</v>
      </c>
      <c r="S175">
        <f t="shared" si="20"/>
        <v>-2.659069672216164E-2</v>
      </c>
      <c r="T175">
        <f t="shared" si="21"/>
        <v>5.6281011724604981E-3</v>
      </c>
    </row>
    <row r="176" spans="5:20" x14ac:dyDescent="0.3">
      <c r="E176">
        <f>LN('Data of High Volatile Stocks '!B175/'Data of High Volatile Stocks '!B174)</f>
        <v>8.0433103930690614E-2</v>
      </c>
      <c r="F176">
        <f>LN('Data of High Volatile Stocks '!C175/'Data of High Volatile Stocks '!C174)</f>
        <v>0.12322878206135236</v>
      </c>
      <c r="G176">
        <f>LN('Data of High Volatile Stocks '!D175/'Data of High Volatile Stocks '!D174)</f>
        <v>0.18043438613122129</v>
      </c>
      <c r="H176">
        <f>LN('Data of High Volatile Stocks '!E175/'Data of High Volatile Stocks '!E174)</f>
        <v>3.2815546626513939E-2</v>
      </c>
      <c r="I176">
        <f>LN('Data of High Volatile Stocks '!F175/'Data of High Volatile Stocks '!F174)</f>
        <v>0.18448740471759575</v>
      </c>
      <c r="J176">
        <f>LN('Data of High Volatile Stocks '!G175/'Data of High Volatile Stocks '!G174)</f>
        <v>0.11690836122667658</v>
      </c>
      <c r="K176">
        <f>LN('Data of High Volatile Stocks '!H175/'Data of High Volatile Stocks '!H174)</f>
        <v>6.1570419461584994E-2</v>
      </c>
      <c r="N176">
        <f t="shared" si="15"/>
        <v>8.8571985466520814E-2</v>
      </c>
      <c r="O176">
        <f t="shared" si="16"/>
        <v>0.11796009671881941</v>
      </c>
      <c r="P176">
        <f t="shared" si="17"/>
        <v>0.17818026275998083</v>
      </c>
      <c r="Q176">
        <f t="shared" si="18"/>
        <v>2.8656792866668546E-2</v>
      </c>
      <c r="R176">
        <f t="shared" si="19"/>
        <v>0.17221005304015469</v>
      </c>
      <c r="S176">
        <f t="shared" si="20"/>
        <v>0.11997942787500283</v>
      </c>
      <c r="T176">
        <f t="shared" si="21"/>
        <v>6.5098120786030542E-2</v>
      </c>
    </row>
    <row r="177" spans="5:20" x14ac:dyDescent="0.3">
      <c r="E177">
        <f>LN('Data of High Volatile Stocks '!B176/'Data of High Volatile Stocks '!B175)</f>
        <v>-1.0594566431396028E-2</v>
      </c>
      <c r="F177">
        <f>LN('Data of High Volatile Stocks '!C176/'Data of High Volatile Stocks '!C175)</f>
        <v>3.6285264577430386E-2</v>
      </c>
      <c r="G177">
        <f>LN('Data of High Volatile Stocks '!D176/'Data of High Volatile Stocks '!D175)</f>
        <v>-2.2723316522097831E-2</v>
      </c>
      <c r="H177">
        <f>LN('Data of High Volatile Stocks '!E176/'Data of High Volatile Stocks '!E175)</f>
        <v>8.064603787664483E-2</v>
      </c>
      <c r="I177">
        <f>LN('Data of High Volatile Stocks '!F176/'Data of High Volatile Stocks '!F175)</f>
        <v>9.709806614581068E-2</v>
      </c>
      <c r="J177">
        <f>LN('Data of High Volatile Stocks '!G176/'Data of High Volatile Stocks '!G175)</f>
        <v>-6.5401268279313904E-2</v>
      </c>
      <c r="K177">
        <f>LN('Data of High Volatile Stocks '!H176/'Data of High Volatile Stocks '!H175)</f>
        <v>2.8525206456644012E-2</v>
      </c>
      <c r="N177">
        <f t="shared" si="15"/>
        <v>-2.4556848955658312E-3</v>
      </c>
      <c r="O177">
        <f t="shared" si="16"/>
        <v>3.101657923489743E-2</v>
      </c>
      <c r="P177">
        <f t="shared" si="17"/>
        <v>-2.4977439893338275E-2</v>
      </c>
      <c r="Q177">
        <f t="shared" si="18"/>
        <v>7.6487284116799434E-2</v>
      </c>
      <c r="R177">
        <f t="shared" si="19"/>
        <v>8.4820714468369598E-2</v>
      </c>
      <c r="S177">
        <f t="shared" si="20"/>
        <v>-6.2330201630987646E-2</v>
      </c>
      <c r="T177">
        <f t="shared" si="21"/>
        <v>3.2052907781089567E-2</v>
      </c>
    </row>
    <row r="178" spans="5:20" x14ac:dyDescent="0.3">
      <c r="E178">
        <f>LN('Data of High Volatile Stocks '!B177/'Data of High Volatile Stocks '!B176)</f>
        <v>-2.3953241022492758E-2</v>
      </c>
      <c r="F178">
        <f>LN('Data of High Volatile Stocks '!C177/'Data of High Volatile Stocks '!C176)</f>
        <v>-7.0545602585090919E-2</v>
      </c>
      <c r="G178">
        <f>LN('Data of High Volatile Stocks '!D177/'Data of High Volatile Stocks '!D176)</f>
        <v>-2.7756883998663828E-2</v>
      </c>
      <c r="H178">
        <f>LN('Data of High Volatile Stocks '!E177/'Data of High Volatile Stocks '!E176)</f>
        <v>-1.7595761890379601E-2</v>
      </c>
      <c r="I178">
        <f>LN('Data of High Volatile Stocks '!F177/'Data of High Volatile Stocks '!F176)</f>
        <v>-5.7802328865416905E-2</v>
      </c>
      <c r="J178">
        <f>LN('Data of High Volatile Stocks '!G177/'Data of High Volatile Stocks '!G176)</f>
        <v>-1.0124188370059488E-2</v>
      </c>
      <c r="K178">
        <f>LN('Data of High Volatile Stocks '!H177/'Data of High Volatile Stocks '!H176)</f>
        <v>3.8615804522756883E-2</v>
      </c>
      <c r="N178">
        <f t="shared" si="15"/>
        <v>-1.5814359486662561E-2</v>
      </c>
      <c r="O178">
        <f t="shared" si="16"/>
        <v>-7.5814287927623875E-2</v>
      </c>
      <c r="P178">
        <f t="shared" si="17"/>
        <v>-3.0011007369904273E-2</v>
      </c>
      <c r="Q178">
        <f t="shared" si="18"/>
        <v>-2.1754515650224994E-2</v>
      </c>
      <c r="R178">
        <f t="shared" si="19"/>
        <v>-7.0079680542857986E-2</v>
      </c>
      <c r="S178">
        <f t="shared" si="20"/>
        <v>-7.0531217217332295E-3</v>
      </c>
      <c r="T178">
        <f t="shared" si="21"/>
        <v>4.2143505847202438E-2</v>
      </c>
    </row>
    <row r="179" spans="5:20" x14ac:dyDescent="0.3">
      <c r="E179">
        <f>LN('Data of High Volatile Stocks '!B178/'Data of High Volatile Stocks '!B177)</f>
        <v>5.8840500022933395E-2</v>
      </c>
      <c r="F179">
        <f>LN('Data of High Volatile Stocks '!C178/'Data of High Volatile Stocks '!C177)</f>
        <v>6.7545054780123168E-2</v>
      </c>
      <c r="G179">
        <f>LN('Data of High Volatile Stocks '!D178/'Data of High Volatile Stocks '!D177)</f>
        <v>0.290312565118862</v>
      </c>
      <c r="H179">
        <f>LN('Data of High Volatile Stocks '!E178/'Data of High Volatile Stocks '!E177)</f>
        <v>0.1029545321853909</v>
      </c>
      <c r="I179">
        <f>LN('Data of High Volatile Stocks '!F178/'Data of High Volatile Stocks '!F177)</f>
        <v>9.9100553709950009E-2</v>
      </c>
      <c r="J179">
        <f>LN('Data of High Volatile Stocks '!G178/'Data of High Volatile Stocks '!G177)</f>
        <v>0.15815194872257299</v>
      </c>
      <c r="K179">
        <f>LN('Data of High Volatile Stocks '!H178/'Data of High Volatile Stocks '!H177)</f>
        <v>3.9901635072175243E-2</v>
      </c>
      <c r="N179">
        <f t="shared" si="15"/>
        <v>6.6979381558763595E-2</v>
      </c>
      <c r="O179">
        <f t="shared" si="16"/>
        <v>6.2276369437590212E-2</v>
      </c>
      <c r="P179">
        <f t="shared" si="17"/>
        <v>0.28805844174762157</v>
      </c>
      <c r="Q179">
        <f t="shared" si="18"/>
        <v>9.8795778425545502E-2</v>
      </c>
      <c r="R179">
        <f t="shared" si="19"/>
        <v>8.6823202032508928E-2</v>
      </c>
      <c r="S179">
        <f t="shared" si="20"/>
        <v>0.16122301537089925</v>
      </c>
      <c r="T179">
        <f t="shared" si="21"/>
        <v>4.3429336396620798E-2</v>
      </c>
    </row>
    <row r="180" spans="5:20" x14ac:dyDescent="0.3">
      <c r="E180">
        <f>LN('Data of High Volatile Stocks '!B179/'Data of High Volatile Stocks '!B178)</f>
        <v>-6.1267685680544574E-2</v>
      </c>
      <c r="F180">
        <f>LN('Data of High Volatile Stocks '!C179/'Data of High Volatile Stocks '!C178)</f>
        <v>3.6501789367397557E-2</v>
      </c>
      <c r="G180">
        <f>LN('Data of High Volatile Stocks '!D179/'Data of High Volatile Stocks '!D178)</f>
        <v>-1.2461926314268559E-2</v>
      </c>
      <c r="H180">
        <f>LN('Data of High Volatile Stocks '!E179/'Data of High Volatile Stocks '!E178)</f>
        <v>-4.5011496885024441E-2</v>
      </c>
      <c r="I180">
        <f>LN('Data of High Volatile Stocks '!F179/'Data of High Volatile Stocks '!F178)</f>
        <v>-4.9133799486940646E-2</v>
      </c>
      <c r="J180">
        <f>LN('Data of High Volatile Stocks '!G179/'Data of High Volatile Stocks '!G178)</f>
        <v>-3.3626191350465517E-2</v>
      </c>
      <c r="K180">
        <f>LN('Data of High Volatile Stocks '!H179/'Data of High Volatile Stocks '!H178)</f>
        <v>-6.5184755270188882E-2</v>
      </c>
      <c r="N180">
        <f t="shared" si="15"/>
        <v>-5.3128804144714381E-2</v>
      </c>
      <c r="O180">
        <f t="shared" si="16"/>
        <v>3.1233104024864601E-2</v>
      </c>
      <c r="P180">
        <f t="shared" si="17"/>
        <v>-1.4716049685509006E-2</v>
      </c>
      <c r="Q180">
        <f t="shared" si="18"/>
        <v>-4.9170250644869837E-2</v>
      </c>
      <c r="R180">
        <f t="shared" si="19"/>
        <v>-6.1411151164381728E-2</v>
      </c>
      <c r="S180">
        <f t="shared" si="20"/>
        <v>-3.0555124702139259E-2</v>
      </c>
      <c r="T180">
        <f t="shared" si="21"/>
        <v>-6.1657053945743327E-2</v>
      </c>
    </row>
    <row r="181" spans="5:20" x14ac:dyDescent="0.3">
      <c r="E181">
        <f>LN('Data of High Volatile Stocks '!B180/'Data of High Volatile Stocks '!B179)</f>
        <v>2.4271856576111375E-3</v>
      </c>
      <c r="F181">
        <f>LN('Data of High Volatile Stocks '!C180/'Data of High Volatile Stocks '!C179)</f>
        <v>3.4050066002282782E-2</v>
      </c>
      <c r="G181">
        <f>LN('Data of High Volatile Stocks '!D180/'Data of High Volatile Stocks '!D179)</f>
        <v>-6.4913521775412764E-2</v>
      </c>
      <c r="H181">
        <f>LN('Data of High Volatile Stocks '!E180/'Data of High Volatile Stocks '!E179)</f>
        <v>-4.1772113356575512E-2</v>
      </c>
      <c r="I181">
        <f>LN('Data of High Volatile Stocks '!F180/'Data of High Volatile Stocks '!F179)</f>
        <v>6.6432355603234725E-2</v>
      </c>
      <c r="J181">
        <f>LN('Data of High Volatile Stocks '!G180/'Data of High Volatile Stocks '!G179)</f>
        <v>4.8783263834420457E-2</v>
      </c>
      <c r="K181">
        <f>LN('Data of High Volatile Stocks '!H180/'Data of High Volatile Stocks '!H179)</f>
        <v>2.4544931188114249E-2</v>
      </c>
      <c r="N181">
        <f t="shared" si="15"/>
        <v>1.0566067193441334E-2</v>
      </c>
      <c r="O181">
        <f t="shared" si="16"/>
        <v>2.8781380659749826E-2</v>
      </c>
      <c r="P181">
        <f t="shared" si="17"/>
        <v>-6.7167645146653215E-2</v>
      </c>
      <c r="Q181">
        <f t="shared" si="18"/>
        <v>-4.5930867116420908E-2</v>
      </c>
      <c r="R181">
        <f t="shared" si="19"/>
        <v>5.4155003925793643E-2</v>
      </c>
      <c r="S181">
        <f t="shared" si="20"/>
        <v>5.1854330482746715E-2</v>
      </c>
      <c r="T181">
        <f t="shared" si="21"/>
        <v>2.80726325125598E-2</v>
      </c>
    </row>
    <row r="182" spans="5:20" x14ac:dyDescent="0.3">
      <c r="E182">
        <f>LN('Data of High Volatile Stocks '!B181/'Data of High Volatile Stocks '!B180)</f>
        <v>2.4213086890103454E-3</v>
      </c>
      <c r="F182">
        <f>LN('Data of High Volatile Stocks '!C181/'Data of High Volatile Stocks '!C180)</f>
        <v>-6.2993674864920161E-3</v>
      </c>
      <c r="G182">
        <f>LN('Data of High Volatile Stocks '!D181/'Data of High Volatile Stocks '!D180)</f>
        <v>1.8679367752880517E-2</v>
      </c>
      <c r="H182">
        <f>LN('Data of High Volatile Stocks '!E181/'Data of High Volatile Stocks '!E180)</f>
        <v>1.6965534158296668E-2</v>
      </c>
      <c r="I182">
        <f>LN('Data of High Volatile Stocks '!F181/'Data of High Volatile Stocks '!F180)</f>
        <v>-3.1293497639092616E-2</v>
      </c>
      <c r="J182">
        <f>LN('Data of High Volatile Stocks '!G181/'Data of High Volatile Stocks '!G180)</f>
        <v>8.0063939321431757E-2</v>
      </c>
      <c r="K182">
        <f>LN('Data of High Volatile Stocks '!H181/'Data of High Volatile Stocks '!H180)</f>
        <v>-1.1138729026325293E-2</v>
      </c>
      <c r="N182">
        <f t="shared" si="15"/>
        <v>1.0560190224840543E-2</v>
      </c>
      <c r="O182">
        <f t="shared" si="16"/>
        <v>-1.1568052829024969E-2</v>
      </c>
      <c r="P182">
        <f t="shared" si="17"/>
        <v>1.6425244381640072E-2</v>
      </c>
      <c r="Q182">
        <f t="shared" si="18"/>
        <v>1.2806780398451276E-2</v>
      </c>
      <c r="R182">
        <f t="shared" si="19"/>
        <v>-4.3570849316533697E-2</v>
      </c>
      <c r="S182">
        <f t="shared" si="20"/>
        <v>8.3135005969758008E-2</v>
      </c>
      <c r="T182">
        <f t="shared" si="21"/>
        <v>-7.6110277018797412E-3</v>
      </c>
    </row>
    <row r="183" spans="5:20" x14ac:dyDescent="0.3">
      <c r="E183">
        <f>LN('Data of High Volatile Stocks '!B182/'Data of High Volatile Stocks '!B181)</f>
        <v>-4.0721233776555454E-2</v>
      </c>
      <c r="F183">
        <f>LN('Data of High Volatile Stocks '!C182/'Data of High Volatile Stocks '!C181)</f>
        <v>2.5732956315064778E-2</v>
      </c>
      <c r="G183">
        <f>LN('Data of High Volatile Stocks '!D182/'Data of High Volatile Stocks '!D181)</f>
        <v>-3.4660743180097021E-2</v>
      </c>
      <c r="H183">
        <f>LN('Data of High Volatile Stocks '!E182/'Data of High Volatile Stocks '!E181)</f>
        <v>-1.970216505296005E-2</v>
      </c>
      <c r="I183">
        <f>LN('Data of High Volatile Stocks '!F182/'Data of High Volatile Stocks '!F181)</f>
        <v>7.3056011941667845E-2</v>
      </c>
      <c r="J183">
        <f>LN('Data of High Volatile Stocks '!G182/'Data of High Volatile Stocks '!G181)</f>
        <v>-5.3508283379192917E-2</v>
      </c>
      <c r="K183">
        <f>LN('Data of High Volatile Stocks '!H182/'Data of High Volatile Stocks '!H181)</f>
        <v>-4.7403447201208627E-2</v>
      </c>
      <c r="N183">
        <f t="shared" si="15"/>
        <v>-3.2582352240725254E-2</v>
      </c>
      <c r="O183">
        <f t="shared" si="16"/>
        <v>2.0464270972531826E-2</v>
      </c>
      <c r="P183">
        <f t="shared" si="17"/>
        <v>-3.6914866551337466E-2</v>
      </c>
      <c r="Q183">
        <f t="shared" si="18"/>
        <v>-2.3860918812805443E-2</v>
      </c>
      <c r="R183">
        <f t="shared" si="19"/>
        <v>6.0778660264226764E-2</v>
      </c>
      <c r="S183">
        <f t="shared" si="20"/>
        <v>-5.0437216730866659E-2</v>
      </c>
      <c r="T183">
        <f t="shared" si="21"/>
        <v>-4.3875745876763073E-2</v>
      </c>
    </row>
    <row r="184" spans="5:20" x14ac:dyDescent="0.3">
      <c r="E184">
        <f>LN('Data of High Volatile Stocks '!B183/'Data of High Volatile Stocks '!B182)</f>
        <v>8.7774858212234415E-3</v>
      </c>
      <c r="F184">
        <f>LN('Data of High Volatile Stocks '!C183/'Data of High Volatile Stocks '!C182)</f>
        <v>-9.0290292780446004E-3</v>
      </c>
      <c r="G184">
        <f>LN('Data of High Volatile Stocks '!D183/'Data of High Volatile Stocks '!D182)</f>
        <v>0.23946547372803861</v>
      </c>
      <c r="H184">
        <f>LN('Data of High Volatile Stocks '!E183/'Data of High Volatile Stocks '!E182)</f>
        <v>-1.7888025758474413E-3</v>
      </c>
      <c r="I184">
        <f>LN('Data of High Volatile Stocks '!F183/'Data of High Volatile Stocks '!F182)</f>
        <v>-7.2806701432350895E-4</v>
      </c>
      <c r="J184">
        <f>LN('Data of High Volatile Stocks '!G183/'Data of High Volatile Stocks '!G182)</f>
        <v>8.4735348851728565E-2</v>
      </c>
      <c r="K184">
        <f>LN('Data of High Volatile Stocks '!H183/'Data of High Volatile Stocks '!H182)</f>
        <v>1.7591968360093652E-2</v>
      </c>
      <c r="N184">
        <f t="shared" si="15"/>
        <v>1.6916367357053638E-2</v>
      </c>
      <c r="O184">
        <f t="shared" si="16"/>
        <v>-1.4297714620577554E-2</v>
      </c>
      <c r="P184">
        <f t="shared" si="17"/>
        <v>0.23721135035679816</v>
      </c>
      <c r="Q184">
        <f t="shared" si="18"/>
        <v>-5.9475563356928343E-3</v>
      </c>
      <c r="R184">
        <f t="shared" si="19"/>
        <v>-1.3005418691764586E-2</v>
      </c>
      <c r="S184">
        <f t="shared" si="20"/>
        <v>8.7806415500054816E-2</v>
      </c>
      <c r="T184">
        <f t="shared" si="21"/>
        <v>2.1119669684539204E-2</v>
      </c>
    </row>
    <row r="185" spans="5:20" x14ac:dyDescent="0.3">
      <c r="E185">
        <f>LN('Data of High Volatile Stocks '!B184/'Data of High Volatile Stocks '!B183)</f>
        <v>8.4928476840620604E-2</v>
      </c>
      <c r="F185">
        <f>LN('Data of High Volatile Stocks '!C184/'Data of High Volatile Stocks '!C183)</f>
        <v>4.7219292012535413E-2</v>
      </c>
      <c r="G185">
        <f>LN('Data of High Volatile Stocks '!D184/'Data of High Volatile Stocks '!D183)</f>
        <v>0.13635265718293113</v>
      </c>
      <c r="H185">
        <f>LN('Data of High Volatile Stocks '!E184/'Data of High Volatile Stocks '!E183)</f>
        <v>8.8472471877799233E-2</v>
      </c>
      <c r="I185">
        <f>LN('Data of High Volatile Stocks '!F184/'Data of High Volatile Stocks '!F183)</f>
        <v>-4.8957694589341849E-2</v>
      </c>
      <c r="J185">
        <f>LN('Data of High Volatile Stocks '!G184/'Data of High Volatile Stocks '!G183)</f>
        <v>7.0892535299747622E-2</v>
      </c>
      <c r="K185">
        <f>LN('Data of High Volatile Stocks '!H184/'Data of High Volatile Stocks '!H183)</f>
        <v>4.9881794290786577E-3</v>
      </c>
      <c r="N185">
        <f t="shared" si="15"/>
        <v>9.3067358376450804E-2</v>
      </c>
      <c r="O185">
        <f t="shared" si="16"/>
        <v>4.1950606670002458E-2</v>
      </c>
      <c r="P185">
        <f t="shared" si="17"/>
        <v>0.13409853381169068</v>
      </c>
      <c r="Q185">
        <f t="shared" si="18"/>
        <v>8.4313718117953837E-2</v>
      </c>
      <c r="R185">
        <f t="shared" si="19"/>
        <v>-6.123504626678293E-2</v>
      </c>
      <c r="S185">
        <f t="shared" si="20"/>
        <v>7.3963601948073873E-2</v>
      </c>
      <c r="T185">
        <f t="shared" si="21"/>
        <v>8.51588075352421E-3</v>
      </c>
    </row>
    <row r="186" spans="5:20" x14ac:dyDescent="0.3">
      <c r="E186">
        <f>LN('Data of High Volatile Stocks '!B185/'Data of High Volatile Stocks '!B184)</f>
        <v>6.1164141656875406E-2</v>
      </c>
      <c r="F186">
        <f>LN('Data of High Volatile Stocks '!C185/'Data of High Volatile Stocks '!C184)</f>
        <v>2.9150599242108867E-2</v>
      </c>
      <c r="G186">
        <f>LN('Data of High Volatile Stocks '!D185/'Data of High Volatile Stocks '!D184)</f>
        <v>6.6833293055972307E-3</v>
      </c>
      <c r="H186">
        <f>LN('Data of High Volatile Stocks '!E185/'Data of High Volatile Stocks '!E184)</f>
        <v>2.2684057554109766E-2</v>
      </c>
      <c r="I186">
        <f>LN('Data of High Volatile Stocks '!F185/'Data of High Volatile Stocks '!F184)</f>
        <v>2.7312146559508619E-2</v>
      </c>
      <c r="J186">
        <f>LN('Data of High Volatile Stocks '!G185/'Data of High Volatile Stocks '!G184)</f>
        <v>1.518207347149555E-2</v>
      </c>
      <c r="K186">
        <f>LN('Data of High Volatile Stocks '!H185/'Data of High Volatile Stocks '!H184)</f>
        <v>2.5484213588283936E-3</v>
      </c>
      <c r="N186">
        <f t="shared" si="15"/>
        <v>6.9303023192705607E-2</v>
      </c>
      <c r="O186">
        <f t="shared" si="16"/>
        <v>2.3881913899575911E-2</v>
      </c>
      <c r="P186">
        <f t="shared" si="17"/>
        <v>4.4292059343567841E-3</v>
      </c>
      <c r="Q186">
        <f t="shared" si="18"/>
        <v>1.8525303794264373E-2</v>
      </c>
      <c r="R186">
        <f t="shared" si="19"/>
        <v>1.5034794882067541E-2</v>
      </c>
      <c r="S186">
        <f t="shared" si="20"/>
        <v>1.8253140119821806E-2</v>
      </c>
      <c r="T186">
        <f t="shared" si="21"/>
        <v>6.0761226832739459E-3</v>
      </c>
    </row>
    <row r="187" spans="5:20" x14ac:dyDescent="0.3">
      <c r="E187">
        <f>LN('Data of High Volatile Stocks '!B186/'Data of High Volatile Stocks '!B185)</f>
        <v>-1.7410668305896888E-2</v>
      </c>
      <c r="F187">
        <f>LN('Data of High Volatile Stocks '!C186/'Data of High Volatile Stocks '!C185)</f>
        <v>-7.1866086836187226E-2</v>
      </c>
      <c r="G187">
        <f>LN('Data of High Volatile Stocks '!D186/'Data of High Volatile Stocks '!D185)</f>
        <v>8.4210944540470567E-2</v>
      </c>
      <c r="H187">
        <f>LN('Data of High Volatile Stocks '!E186/'Data of High Volatile Stocks '!E185)</f>
        <v>1.8622906206319078E-2</v>
      </c>
      <c r="I187">
        <f>LN('Data of High Volatile Stocks '!F186/'Data of High Volatile Stocks '!F185)</f>
        <v>5.6008270358962761E-2</v>
      </c>
      <c r="J187">
        <f>LN('Data of High Volatile Stocks '!G186/'Data of High Volatile Stocks '!G185)</f>
        <v>8.1237048366293411E-3</v>
      </c>
      <c r="K187">
        <f>LN('Data of High Volatile Stocks '!H186/'Data of High Volatile Stocks '!H185)</f>
        <v>-6.8193278509843747E-2</v>
      </c>
      <c r="N187">
        <f t="shared" si="15"/>
        <v>-9.2717867700666916E-3</v>
      </c>
      <c r="O187">
        <f t="shared" si="16"/>
        <v>-7.7134772178720182E-2</v>
      </c>
      <c r="P187">
        <f t="shared" si="17"/>
        <v>8.1956821169230115E-2</v>
      </c>
      <c r="Q187">
        <f t="shared" si="18"/>
        <v>1.4464152446473685E-2</v>
      </c>
      <c r="R187">
        <f t="shared" si="19"/>
        <v>4.373091868152168E-2</v>
      </c>
      <c r="S187">
        <f t="shared" si="20"/>
        <v>1.1194771484955599E-2</v>
      </c>
      <c r="T187">
        <f t="shared" si="21"/>
        <v>-6.4665577185398199E-2</v>
      </c>
    </row>
    <row r="188" spans="5:20" x14ac:dyDescent="0.3">
      <c r="E188">
        <f>LN('Data of High Volatile Stocks '!B187/'Data of High Volatile Stocks '!B186)</f>
        <v>9.4211882055262222E-2</v>
      </c>
      <c r="F188">
        <f>LN('Data of High Volatile Stocks '!C187/'Data of High Volatile Stocks '!C186)</f>
        <v>-5.2178951383191514E-3</v>
      </c>
      <c r="G188">
        <f>LN('Data of High Volatile Stocks '!D187/'Data of High Volatile Stocks '!D186)</f>
        <v>8.1151044745264606E-2</v>
      </c>
      <c r="H188">
        <f>LN('Data of High Volatile Stocks '!E187/'Data of High Volatile Stocks '!E186)</f>
        <v>-5.1629919475920223E-2</v>
      </c>
      <c r="I188">
        <f>LN('Data of High Volatile Stocks '!F187/'Data of High Volatile Stocks '!F186)</f>
        <v>7.7299816596389528E-2</v>
      </c>
      <c r="J188">
        <f>LN('Data of High Volatile Stocks '!G187/'Data of High Volatile Stocks '!G186)</f>
        <v>4.7188917104098997E-2</v>
      </c>
      <c r="K188">
        <f>LN('Data of High Volatile Stocks '!H187/'Data of High Volatile Stocks '!H186)</f>
        <v>1.9562175245167342E-2</v>
      </c>
      <c r="N188">
        <f t="shared" si="15"/>
        <v>0.10235076359109242</v>
      </c>
      <c r="O188">
        <f t="shared" si="16"/>
        <v>-1.0486580480852105E-2</v>
      </c>
      <c r="P188">
        <f t="shared" si="17"/>
        <v>7.8896921374024154E-2</v>
      </c>
      <c r="Q188">
        <f t="shared" si="18"/>
        <v>-5.5788673235765619E-2</v>
      </c>
      <c r="R188">
        <f t="shared" si="19"/>
        <v>6.5022464918948447E-2</v>
      </c>
      <c r="S188">
        <f t="shared" si="20"/>
        <v>5.0259983752425255E-2</v>
      </c>
      <c r="T188">
        <f t="shared" si="21"/>
        <v>2.3089876569612894E-2</v>
      </c>
    </row>
    <row r="189" spans="5:20" x14ac:dyDescent="0.3">
      <c r="E189">
        <f>LN('Data of High Volatile Stocks '!B188/'Data of High Volatile Stocks '!B187)</f>
        <v>-2.4268127272437923E-2</v>
      </c>
      <c r="F189">
        <f>LN('Data of High Volatile Stocks '!C188/'Data of High Volatile Stocks '!C187)</f>
        <v>-1.7036475952182266E-2</v>
      </c>
      <c r="G189">
        <f>LN('Data of High Volatile Stocks '!D188/'Data of High Volatile Stocks '!D187)</f>
        <v>-6.9336648028779591E-2</v>
      </c>
      <c r="H189">
        <f>LN('Data of High Volatile Stocks '!E188/'Data of High Volatile Stocks '!E187)</f>
        <v>7.697420895792906E-3</v>
      </c>
      <c r="I189">
        <f>LN('Data of High Volatile Stocks '!F188/'Data of High Volatile Stocks '!F187)</f>
        <v>3.3814697113590864E-2</v>
      </c>
      <c r="J189">
        <f>LN('Data of High Volatile Stocks '!G188/'Data of High Volatile Stocks '!G187)</f>
        <v>-3.4570805408825955E-2</v>
      </c>
      <c r="K189">
        <f>LN('Data of High Volatile Stocks '!H188/'Data of High Volatile Stocks '!H187)</f>
        <v>-4.0088194563730242E-4</v>
      </c>
      <c r="N189">
        <f t="shared" si="15"/>
        <v>-1.6129245736607727E-2</v>
      </c>
      <c r="O189">
        <f t="shared" si="16"/>
        <v>-2.2305161294715221E-2</v>
      </c>
      <c r="P189">
        <f t="shared" si="17"/>
        <v>-7.1590771400020042E-2</v>
      </c>
      <c r="Q189">
        <f t="shared" si="18"/>
        <v>3.5386671359475125E-3</v>
      </c>
      <c r="R189">
        <f t="shared" si="19"/>
        <v>2.1537345436149786E-2</v>
      </c>
      <c r="S189">
        <f t="shared" si="20"/>
        <v>-3.1499738760499697E-2</v>
      </c>
      <c r="T189">
        <f t="shared" si="21"/>
        <v>3.1268193788082494E-3</v>
      </c>
    </row>
    <row r="190" spans="5:20" x14ac:dyDescent="0.3">
      <c r="E190">
        <f>LN('Data of High Volatile Stocks '!B189/'Data of High Volatile Stocks '!B188)</f>
        <v>-7.6551708342856475E-2</v>
      </c>
      <c r="F190">
        <f>LN('Data of High Volatile Stocks '!C189/'Data of High Volatile Stocks '!C188)</f>
        <v>-4.6499662342441794E-2</v>
      </c>
      <c r="G190">
        <f>LN('Data of High Volatile Stocks '!D189/'Data of High Volatile Stocks '!D188)</f>
        <v>-0.21880608921809042</v>
      </c>
      <c r="H190">
        <f>LN('Data of High Volatile Stocks '!E189/'Data of High Volatile Stocks '!E188)</f>
        <v>-4.9168152127620803E-2</v>
      </c>
      <c r="I190">
        <f>LN('Data of High Volatile Stocks '!F189/'Data of High Volatile Stocks '!F188)</f>
        <v>-2.894123478918726E-2</v>
      </c>
      <c r="J190">
        <f>LN('Data of High Volatile Stocks '!G189/'Data of High Volatile Stocks '!G188)</f>
        <v>-0.11936551214537142</v>
      </c>
      <c r="K190">
        <f>LN('Data of High Volatile Stocks '!H189/'Data of High Volatile Stocks '!H188)</f>
        <v>-5.2827976383108453E-2</v>
      </c>
      <c r="N190">
        <f t="shared" si="15"/>
        <v>-6.8412826807026275E-2</v>
      </c>
      <c r="O190">
        <f t="shared" si="16"/>
        <v>-5.176834768497475E-2</v>
      </c>
      <c r="P190">
        <f t="shared" si="17"/>
        <v>-0.22106021258933087</v>
      </c>
      <c r="Q190">
        <f t="shared" si="18"/>
        <v>-5.3326905887466199E-2</v>
      </c>
      <c r="R190">
        <f t="shared" si="19"/>
        <v>-4.1218586466628335E-2</v>
      </c>
      <c r="S190">
        <f t="shared" si="20"/>
        <v>-0.11629444549704517</v>
      </c>
      <c r="T190">
        <f t="shared" si="21"/>
        <v>-4.9300275058662898E-2</v>
      </c>
    </row>
    <row r="191" spans="5:20" x14ac:dyDescent="0.3">
      <c r="E191">
        <f>LN('Data of High Volatile Stocks '!B190/'Data of High Volatile Stocks '!B189)</f>
        <v>-0.19993431840383932</v>
      </c>
      <c r="F191">
        <f>LN('Data of High Volatile Stocks '!C190/'Data of High Volatile Stocks '!C189)</f>
        <v>-5.0909230444430645E-2</v>
      </c>
      <c r="G191">
        <f>LN('Data of High Volatile Stocks '!D190/'Data of High Volatile Stocks '!D189)</f>
        <v>-1.3275309717576208E-2</v>
      </c>
      <c r="H191">
        <f>LN('Data of High Volatile Stocks '!E190/'Data of High Volatile Stocks '!E189)</f>
        <v>3.0035691281185384E-2</v>
      </c>
      <c r="I191">
        <f>LN('Data of High Volatile Stocks '!F190/'Data of High Volatile Stocks '!F189)</f>
        <v>0.1921903762067543</v>
      </c>
      <c r="J191">
        <f>LN('Data of High Volatile Stocks '!G190/'Data of High Volatile Stocks '!G189)</f>
        <v>3.9590929493666098E-2</v>
      </c>
      <c r="K191">
        <f>LN('Data of High Volatile Stocks '!H190/'Data of High Volatile Stocks '!H189)</f>
        <v>8.4187392136146014E-3</v>
      </c>
      <c r="N191">
        <f t="shared" si="15"/>
        <v>-0.19179543686800912</v>
      </c>
      <c r="O191">
        <f t="shared" si="16"/>
        <v>-5.61779157869636E-2</v>
      </c>
      <c r="P191">
        <f t="shared" si="17"/>
        <v>-1.5529433088816654E-2</v>
      </c>
      <c r="Q191">
        <f t="shared" si="18"/>
        <v>2.5876937521339991E-2</v>
      </c>
      <c r="R191">
        <f t="shared" si="19"/>
        <v>0.17991302452931324</v>
      </c>
      <c r="S191">
        <f t="shared" si="20"/>
        <v>4.2661996141992356E-2</v>
      </c>
      <c r="T191">
        <f t="shared" si="21"/>
        <v>1.1946440538060153E-2</v>
      </c>
    </row>
    <row r="192" spans="5:20" x14ac:dyDescent="0.3">
      <c r="E192">
        <f>LN('Data of High Volatile Stocks '!B191/'Data of High Volatile Stocks '!B190)</f>
        <v>-3.5718082602079232E-2</v>
      </c>
      <c r="F192">
        <f>LN('Data of High Volatile Stocks '!C191/'Data of High Volatile Stocks '!C190)</f>
        <v>8.0010750748730625E-3</v>
      </c>
      <c r="G192">
        <f>LN('Data of High Volatile Stocks '!D191/'Data of High Volatile Stocks '!D190)</f>
        <v>2.2322568695960155E-2</v>
      </c>
      <c r="H192">
        <f>LN('Data of High Volatile Stocks '!E191/'Data of High Volatile Stocks '!E190)</f>
        <v>3.3380349921579539E-2</v>
      </c>
      <c r="I192">
        <f>LN('Data of High Volatile Stocks '!F191/'Data of High Volatile Stocks '!F190)</f>
        <v>-5.3784966618256692E-2</v>
      </c>
      <c r="J192">
        <f>LN('Data of High Volatile Stocks '!G191/'Data of High Volatile Stocks '!G190)</f>
        <v>8.1659179407049476E-2</v>
      </c>
      <c r="K192">
        <f>LN('Data of High Volatile Stocks '!H191/'Data of High Volatile Stocks '!H190)</f>
        <v>2.169942097072906E-2</v>
      </c>
      <c r="N192">
        <f t="shared" si="15"/>
        <v>-2.7579201066249035E-2</v>
      </c>
      <c r="O192">
        <f t="shared" si="16"/>
        <v>2.7323897323401087E-3</v>
      </c>
      <c r="P192">
        <f t="shared" si="17"/>
        <v>2.0068445324719707E-2</v>
      </c>
      <c r="Q192">
        <f t="shared" si="18"/>
        <v>2.9221596161734146E-2</v>
      </c>
      <c r="R192">
        <f t="shared" si="19"/>
        <v>-6.6062318295697767E-2</v>
      </c>
      <c r="S192">
        <f t="shared" si="20"/>
        <v>8.4730246055375727E-2</v>
      </c>
      <c r="T192">
        <f t="shared" si="21"/>
        <v>2.5227122295174612E-2</v>
      </c>
    </row>
    <row r="193" spans="4:29" x14ac:dyDescent="0.3">
      <c r="E193">
        <f>LN('Data of High Volatile Stocks '!B192/'Data of High Volatile Stocks '!B191)</f>
        <v>6.9686693160932152E-3</v>
      </c>
      <c r="F193">
        <f>LN('Data of High Volatile Stocks '!C192/'Data of High Volatile Stocks '!C191)</f>
        <v>-1.7326145014324747E-2</v>
      </c>
      <c r="G193">
        <f>LN('Data of High Volatile Stocks '!D192/'Data of High Volatile Stocks '!D191)</f>
        <v>7.2168496471627652E-3</v>
      </c>
      <c r="H193">
        <f>LN('Data of High Volatile Stocks '!E192/'Data of High Volatile Stocks '!E191)</f>
        <v>4.425454150886364E-2</v>
      </c>
      <c r="I193">
        <f>LN('Data of High Volatile Stocks '!F192/'Data of High Volatile Stocks '!F191)</f>
        <v>-0.10984207994961644</v>
      </c>
      <c r="J193">
        <f>LN('Data of High Volatile Stocks '!G192/'Data of High Volatile Stocks '!G191)</f>
        <v>4.2605760952507218E-2</v>
      </c>
      <c r="K193">
        <f>LN('Data of High Volatile Stocks '!H192/'Data of High Volatile Stocks '!H191)</f>
        <v>0.12005917812402891</v>
      </c>
      <c r="N193">
        <f t="shared" si="15"/>
        <v>1.5107550851923411E-2</v>
      </c>
      <c r="O193">
        <f t="shared" si="16"/>
        <v>-2.2594830356857699E-2</v>
      </c>
      <c r="P193">
        <f t="shared" si="17"/>
        <v>4.9627262759223186E-3</v>
      </c>
      <c r="Q193">
        <f t="shared" si="18"/>
        <v>4.0095787749018244E-2</v>
      </c>
      <c r="R193">
        <f t="shared" si="19"/>
        <v>-0.12211943162705752</v>
      </c>
      <c r="S193">
        <f t="shared" si="20"/>
        <v>4.5676827600833476E-2</v>
      </c>
      <c r="T193">
        <f t="shared" si="21"/>
        <v>0.12358687944847446</v>
      </c>
    </row>
    <row r="194" spans="4:29" x14ac:dyDescent="0.3">
      <c r="E194">
        <f>LN('Data of High Volatile Stocks '!B193/'Data of High Volatile Stocks '!B192)</f>
        <v>-8.3682496705166903E-3</v>
      </c>
      <c r="F194">
        <f>LN('Data of High Volatile Stocks '!C193/'Data of High Volatile Stocks '!C192)</f>
        <v>7.4622792240671967E-3</v>
      </c>
      <c r="G194">
        <f>LN('Data of High Volatile Stocks '!D193/'Data of High Volatile Stocks '!D192)</f>
        <v>-4.904969448356019E-2</v>
      </c>
      <c r="H194">
        <f>LN('Data of High Volatile Stocks '!E193/'Data of High Volatile Stocks '!E192)</f>
        <v>-3.191201831047713E-2</v>
      </c>
      <c r="I194">
        <f>LN('Data of High Volatile Stocks '!F193/'Data of High Volatile Stocks '!F192)</f>
        <v>-1.2870680127604882E-2</v>
      </c>
      <c r="J194">
        <f>LN('Data of High Volatile Stocks '!G193/'Data of High Volatile Stocks '!G192)</f>
        <v>2.4532103517381141E-2</v>
      </c>
      <c r="K194">
        <f>LN('Data of High Volatile Stocks '!H193/'Data of High Volatile Stocks '!H192)</f>
        <v>-1.281364777043118E-2</v>
      </c>
      <c r="N194">
        <f t="shared" si="15"/>
        <v>-2.2936813468649349E-4</v>
      </c>
      <c r="O194">
        <f t="shared" si="16"/>
        <v>2.1935938815342429E-3</v>
      </c>
      <c r="P194">
        <f t="shared" si="17"/>
        <v>-5.1303817854800635E-2</v>
      </c>
      <c r="Q194">
        <f t="shared" si="18"/>
        <v>-3.6070772070322527E-2</v>
      </c>
      <c r="R194">
        <f t="shared" si="19"/>
        <v>-2.5148031805045962E-2</v>
      </c>
      <c r="S194">
        <f t="shared" si="20"/>
        <v>2.7603170165707399E-2</v>
      </c>
      <c r="T194">
        <f t="shared" si="21"/>
        <v>-9.2859464459856284E-3</v>
      </c>
    </row>
    <row r="195" spans="4:29" x14ac:dyDescent="0.3">
      <c r="E195">
        <f>LN('Data of High Volatile Stocks '!B194/'Data of High Volatile Stocks '!B193)</f>
        <v>2.3530497410194036E-2</v>
      </c>
      <c r="F195">
        <f>LN('Data of High Volatile Stocks '!C194/'Data of High Volatile Stocks '!C193)</f>
        <v>-1.4429784563927898E-2</v>
      </c>
      <c r="G195">
        <f>LN('Data of High Volatile Stocks '!D194/'Data of High Volatile Stocks '!D193)</f>
        <v>-1.8124781709864209E-2</v>
      </c>
      <c r="H195">
        <f>LN('Data of High Volatile Stocks '!E194/'Data of High Volatile Stocks '!E193)</f>
        <v>-2.988205448192079E-2</v>
      </c>
      <c r="I195">
        <f>LN('Data of High Volatile Stocks '!F194/'Data of High Volatile Stocks '!F193)</f>
        <v>-2.3240346218120832E-2</v>
      </c>
      <c r="J195">
        <f>LN('Data of High Volatile Stocks '!G194/'Data of High Volatile Stocks '!G193)</f>
        <v>-1.3764555170614071E-2</v>
      </c>
      <c r="K195">
        <f>LN('Data of High Volatile Stocks '!H194/'Data of High Volatile Stocks '!H193)</f>
        <v>2.7379057241779959E-2</v>
      </c>
      <c r="N195">
        <f t="shared" si="15"/>
        <v>3.1669378946024229E-2</v>
      </c>
      <c r="O195">
        <f t="shared" si="16"/>
        <v>-1.9698469906460854E-2</v>
      </c>
      <c r="P195">
        <f t="shared" si="17"/>
        <v>-2.0378905081104653E-2</v>
      </c>
      <c r="Q195">
        <f t="shared" si="18"/>
        <v>-3.4040808241766182E-2</v>
      </c>
      <c r="R195">
        <f t="shared" si="19"/>
        <v>-3.551769789556191E-2</v>
      </c>
      <c r="S195">
        <f t="shared" si="20"/>
        <v>-1.0693488522287813E-2</v>
      </c>
      <c r="T195">
        <f t="shared" si="21"/>
        <v>3.090675856622551E-2</v>
      </c>
    </row>
    <row r="196" spans="4:29" x14ac:dyDescent="0.3">
      <c r="E196">
        <f>LN('Data of High Volatile Stocks '!B195/'Data of High Volatile Stocks '!B194)</f>
        <v>4.0955688647372019E-3</v>
      </c>
      <c r="F196">
        <f>LN('Data of High Volatile Stocks '!C195/'Data of High Volatile Stocks '!C194)</f>
        <v>4.3275701780135269E-2</v>
      </c>
      <c r="G196">
        <f>LN('Data of High Volatile Stocks '!D195/'Data of High Volatile Stocks '!D194)</f>
        <v>7.7098494861805145E-2</v>
      </c>
      <c r="H196">
        <f>LN('Data of High Volatile Stocks '!E195/'Data of High Volatile Stocks '!E194)</f>
        <v>5.2452090796990494E-2</v>
      </c>
      <c r="I196">
        <f>LN('Data of High Volatile Stocks '!F195/'Data of High Volatile Stocks '!F194)</f>
        <v>0.11301840270238588</v>
      </c>
      <c r="J196">
        <f>LN('Data of High Volatile Stocks '!G195/'Data of High Volatile Stocks '!G194)</f>
        <v>-7.5885692999549644E-3</v>
      </c>
      <c r="K196">
        <f>LN('Data of High Volatile Stocks '!H195/'Data of High Volatile Stocks '!H194)</f>
        <v>3.5786749394344157E-3</v>
      </c>
      <c r="N196">
        <f t="shared" si="15"/>
        <v>1.22344504005674E-2</v>
      </c>
      <c r="O196">
        <f t="shared" si="16"/>
        <v>3.8007016437602313E-2</v>
      </c>
      <c r="P196">
        <f t="shared" si="17"/>
        <v>7.4844371490564693E-2</v>
      </c>
      <c r="Q196">
        <f t="shared" si="18"/>
        <v>4.8293337037145098E-2</v>
      </c>
      <c r="R196">
        <f t="shared" si="19"/>
        <v>0.10074105102494479</v>
      </c>
      <c r="S196">
        <f t="shared" si="20"/>
        <v>-4.5175026516287072E-3</v>
      </c>
      <c r="T196">
        <f t="shared" si="21"/>
        <v>7.1063762638799675E-3</v>
      </c>
    </row>
    <row r="197" spans="4:29" x14ac:dyDescent="0.3">
      <c r="E197">
        <f>LN('Data of High Volatile Stocks '!B196/'Data of High Volatile Stocks '!B195)</f>
        <v>0.10590532634959142</v>
      </c>
      <c r="F197">
        <f>LN('Data of High Volatile Stocks '!C196/'Data of High Volatile Stocks '!C195)</f>
        <v>0.14182356262202814</v>
      </c>
      <c r="G197">
        <f>LN('Data of High Volatile Stocks '!D196/'Data of High Volatile Stocks '!D195)</f>
        <v>5.8378707996297526E-2</v>
      </c>
      <c r="H197">
        <f>LN('Data of High Volatile Stocks '!E196/'Data of High Volatile Stocks '!E195)</f>
        <v>2.6956364701997911E-2</v>
      </c>
      <c r="I197">
        <f>LN('Data of High Volatile Stocks '!F196/'Data of High Volatile Stocks '!F195)</f>
        <v>6.1972231556516585E-2</v>
      </c>
      <c r="J197">
        <f>LN('Data of High Volatile Stocks '!G196/'Data of High Volatile Stocks '!G195)</f>
        <v>7.4002168841979632E-2</v>
      </c>
      <c r="K197">
        <f>LN('Data of High Volatile Stocks '!H196/'Data of High Volatile Stocks '!H195)</f>
        <v>2.141073733352435E-3</v>
      </c>
      <c r="N197">
        <f t="shared" si="15"/>
        <v>0.11404420788542162</v>
      </c>
      <c r="O197">
        <f t="shared" si="16"/>
        <v>0.1365548772794952</v>
      </c>
      <c r="P197">
        <f t="shared" si="17"/>
        <v>5.6124584625057081E-2</v>
      </c>
      <c r="Q197">
        <f t="shared" si="18"/>
        <v>2.2797610942152519E-2</v>
      </c>
      <c r="R197">
        <f t="shared" si="19"/>
        <v>4.9694879879075504E-2</v>
      </c>
      <c r="S197">
        <f t="shared" si="20"/>
        <v>7.7073235490305883E-2</v>
      </c>
      <c r="T197">
        <f t="shared" si="21"/>
        <v>5.6687750577979869E-3</v>
      </c>
    </row>
    <row r="198" spans="4:29" x14ac:dyDescent="0.3">
      <c r="E198">
        <f>LN('Data of High Volatile Stocks '!B197/'Data of High Volatile Stocks '!B196)</f>
        <v>1.3390340059584258E-2</v>
      </c>
      <c r="F198">
        <f>LN('Data of High Volatile Stocks '!C197/'Data of High Volatile Stocks '!C196)</f>
        <v>-4.2955067492453224E-2</v>
      </c>
      <c r="G198">
        <f>LN('Data of High Volatile Stocks '!D197/'Data of High Volatile Stocks '!D196)</f>
        <v>-9.1262434848408056E-2</v>
      </c>
      <c r="H198">
        <f>LN('Data of High Volatile Stocks '!E197/'Data of High Volatile Stocks '!E196)</f>
        <v>-6.0926078245324622E-4</v>
      </c>
      <c r="I198">
        <f>LN('Data of High Volatile Stocks '!F197/'Data of High Volatile Stocks '!F196)</f>
        <v>-2.6782354205162957E-2</v>
      </c>
      <c r="J198">
        <f>LN('Data of High Volatile Stocks '!G197/'Data of High Volatile Stocks '!G196)</f>
        <v>-2.1651456570134151E-2</v>
      </c>
      <c r="K198">
        <f>LN('Data of High Volatile Stocks '!H197/'Data of High Volatile Stocks '!H196)</f>
        <v>4.1501215669912245E-3</v>
      </c>
      <c r="N198">
        <f t="shared" si="15"/>
        <v>2.1529221595414455E-2</v>
      </c>
      <c r="O198">
        <f t="shared" si="16"/>
        <v>-4.8223752834986179E-2</v>
      </c>
      <c r="P198">
        <f t="shared" si="17"/>
        <v>-9.3516558219648507E-2</v>
      </c>
      <c r="Q198">
        <f t="shared" si="18"/>
        <v>-4.7680145422986393E-3</v>
      </c>
      <c r="R198">
        <f t="shared" si="19"/>
        <v>-3.9059705882604032E-2</v>
      </c>
      <c r="S198">
        <f t="shared" si="20"/>
        <v>-1.8580389921807893E-2</v>
      </c>
      <c r="T198">
        <f t="shared" si="21"/>
        <v>7.6778228914367759E-3</v>
      </c>
    </row>
    <row r="199" spans="4:29" x14ac:dyDescent="0.3">
      <c r="E199">
        <f>LN('Data of High Volatile Stocks '!B198/'Data of High Volatile Stocks '!B197)</f>
        <v>3.2126498764878504E-2</v>
      </c>
      <c r="F199">
        <f>LN('Data of High Volatile Stocks '!C198/'Data of High Volatile Stocks '!C197)</f>
        <v>1.7420393174790941E-2</v>
      </c>
      <c r="G199">
        <f>LN('Data of High Volatile Stocks '!D198/'Data of High Volatile Stocks '!D197)</f>
        <v>0.19533145520196873</v>
      </c>
      <c r="H199">
        <f>LN('Data of High Volatile Stocks '!E198/'Data of High Volatile Stocks '!E197)</f>
        <v>-1.8970063866662289E-2</v>
      </c>
      <c r="I199">
        <f>LN('Data of High Volatile Stocks '!F198/'Data of High Volatile Stocks '!F197)</f>
        <v>-2.5668760433835577E-2</v>
      </c>
      <c r="J199">
        <f>LN('Data of High Volatile Stocks '!G198/'Data of High Volatile Stocks '!G197)</f>
        <v>4.1785385731568848E-2</v>
      </c>
      <c r="K199">
        <f>LN('Data of High Volatile Stocks '!H198/'Data of High Volatile Stocks '!H197)</f>
        <v>-4.291466501723562E-2</v>
      </c>
      <c r="N199">
        <f t="shared" ref="N199:N200" si="22">E199-E$202</f>
        <v>4.0265380300708697E-2</v>
      </c>
      <c r="O199">
        <f t="shared" ref="O199:O200" si="23">F199-F$202</f>
        <v>1.2151707832257988E-2</v>
      </c>
      <c r="P199">
        <f t="shared" ref="P199:P200" si="24">G199-G$202</f>
        <v>0.19307733183072828</v>
      </c>
      <c r="Q199">
        <f t="shared" ref="Q199:Q200" si="25">H199-H$202</f>
        <v>-2.3128817626507682E-2</v>
      </c>
      <c r="R199">
        <f t="shared" ref="R199:R200" si="26">I199-I$202</f>
        <v>-3.7946112111276659E-2</v>
      </c>
      <c r="S199">
        <f t="shared" ref="S199:S200" si="27">J199-J$202</f>
        <v>4.4856452379895106E-2</v>
      </c>
      <c r="T199">
        <f t="shared" ref="T199:T200" si="28">K199-K$202</f>
        <v>-3.9386963692790065E-2</v>
      </c>
    </row>
    <row r="200" spans="4:29" x14ac:dyDescent="0.3">
      <c r="E200">
        <f>LN('Data of High Volatile Stocks '!B199/'Data of High Volatile Stocks '!B198)</f>
        <v>-9.320466961017812E-2</v>
      </c>
      <c r="F200">
        <f>LN('Data of High Volatile Stocks '!C199/'Data of High Volatile Stocks '!C198)</f>
        <v>7.686557966491165E-3</v>
      </c>
      <c r="G200">
        <f>LN('Data of High Volatile Stocks '!D199/'Data of High Volatile Stocks '!D198)</f>
        <v>-6.2460090322571458E-2</v>
      </c>
      <c r="H200">
        <f>LN('Data of High Volatile Stocks '!E199/'Data of High Volatile Stocks '!E198)</f>
        <v>-3.3687395983675247E-2</v>
      </c>
      <c r="I200">
        <f>LN('Data of High Volatile Stocks '!F199/'Data of High Volatile Stocks '!F198)</f>
        <v>1.3600967172725074E-2</v>
      </c>
      <c r="J200">
        <f>LN('Data of High Volatile Stocks '!G199/'Data of High Volatile Stocks '!G198)</f>
        <v>-0.12094160559479879</v>
      </c>
      <c r="K200">
        <f>LN('Data of High Volatile Stocks '!H199/'Data of High Volatile Stocks '!H198)</f>
        <v>-8.4346816110179162E-3</v>
      </c>
      <c r="N200">
        <f t="shared" si="22"/>
        <v>-8.506578807434792E-2</v>
      </c>
      <c r="O200">
        <f t="shared" si="23"/>
        <v>2.4178726239582112E-3</v>
      </c>
      <c r="P200">
        <f t="shared" si="24"/>
        <v>-6.4714213693811903E-2</v>
      </c>
      <c r="Q200">
        <f t="shared" si="25"/>
        <v>-3.7846149743520643E-2</v>
      </c>
      <c r="R200">
        <f t="shared" si="26"/>
        <v>1.3236154952839963E-3</v>
      </c>
      <c r="S200">
        <f t="shared" si="27"/>
        <v>-0.11787053894647254</v>
      </c>
      <c r="T200">
        <f t="shared" si="28"/>
        <v>-4.9069802865723648E-3</v>
      </c>
    </row>
    <row r="202" spans="4:29" x14ac:dyDescent="0.3">
      <c r="D202" s="2" t="s">
        <v>11</v>
      </c>
      <c r="E202">
        <f>AVERAGE(E6:E200)</f>
        <v>-8.1388815358301968E-3</v>
      </c>
      <c r="F202">
        <f t="shared" ref="F202:K202" si="29">AVERAGE(F6:F200)</f>
        <v>5.2686853425329538E-3</v>
      </c>
      <c r="G202">
        <f t="shared" si="29"/>
        <v>2.2541233712404466E-3</v>
      </c>
      <c r="H202">
        <f t="shared" si="29"/>
        <v>4.1587537598453935E-3</v>
      </c>
      <c r="I202">
        <f t="shared" si="29"/>
        <v>1.2277351677441078E-2</v>
      </c>
      <c r="J202">
        <f t="shared" si="29"/>
        <v>-3.0710666483262576E-3</v>
      </c>
      <c r="K202">
        <f t="shared" si="29"/>
        <v>-3.5277013244455519E-3</v>
      </c>
    </row>
    <row r="205" spans="4:29" x14ac:dyDescent="0.3">
      <c r="E205" s="23" t="s">
        <v>57</v>
      </c>
      <c r="F205" s="23"/>
      <c r="G205" s="23"/>
      <c r="H205" s="23"/>
      <c r="I205" s="23"/>
      <c r="J205" s="23"/>
      <c r="K205" s="23"/>
      <c r="N205" s="23" t="s">
        <v>70</v>
      </c>
      <c r="O205" s="23"/>
      <c r="P205" s="23"/>
      <c r="Q205" s="23"/>
      <c r="R205" s="23"/>
      <c r="S205" s="23"/>
      <c r="T205" s="23"/>
      <c r="W205" s="23" t="s">
        <v>58</v>
      </c>
      <c r="X205" s="23"/>
      <c r="Y205" s="23"/>
      <c r="Z205" s="23"/>
      <c r="AA205" s="23"/>
      <c r="AB205" s="23"/>
      <c r="AC205" s="23"/>
    </row>
    <row r="206" spans="4:29" x14ac:dyDescent="0.3">
      <c r="E206" s="17" t="s">
        <v>24</v>
      </c>
      <c r="F206" s="17" t="s">
        <v>25</v>
      </c>
      <c r="G206" s="17" t="s">
        <v>26</v>
      </c>
      <c r="H206" s="17" t="s">
        <v>27</v>
      </c>
      <c r="I206" s="17" t="s">
        <v>28</v>
      </c>
      <c r="J206" s="17" t="s">
        <v>29</v>
      </c>
      <c r="K206" s="17" t="s">
        <v>30</v>
      </c>
      <c r="N206" s="17" t="s">
        <v>24</v>
      </c>
      <c r="O206" s="17" t="s">
        <v>25</v>
      </c>
      <c r="P206" s="17" t="s">
        <v>26</v>
      </c>
      <c r="Q206" s="17" t="s">
        <v>27</v>
      </c>
      <c r="R206" s="17" t="s">
        <v>28</v>
      </c>
      <c r="S206" s="17" t="s">
        <v>29</v>
      </c>
      <c r="T206" s="17" t="s">
        <v>30</v>
      </c>
      <c r="W206" s="17" t="s">
        <v>24</v>
      </c>
      <c r="X206" s="17" t="s">
        <v>25</v>
      </c>
      <c r="Y206" s="17" t="s">
        <v>26</v>
      </c>
      <c r="Z206" s="17" t="s">
        <v>27</v>
      </c>
      <c r="AA206" s="17" t="s">
        <v>28</v>
      </c>
      <c r="AB206" s="17" t="s">
        <v>29</v>
      </c>
      <c r="AC206" s="17" t="s">
        <v>30</v>
      </c>
    </row>
    <row r="207" spans="4:29" x14ac:dyDescent="0.3">
      <c r="D207" s="2" t="s">
        <v>34</v>
      </c>
      <c r="E207" s="4">
        <f>AVERAGE(E6:E200)</f>
        <v>-8.1388815358301968E-3</v>
      </c>
      <c r="F207" s="4">
        <f t="shared" ref="F207:K207" si="30">AVERAGE(F6:F200)</f>
        <v>5.2686853425329538E-3</v>
      </c>
      <c r="G207" s="4">
        <f t="shared" si="30"/>
        <v>2.2541233712404466E-3</v>
      </c>
      <c r="H207" s="4">
        <f t="shared" si="30"/>
        <v>4.1587537598453935E-3</v>
      </c>
      <c r="I207" s="4">
        <f t="shared" si="30"/>
        <v>1.2277351677441078E-2</v>
      </c>
      <c r="J207" s="4">
        <f t="shared" si="30"/>
        <v>-3.0710666483262576E-3</v>
      </c>
      <c r="K207" s="4">
        <f t="shared" si="30"/>
        <v>-3.5277013244455519E-3</v>
      </c>
      <c r="M207" s="2" t="s">
        <v>34</v>
      </c>
      <c r="N207">
        <f>E207*4</f>
        <v>-3.2555526143320787E-2</v>
      </c>
      <c r="O207">
        <f t="shared" ref="O207:T209" si="31">F207*4</f>
        <v>2.1074741370131815E-2</v>
      </c>
      <c r="P207">
        <f t="shared" si="31"/>
        <v>9.0164934849617864E-3</v>
      </c>
      <c r="Q207">
        <f t="shared" si="31"/>
        <v>1.6635015039381574E-2</v>
      </c>
      <c r="R207">
        <f t="shared" si="31"/>
        <v>4.9109406709764311E-2</v>
      </c>
      <c r="S207">
        <f t="shared" si="31"/>
        <v>-1.228426659330503E-2</v>
      </c>
      <c r="T207">
        <f t="shared" si="31"/>
        <v>-1.4110805297782207E-2</v>
      </c>
      <c r="V207" s="2" t="s">
        <v>11</v>
      </c>
      <c r="W207" s="4">
        <f>E207*52</f>
        <v>-0.42322183986317025</v>
      </c>
      <c r="X207" s="4">
        <f t="shared" ref="X207:AC209" si="32">F207*52</f>
        <v>0.27397163781171358</v>
      </c>
      <c r="Y207" s="4">
        <f t="shared" si="32"/>
        <v>0.11721441530450322</v>
      </c>
      <c r="Z207" s="4">
        <f t="shared" si="32"/>
        <v>0.21625519551196046</v>
      </c>
      <c r="AA207" s="4">
        <f t="shared" si="32"/>
        <v>0.63842228722693606</v>
      </c>
      <c r="AB207" s="4">
        <f t="shared" si="32"/>
        <v>-0.15969546571296539</v>
      </c>
      <c r="AC207" s="4">
        <f t="shared" si="32"/>
        <v>-0.18344046887116869</v>
      </c>
    </row>
    <row r="208" spans="4:29" x14ac:dyDescent="0.3">
      <c r="D208" s="2" t="s">
        <v>15</v>
      </c>
      <c r="E208" s="4">
        <f>_xlfn.VAR.S(E6:E200)</f>
        <v>9.4381038564608985E-3</v>
      </c>
      <c r="F208" s="4">
        <f t="shared" ref="F208:K208" si="33">_xlfn.VAR.S(F6:F200)</f>
        <v>4.8007586528298592E-3</v>
      </c>
      <c r="G208" s="4">
        <f t="shared" si="33"/>
        <v>1.6775544162076956E-2</v>
      </c>
      <c r="H208" s="4">
        <f t="shared" si="33"/>
        <v>3.8176522338482202E-3</v>
      </c>
      <c r="I208" s="4">
        <f t="shared" si="33"/>
        <v>8.823014300621896E-3</v>
      </c>
      <c r="J208" s="4">
        <f t="shared" si="33"/>
        <v>9.825011165943854E-3</v>
      </c>
      <c r="K208" s="4">
        <f t="shared" si="33"/>
        <v>3.1326741394400218E-3</v>
      </c>
      <c r="M208" s="2" t="s">
        <v>15</v>
      </c>
      <c r="N208">
        <f>E208*4</f>
        <v>3.7752415425843594E-2</v>
      </c>
      <c r="O208">
        <f t="shared" si="31"/>
        <v>1.9203034611319437E-2</v>
      </c>
      <c r="P208">
        <f t="shared" si="31"/>
        <v>6.7102176648307824E-2</v>
      </c>
      <c r="Q208">
        <f t="shared" si="31"/>
        <v>1.5270608935392881E-2</v>
      </c>
      <c r="R208">
        <f t="shared" si="31"/>
        <v>3.5292057202487584E-2</v>
      </c>
      <c r="S208">
        <f t="shared" si="31"/>
        <v>3.9300044663775416E-2</v>
      </c>
      <c r="T208">
        <f t="shared" si="31"/>
        <v>1.2530696557760087E-2</v>
      </c>
      <c r="V208" s="2" t="s">
        <v>15</v>
      </c>
      <c r="W208" s="4">
        <f>E208*52</f>
        <v>0.49078140053596675</v>
      </c>
      <c r="X208" s="4">
        <f t="shared" si="32"/>
        <v>0.24963944994715268</v>
      </c>
      <c r="Y208" s="4">
        <f t="shared" si="32"/>
        <v>0.87232829642800169</v>
      </c>
      <c r="Z208" s="4">
        <f t="shared" si="32"/>
        <v>0.19851791616010744</v>
      </c>
      <c r="AA208" s="4">
        <f t="shared" si="32"/>
        <v>0.45879674363233858</v>
      </c>
      <c r="AB208" s="4">
        <f t="shared" si="32"/>
        <v>0.51090058062908039</v>
      </c>
      <c r="AC208" s="4">
        <f t="shared" si="32"/>
        <v>0.16289905525088114</v>
      </c>
    </row>
    <row r="209" spans="4:29" x14ac:dyDescent="0.3">
      <c r="D209" s="2" t="s">
        <v>63</v>
      </c>
      <c r="E209" s="4">
        <f>SQRT(E208)</f>
        <v>9.7149904047615504E-2</v>
      </c>
      <c r="F209" s="4">
        <f t="shared" ref="F209:K209" si="34">SQRT(F208)</f>
        <v>6.9287507191627698E-2</v>
      </c>
      <c r="G209" s="4">
        <f t="shared" si="34"/>
        <v>0.12952043916724865</v>
      </c>
      <c r="H209" s="4">
        <f t="shared" si="34"/>
        <v>6.1787152660146269E-2</v>
      </c>
      <c r="I209" s="4">
        <f t="shared" si="34"/>
        <v>9.3930901734316896E-2</v>
      </c>
      <c r="J209" s="4">
        <f t="shared" si="34"/>
        <v>9.9121194332715004E-2</v>
      </c>
      <c r="K209" s="4">
        <f t="shared" si="34"/>
        <v>5.5970296939001692E-2</v>
      </c>
      <c r="M209" s="2" t="s">
        <v>63</v>
      </c>
      <c r="N209">
        <f>E209*4</f>
        <v>0.38859961619046202</v>
      </c>
      <c r="O209">
        <f t="shared" si="31"/>
        <v>0.27715002876651079</v>
      </c>
      <c r="P209">
        <f t="shared" si="31"/>
        <v>0.51808175666899459</v>
      </c>
      <c r="Q209">
        <f t="shared" si="31"/>
        <v>0.24714861064058508</v>
      </c>
      <c r="R209">
        <f t="shared" si="31"/>
        <v>0.37572360693726758</v>
      </c>
      <c r="S209">
        <f t="shared" si="31"/>
        <v>0.39648477733086002</v>
      </c>
      <c r="T209">
        <f t="shared" si="31"/>
        <v>0.22388118775600677</v>
      </c>
      <c r="V209" s="2" t="s">
        <v>63</v>
      </c>
      <c r="W209" s="4">
        <f>E209*52</f>
        <v>5.0517950104760061</v>
      </c>
      <c r="X209" s="4">
        <f t="shared" si="32"/>
        <v>3.6029503739646405</v>
      </c>
      <c r="Y209" s="4">
        <f t="shared" si="32"/>
        <v>6.7350628366969296</v>
      </c>
      <c r="Z209" s="4">
        <f t="shared" si="32"/>
        <v>3.212931938327606</v>
      </c>
      <c r="AA209" s="4">
        <f t="shared" si="32"/>
        <v>4.8844068901844784</v>
      </c>
      <c r="AB209" s="4">
        <f t="shared" si="32"/>
        <v>5.1543021053011806</v>
      </c>
      <c r="AC209" s="4">
        <f t="shared" si="32"/>
        <v>2.910455440828088</v>
      </c>
    </row>
  </sheetData>
  <mergeCells count="5">
    <mergeCell ref="E4:K4"/>
    <mergeCell ref="N4:T4"/>
    <mergeCell ref="E205:K205"/>
    <mergeCell ref="N205:T205"/>
    <mergeCell ref="W205:AC20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8C42-A484-413B-8B64-A24A6E673B74}">
  <dimension ref="C3:X48"/>
  <sheetViews>
    <sheetView topLeftCell="A33" workbookViewId="0">
      <selection activeCell="K39" sqref="K39"/>
    </sheetView>
  </sheetViews>
  <sheetFormatPr defaultRowHeight="14.4" x14ac:dyDescent="0.3"/>
  <cols>
    <col min="4" max="4" width="11.44140625" customWidth="1"/>
    <col min="5" max="5" width="12.88671875" customWidth="1"/>
  </cols>
  <sheetData>
    <row r="3" spans="3:24" x14ac:dyDescent="0.3">
      <c r="C3" s="23" t="s">
        <v>55</v>
      </c>
      <c r="D3" s="23"/>
      <c r="E3" s="23"/>
      <c r="F3" s="23"/>
      <c r="G3" s="23"/>
      <c r="H3" s="23"/>
      <c r="I3" s="23"/>
      <c r="J3" s="23"/>
      <c r="K3" s="23"/>
      <c r="N3" s="23" t="s">
        <v>13</v>
      </c>
      <c r="O3" s="23"/>
      <c r="P3" s="23"/>
      <c r="Q3" s="23"/>
      <c r="R3" s="23"/>
      <c r="S3" s="23"/>
      <c r="T3" s="23"/>
      <c r="U3" s="23"/>
      <c r="V3" s="23"/>
    </row>
    <row r="4" spans="3:24" x14ac:dyDescent="0.3">
      <c r="D4" s="17" t="s">
        <v>24</v>
      </c>
      <c r="E4" s="17" t="s">
        <v>25</v>
      </c>
      <c r="F4" s="17" t="s">
        <v>26</v>
      </c>
      <c r="G4" s="17" t="s">
        <v>27</v>
      </c>
      <c r="H4" s="17" t="s">
        <v>28</v>
      </c>
      <c r="I4" s="17" t="s">
        <v>29</v>
      </c>
      <c r="J4" s="17" t="s">
        <v>30</v>
      </c>
      <c r="O4" s="17" t="s">
        <v>24</v>
      </c>
      <c r="P4" s="17" t="s">
        <v>25</v>
      </c>
      <c r="Q4" s="17" t="s">
        <v>26</v>
      </c>
      <c r="R4" s="17" t="s">
        <v>27</v>
      </c>
      <c r="S4" s="17" t="s">
        <v>28</v>
      </c>
      <c r="T4" s="17" t="s">
        <v>29</v>
      </c>
      <c r="U4" s="17" t="s">
        <v>30</v>
      </c>
    </row>
    <row r="5" spans="3:24" x14ac:dyDescent="0.3">
      <c r="C5" s="17" t="s">
        <v>24</v>
      </c>
      <c r="D5" cm="1">
        <f t="array" ref="D5:J11">MMULT(TRANSPOSE('Return of volatile stocks'!N6:T200),'Return of volatile stocks'!N6:T200)/(195-1)</f>
        <v>9.4381038564609002E-3</v>
      </c>
      <c r="E5">
        <v>2.3154569978208524E-3</v>
      </c>
      <c r="F5">
        <v>3.75999307877573E-3</v>
      </c>
      <c r="G5">
        <v>1.5440184850889992E-3</v>
      </c>
      <c r="H5">
        <v>1.2471033541780327E-3</v>
      </c>
      <c r="I5">
        <v>3.3082391129457258E-3</v>
      </c>
      <c r="J5">
        <v>1.3680207078341814E-3</v>
      </c>
      <c r="N5" s="17" t="s">
        <v>24</v>
      </c>
      <c r="O5" cm="1">
        <f t="array" ref="O5:U11">MINVERSE(_xlfn.ANCHORARRAY(D5))</f>
        <v>134.15587848999795</v>
      </c>
      <c r="P5">
        <v>-53.033806423012813</v>
      </c>
      <c r="Q5">
        <v>-16.254191779976463</v>
      </c>
      <c r="R5">
        <v>-9.8840927643309104</v>
      </c>
      <c r="S5">
        <v>37.17030277409053</v>
      </c>
      <c r="T5">
        <v>-32.220566415151836</v>
      </c>
      <c r="U5">
        <v>-4.9448203383279328</v>
      </c>
    </row>
    <row r="6" spans="3:24" x14ac:dyDescent="0.3">
      <c r="C6" s="17" t="s">
        <v>25</v>
      </c>
      <c r="D6">
        <v>2.3154569978208524E-3</v>
      </c>
      <c r="E6">
        <v>4.8007586528298609E-3</v>
      </c>
      <c r="F6">
        <v>3.7986976879687859E-3</v>
      </c>
      <c r="G6">
        <v>2.0580367655207293E-3</v>
      </c>
      <c r="H6">
        <v>3.633458698195226E-3</v>
      </c>
      <c r="I6">
        <v>3.1261636632104539E-3</v>
      </c>
      <c r="J6">
        <v>1.673078284223138E-3</v>
      </c>
      <c r="N6" s="17" t="s">
        <v>25</v>
      </c>
      <c r="O6">
        <v>-53.033806423012827</v>
      </c>
      <c r="P6">
        <v>366.92917253025706</v>
      </c>
      <c r="Q6">
        <v>-3.4157279645646548</v>
      </c>
      <c r="R6">
        <v>-79.61596676020082</v>
      </c>
      <c r="S6">
        <v>-100.0781047002707</v>
      </c>
      <c r="T6">
        <v>-10.807034267360574</v>
      </c>
      <c r="U6">
        <v>-38.550963163426609</v>
      </c>
    </row>
    <row r="7" spans="3:24" x14ac:dyDescent="0.3">
      <c r="C7" s="17" t="s">
        <v>26</v>
      </c>
      <c r="D7">
        <v>3.75999307877573E-3</v>
      </c>
      <c r="E7">
        <v>3.7986976879687859E-3</v>
      </c>
      <c r="F7">
        <v>1.6775544162076949E-2</v>
      </c>
      <c r="G7">
        <v>3.878975112370404E-3</v>
      </c>
      <c r="H7">
        <v>6.2803709502877907E-3</v>
      </c>
      <c r="I7">
        <v>6.4787933874069824E-3</v>
      </c>
      <c r="J7">
        <v>3.3662723575431366E-3</v>
      </c>
      <c r="N7" s="17" t="s">
        <v>26</v>
      </c>
      <c r="O7">
        <v>-16.254191779976463</v>
      </c>
      <c r="P7">
        <v>-3.415727964564657</v>
      </c>
      <c r="Q7">
        <v>100.93356794129726</v>
      </c>
      <c r="R7">
        <v>-42.871879659651917</v>
      </c>
      <c r="S7">
        <v>-35.203023677840868</v>
      </c>
      <c r="T7">
        <v>-20.611119694234965</v>
      </c>
      <c r="U7">
        <v>-29.172438239778881</v>
      </c>
    </row>
    <row r="8" spans="3:24" x14ac:dyDescent="0.3">
      <c r="C8" s="17" t="s">
        <v>27</v>
      </c>
      <c r="D8">
        <v>1.5440184850889992E-3</v>
      </c>
      <c r="E8">
        <v>2.0580367655207293E-3</v>
      </c>
      <c r="F8">
        <v>3.878975112370404E-3</v>
      </c>
      <c r="G8">
        <v>3.8176522338482185E-3</v>
      </c>
      <c r="H8">
        <v>2.6607827957285074E-3</v>
      </c>
      <c r="I8">
        <v>2.7435415514348443E-3</v>
      </c>
      <c r="J8">
        <v>1.5599430242390481E-3</v>
      </c>
      <c r="N8" s="17" t="s">
        <v>27</v>
      </c>
      <c r="O8">
        <v>-9.8840927643309087</v>
      </c>
      <c r="P8">
        <v>-79.615966760200777</v>
      </c>
      <c r="Q8">
        <v>-42.871879659651931</v>
      </c>
      <c r="R8">
        <v>416.70287162577051</v>
      </c>
      <c r="S8">
        <v>-28.562289680704666</v>
      </c>
      <c r="T8">
        <v>-22.579432068883012</v>
      </c>
      <c r="U8">
        <v>-68.892405103026249</v>
      </c>
    </row>
    <row r="9" spans="3:24" x14ac:dyDescent="0.3">
      <c r="C9" s="17" t="s">
        <v>28</v>
      </c>
      <c r="D9">
        <v>1.2471033541780327E-3</v>
      </c>
      <c r="E9">
        <v>3.633458698195226E-3</v>
      </c>
      <c r="F9">
        <v>6.2803709502877907E-3</v>
      </c>
      <c r="G9">
        <v>2.6607827957285074E-3</v>
      </c>
      <c r="H9">
        <v>8.8230143006219081E-3</v>
      </c>
      <c r="I9">
        <v>5.0216596877703783E-3</v>
      </c>
      <c r="J9">
        <v>2.5039770002502847E-3</v>
      </c>
      <c r="N9" s="17" t="s">
        <v>28</v>
      </c>
      <c r="O9">
        <v>37.170302774090537</v>
      </c>
      <c r="P9">
        <v>-100.07810470027071</v>
      </c>
      <c r="Q9">
        <v>-35.203023677840868</v>
      </c>
      <c r="R9">
        <v>-28.562289680704691</v>
      </c>
      <c r="S9">
        <v>222.63982766347667</v>
      </c>
      <c r="T9">
        <v>-51.471285472423965</v>
      </c>
      <c r="U9">
        <v>-36.550877665714758</v>
      </c>
    </row>
    <row r="10" spans="3:24" x14ac:dyDescent="0.3">
      <c r="C10" s="17" t="s">
        <v>29</v>
      </c>
      <c r="D10">
        <v>3.3082391129457258E-3</v>
      </c>
      <c r="E10">
        <v>3.1261636632104539E-3</v>
      </c>
      <c r="F10">
        <v>6.4787933874069824E-3</v>
      </c>
      <c r="G10">
        <v>2.7435415514348443E-3</v>
      </c>
      <c r="H10">
        <v>5.0216596877703783E-3</v>
      </c>
      <c r="I10">
        <v>9.8250111659438505E-3</v>
      </c>
      <c r="J10">
        <v>3.173337274005864E-3</v>
      </c>
      <c r="N10" s="17" t="s">
        <v>29</v>
      </c>
      <c r="O10">
        <v>-32.220566415151843</v>
      </c>
      <c r="P10">
        <v>-10.80703426736058</v>
      </c>
      <c r="Q10">
        <v>-20.611119694234965</v>
      </c>
      <c r="R10">
        <v>-22.579432068883026</v>
      </c>
      <c r="S10">
        <v>-51.471285472423951</v>
      </c>
      <c r="T10">
        <v>195.87778680228701</v>
      </c>
      <c r="U10">
        <v>-104.04487222407627</v>
      </c>
    </row>
    <row r="11" spans="3:24" x14ac:dyDescent="0.3">
      <c r="C11" s="17" t="s">
        <v>30</v>
      </c>
      <c r="D11">
        <v>1.3680207078341814E-3</v>
      </c>
      <c r="E11">
        <v>1.673078284223138E-3</v>
      </c>
      <c r="F11">
        <v>3.3662723575431366E-3</v>
      </c>
      <c r="G11">
        <v>1.5599430242390481E-3</v>
      </c>
      <c r="H11">
        <v>2.5039770002502847E-3</v>
      </c>
      <c r="I11">
        <v>3.173337274005864E-3</v>
      </c>
      <c r="J11">
        <v>3.1326741394400192E-3</v>
      </c>
      <c r="N11" s="17" t="s">
        <v>30</v>
      </c>
      <c r="O11">
        <v>-4.9448203383279434</v>
      </c>
      <c r="P11">
        <v>-38.550963163426616</v>
      </c>
      <c r="Q11">
        <v>-29.172438239778884</v>
      </c>
      <c r="R11">
        <v>-68.892405103026235</v>
      </c>
      <c r="S11">
        <v>-36.550877665714765</v>
      </c>
      <c r="T11">
        <v>-104.04487222407627</v>
      </c>
      <c r="U11">
        <v>542.22876294805872</v>
      </c>
    </row>
    <row r="13" spans="3:24" x14ac:dyDescent="0.3">
      <c r="N13" s="17" t="s">
        <v>52</v>
      </c>
      <c r="O13">
        <v>1</v>
      </c>
      <c r="P13">
        <v>1</v>
      </c>
      <c r="Q13">
        <v>1</v>
      </c>
      <c r="R13">
        <v>1</v>
      </c>
      <c r="S13">
        <v>1</v>
      </c>
      <c r="T13">
        <v>1</v>
      </c>
      <c r="U13">
        <v>1</v>
      </c>
    </row>
    <row r="16" spans="3:24" x14ac:dyDescent="0.3">
      <c r="C16" s="23" t="s">
        <v>60</v>
      </c>
      <c r="D16" s="23"/>
      <c r="E16" s="23"/>
      <c r="F16" s="23"/>
      <c r="G16" s="23"/>
      <c r="H16" s="23"/>
      <c r="I16" s="23"/>
      <c r="J16" s="23"/>
      <c r="K16" s="23"/>
      <c r="L16" s="23"/>
      <c r="M16" s="23"/>
      <c r="N16" s="23"/>
      <c r="O16" s="23"/>
      <c r="P16" s="23"/>
      <c r="Q16" s="23"/>
      <c r="R16" s="23"/>
      <c r="S16" s="23"/>
      <c r="T16" s="23"/>
      <c r="U16" s="23"/>
      <c r="V16" s="23"/>
      <c r="W16" s="23"/>
      <c r="X16" s="23"/>
    </row>
    <row r="18" spans="3:24" x14ac:dyDescent="0.3">
      <c r="D18" s="2" t="s">
        <v>61</v>
      </c>
      <c r="E18" cm="1">
        <f t="array" ref="E18:K18">MMULT(O13:U13,_xlfn.ANCHORARRAY(O5))/SUM(MMULT(O13:U13,_xlfn.ANCHORARRAY(O5)))</f>
        <v>0.11545489258677</v>
      </c>
      <c r="F18">
        <v>0.17096622862046026</v>
      </c>
      <c r="G18">
        <v>-9.7830986948273677E-2</v>
      </c>
      <c r="H18">
        <v>0.3449593974640906</v>
      </c>
      <c r="I18">
        <v>1.6680463806591099E-2</v>
      </c>
      <c r="J18">
        <v>-9.6280865622454678E-2</v>
      </c>
      <c r="K18">
        <v>0.5460508700928165</v>
      </c>
    </row>
    <row r="19" spans="3:24" x14ac:dyDescent="0.3">
      <c r="D19" s="2"/>
    </row>
    <row r="20" spans="3:24" x14ac:dyDescent="0.3">
      <c r="D20" s="2" t="s">
        <v>46</v>
      </c>
      <c r="E20" s="4">
        <f>'Return of volatile stocks'!W207</f>
        <v>-0.42322183986317025</v>
      </c>
      <c r="F20" s="4">
        <f>'Return of volatile stocks'!X207</f>
        <v>0.27397163781171358</v>
      </c>
      <c r="G20" s="4">
        <f>'Return of volatile stocks'!Y207</f>
        <v>0.11721441530450322</v>
      </c>
      <c r="H20" s="4">
        <f>'Return of volatile stocks'!Z207</f>
        <v>0.21625519551196046</v>
      </c>
      <c r="I20" s="4">
        <f>'Return of volatile stocks'!AA207</f>
        <v>0.63842228722693606</v>
      </c>
      <c r="J20" s="4">
        <f>'Return of volatile stocks'!AB207</f>
        <v>-0.15969546571296539</v>
      </c>
      <c r="K20" s="4">
        <f>'Return of volatile stocks'!AC207</f>
        <v>-0.18344046887116869</v>
      </c>
    </row>
    <row r="22" spans="3:24" x14ac:dyDescent="0.3">
      <c r="D22" s="2" t="s">
        <v>34</v>
      </c>
      <c r="E22" s="4">
        <f>SUMPRODUCT(E20:K20,_xlfn.ANCHORARRAY(E18))</f>
        <v>-1.3034104494758059E-2</v>
      </c>
    </row>
    <row r="23" spans="3:24" x14ac:dyDescent="0.3">
      <c r="D23" s="2" t="s">
        <v>15</v>
      </c>
      <c r="E23" s="4" cm="1">
        <f t="array" ref="E23">MMULT(_xlfn.ANCHORARRAY(E18),MMULT(_xlfn.ANCHORARRAY(D5),TRANSPOSE(_xlfn.ANCHORARRAY(E18))))</f>
        <v>2.0996111045949832E-3</v>
      </c>
    </row>
    <row r="24" spans="3:24" x14ac:dyDescent="0.3">
      <c r="D24" s="2" t="s">
        <v>63</v>
      </c>
      <c r="E24" s="4">
        <f>SQRT(E23)</f>
        <v>4.5821513556352361E-2</v>
      </c>
    </row>
    <row r="27" spans="3:24" x14ac:dyDescent="0.3">
      <c r="C27" s="23" t="s">
        <v>38</v>
      </c>
      <c r="D27" s="23"/>
      <c r="E27" s="23"/>
      <c r="F27" s="23"/>
      <c r="G27" s="23"/>
      <c r="H27" s="23"/>
      <c r="I27" s="23"/>
      <c r="J27" s="23"/>
      <c r="K27" s="23"/>
      <c r="L27" s="23"/>
      <c r="M27" s="23"/>
      <c r="N27" s="23"/>
      <c r="O27" s="23"/>
      <c r="P27" s="23"/>
      <c r="Q27" s="23"/>
      <c r="R27" s="23"/>
      <c r="S27" s="23"/>
      <c r="T27" s="23"/>
      <c r="U27" s="23"/>
      <c r="V27" s="23"/>
      <c r="W27" s="23"/>
      <c r="X27" s="23"/>
    </row>
    <row r="29" spans="3:24" x14ac:dyDescent="0.3">
      <c r="D29" s="2" t="s">
        <v>11</v>
      </c>
      <c r="F29" s="2" t="s">
        <v>64</v>
      </c>
      <c r="H29" s="2" t="s">
        <v>37</v>
      </c>
    </row>
    <row r="30" spans="3:24" x14ac:dyDescent="0.3">
      <c r="D30" s="4">
        <f>E20</f>
        <v>-0.42322183986317025</v>
      </c>
      <c r="F30" cm="1">
        <f t="array" ref="F30:F36">MMULT(_xlfn.ANCHORARRAY(O5),D30:D36)</f>
        <v>-45.567260292542578</v>
      </c>
      <c r="H30">
        <f>F30/SUM(_xlfn.ANCHORARRAY($F$30))</f>
        <v>7.3402454119245091</v>
      </c>
    </row>
    <row r="31" spans="3:24" x14ac:dyDescent="0.3">
      <c r="D31" s="4">
        <f>F20</f>
        <v>0.27397163781171358</v>
      </c>
      <c r="F31">
        <v>50.261061098852046</v>
      </c>
      <c r="H31">
        <f t="shared" ref="H31:H36" si="0">F31/SUM(_xlfn.ANCHORARRAY($F$30))</f>
        <v>-8.0963507737963365</v>
      </c>
    </row>
    <row r="32" spans="3:24" x14ac:dyDescent="0.3">
      <c r="D32" s="4">
        <f>G20</f>
        <v>0.11721441530450322</v>
      </c>
      <c r="F32">
        <v>-5.3285679875417307</v>
      </c>
      <c r="H32">
        <f t="shared" si="0"/>
        <v>0.85835743627277361</v>
      </c>
    </row>
    <row r="33" spans="4:8" x14ac:dyDescent="0.3">
      <c r="D33" s="4">
        <f>H20</f>
        <v>0.21625519551196046</v>
      </c>
      <c r="F33">
        <v>65.468291489500828</v>
      </c>
      <c r="H33">
        <f t="shared" si="0"/>
        <v>-10.546021927743393</v>
      </c>
    </row>
    <row r="34" spans="4:8" x14ac:dyDescent="0.3">
      <c r="D34" s="4">
        <f>I20</f>
        <v>0.63842228722693606</v>
      </c>
      <c r="F34">
        <v>103.60997748707706</v>
      </c>
      <c r="H34">
        <f t="shared" si="0"/>
        <v>-16.690111650262725</v>
      </c>
    </row>
    <row r="35" spans="4:8" x14ac:dyDescent="0.3">
      <c r="D35" s="4">
        <f>J20</f>
        <v>-0.15969546571296539</v>
      </c>
      <c r="F35">
        <v>-41.678383358404517</v>
      </c>
      <c r="H35">
        <f t="shared" si="0"/>
        <v>6.7138019766579475</v>
      </c>
    </row>
    <row r="36" spans="4:8" x14ac:dyDescent="0.3">
      <c r="D36" s="4">
        <f>K20</f>
        <v>-0.18344046887116869</v>
      </c>
      <c r="F36">
        <v>-132.97298448710299</v>
      </c>
      <c r="H36">
        <f t="shared" si="0"/>
        <v>21.420079526947227</v>
      </c>
    </row>
    <row r="39" spans="4:8" x14ac:dyDescent="0.3">
      <c r="G39" s="2" t="s">
        <v>71</v>
      </c>
      <c r="H39">
        <f>SUM(H30:H36)</f>
        <v>1</v>
      </c>
    </row>
    <row r="42" spans="4:8" x14ac:dyDescent="0.3">
      <c r="D42" s="2" t="s">
        <v>34</v>
      </c>
      <c r="E42" s="4">
        <f>SUMPRODUCT(D30:D36,H30:H36)</f>
        <v>-23.161555237801188</v>
      </c>
    </row>
    <row r="43" spans="4:8" x14ac:dyDescent="0.3">
      <c r="D43" s="2" t="s">
        <v>15</v>
      </c>
      <c r="E43" s="4" cm="1">
        <f t="array" ref="E43">MMULT(TRANSPOSE(H30:H36),MMULT(_xlfn.ANCHORARRAY(D5),H30:H36))</f>
        <v>3.7310011283502567</v>
      </c>
    </row>
    <row r="44" spans="4:8" x14ac:dyDescent="0.3">
      <c r="D44" s="2" t="s">
        <v>63</v>
      </c>
      <c r="E44" s="4">
        <f>SQRT(E43)</f>
        <v>1.9315799564994085</v>
      </c>
    </row>
    <row r="48" spans="4:8" x14ac:dyDescent="0.3">
      <c r="D48" s="2" t="s">
        <v>66</v>
      </c>
      <c r="E48" s="9">
        <f>E42/E44</f>
        <v>-11.990989635125819</v>
      </c>
    </row>
  </sheetData>
  <mergeCells count="4">
    <mergeCell ref="C3:K3"/>
    <mergeCell ref="N3:V3"/>
    <mergeCell ref="C16:X16"/>
    <mergeCell ref="C27:X2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3CF4-8797-43D2-9526-96AB85108385}">
  <dimension ref="B3:AV210"/>
  <sheetViews>
    <sheetView topLeftCell="AD191" workbookViewId="0">
      <selection activeCell="AD209" sqref="AD209"/>
    </sheetView>
  </sheetViews>
  <sheetFormatPr defaultRowHeight="14.4" x14ac:dyDescent="0.3"/>
  <sheetData>
    <row r="3" spans="3:32" x14ac:dyDescent="0.3">
      <c r="C3" s="23" t="s">
        <v>1</v>
      </c>
      <c r="D3" s="23"/>
      <c r="E3" s="23"/>
      <c r="F3" s="23"/>
      <c r="G3" s="23"/>
      <c r="H3" s="23"/>
      <c r="I3" s="23"/>
      <c r="J3" s="23"/>
      <c r="K3" s="23"/>
      <c r="L3" s="23"/>
      <c r="M3" s="23"/>
      <c r="N3" s="23"/>
      <c r="O3" s="23"/>
      <c r="P3" s="23"/>
      <c r="S3" s="23" t="s">
        <v>12</v>
      </c>
      <c r="T3" s="23"/>
      <c r="U3" s="23"/>
      <c r="V3" s="23"/>
      <c r="W3" s="23"/>
      <c r="X3" s="23"/>
      <c r="Y3" s="23"/>
      <c r="Z3" s="23"/>
      <c r="AA3" s="23"/>
      <c r="AB3" s="23"/>
      <c r="AC3" s="23"/>
      <c r="AD3" s="23"/>
      <c r="AE3" s="23"/>
      <c r="AF3" s="23"/>
    </row>
    <row r="4" spans="3:32" x14ac:dyDescent="0.3">
      <c r="C4" s="26" t="s">
        <v>3</v>
      </c>
      <c r="D4" s="26" t="s">
        <v>4</v>
      </c>
      <c r="E4" s="26" t="s">
        <v>5</v>
      </c>
      <c r="F4" s="26" t="s">
        <v>6</v>
      </c>
      <c r="G4" s="26" t="s">
        <v>7</v>
      </c>
      <c r="H4" s="26" t="s">
        <v>8</v>
      </c>
      <c r="I4" s="26" t="s">
        <v>9</v>
      </c>
      <c r="J4" s="26" t="s">
        <v>24</v>
      </c>
      <c r="K4" s="26" t="s">
        <v>25</v>
      </c>
      <c r="L4" s="26" t="s">
        <v>26</v>
      </c>
      <c r="M4" s="26" t="s">
        <v>27</v>
      </c>
      <c r="N4" s="26" t="s">
        <v>28</v>
      </c>
      <c r="O4" s="26" t="s">
        <v>29</v>
      </c>
      <c r="P4" s="26" t="s">
        <v>30</v>
      </c>
      <c r="S4" s="26" t="s">
        <v>3</v>
      </c>
      <c r="T4" s="26" t="s">
        <v>4</v>
      </c>
      <c r="U4" s="26" t="s">
        <v>5</v>
      </c>
      <c r="V4" s="26" t="s">
        <v>6</v>
      </c>
      <c r="W4" s="26" t="s">
        <v>7</v>
      </c>
      <c r="X4" s="26" t="s">
        <v>8</v>
      </c>
      <c r="Y4" s="26" t="s">
        <v>9</v>
      </c>
      <c r="Z4" s="26" t="s">
        <v>24</v>
      </c>
      <c r="AA4" s="26" t="s">
        <v>25</v>
      </c>
      <c r="AB4" s="26" t="s">
        <v>26</v>
      </c>
      <c r="AC4" s="26" t="s">
        <v>27</v>
      </c>
      <c r="AD4" s="26" t="s">
        <v>28</v>
      </c>
      <c r="AE4" s="26" t="s">
        <v>29</v>
      </c>
      <c r="AF4" s="26" t="s">
        <v>30</v>
      </c>
    </row>
    <row r="5" spans="3:32" x14ac:dyDescent="0.3">
      <c r="C5" s="27"/>
      <c r="D5" s="27"/>
      <c r="E5" s="27"/>
      <c r="F5" s="27"/>
      <c r="G5" s="27"/>
      <c r="H5" s="27"/>
      <c r="I5" s="27"/>
      <c r="J5" s="27"/>
      <c r="K5" s="27"/>
      <c r="L5" s="27"/>
      <c r="M5" s="27"/>
      <c r="N5" s="27"/>
      <c r="O5" s="27"/>
      <c r="P5" s="27"/>
      <c r="S5" s="27"/>
      <c r="T5" s="27"/>
      <c r="U5" s="27"/>
      <c r="V5" s="27"/>
      <c r="W5" s="27"/>
      <c r="X5" s="27"/>
      <c r="Y5" s="27"/>
      <c r="Z5" s="27"/>
      <c r="AA5" s="27"/>
      <c r="AB5" s="27"/>
      <c r="AC5" s="27"/>
      <c r="AD5" s="27"/>
      <c r="AE5" s="27"/>
      <c r="AF5" s="27"/>
    </row>
    <row r="6" spans="3:32" x14ac:dyDescent="0.3">
      <c r="C6" s="6">
        <v>-6.3572134750396206E-2</v>
      </c>
      <c r="D6" s="6">
        <v>-0.14215902243145132</v>
      </c>
      <c r="E6" s="6">
        <v>-4.6756450202727964E-2</v>
      </c>
      <c r="F6" s="6">
        <v>-6.7698081427939594E-2</v>
      </c>
      <c r="G6" s="6">
        <v>-0.10616431165130602</v>
      </c>
      <c r="H6" s="6">
        <v>-0.12813618600467608</v>
      </c>
      <c r="I6" s="6">
        <v>-9.0540014444080247E-2</v>
      </c>
      <c r="J6" s="6">
        <v>-0.16915934859862866</v>
      </c>
      <c r="K6" s="6">
        <v>-7.0145609366759773E-2</v>
      </c>
      <c r="L6" s="6">
        <v>-0.18087062538044882</v>
      </c>
      <c r="M6" s="6">
        <v>-0.14408348070953439</v>
      </c>
      <c r="N6" s="6">
        <v>-0.16830408482592674</v>
      </c>
      <c r="O6" s="6">
        <v>-9.6128522675905131E-2</v>
      </c>
      <c r="P6" s="6">
        <v>-7.8509948564001064E-2</v>
      </c>
      <c r="S6" s="6">
        <f>C6-C$203</f>
        <v>-6.536015273820614E-2</v>
      </c>
      <c r="T6" s="6">
        <f t="shared" ref="T6:AF6" si="0">D6-D$203</f>
        <v>-0.15198849892789582</v>
      </c>
      <c r="U6" s="6">
        <f t="shared" si="0"/>
        <v>-4.9315804348937689E-2</v>
      </c>
      <c r="V6" s="6">
        <f t="shared" si="0"/>
        <v>-7.0407429763410703E-2</v>
      </c>
      <c r="W6" s="6">
        <f t="shared" si="0"/>
        <v>-0.10702108946391681</v>
      </c>
      <c r="X6" s="6">
        <f t="shared" si="0"/>
        <v>-0.12961582572590571</v>
      </c>
      <c r="Y6" s="6">
        <f t="shared" si="0"/>
        <v>-9.4405601754276175E-2</v>
      </c>
      <c r="Z6" s="6">
        <f t="shared" si="0"/>
        <v>-0.16102046706279846</v>
      </c>
      <c r="AA6" s="6">
        <f t="shared" si="0"/>
        <v>-7.5414294709292728E-2</v>
      </c>
      <c r="AB6" s="6">
        <f t="shared" si="0"/>
        <v>-0.18312474875168927</v>
      </c>
      <c r="AC6" s="6">
        <f t="shared" si="0"/>
        <v>-0.14824223446937979</v>
      </c>
      <c r="AD6" s="6">
        <f t="shared" si="0"/>
        <v>-0.1805814365033678</v>
      </c>
      <c r="AE6" s="6">
        <f t="shared" si="0"/>
        <v>-9.305745602757888E-2</v>
      </c>
      <c r="AF6" s="6">
        <f t="shared" si="0"/>
        <v>-7.4982247239555516E-2</v>
      </c>
    </row>
    <row r="7" spans="3:32" x14ac:dyDescent="0.3">
      <c r="C7" s="6">
        <v>4.761372968597441E-2</v>
      </c>
      <c r="D7" s="6">
        <v>-2.2939763762957151E-2</v>
      </c>
      <c r="E7" s="6">
        <v>4.0482782178863287E-2</v>
      </c>
      <c r="F7" s="6">
        <v>2.2754110248512562E-2</v>
      </c>
      <c r="G7" s="6">
        <v>-0.10906483292406909</v>
      </c>
      <c r="H7" s="6">
        <v>9.3504274862719269E-3</v>
      </c>
      <c r="I7" s="6">
        <v>-4.8274131573499673E-3</v>
      </c>
      <c r="J7" s="6">
        <v>-5.4378602247413997E-2</v>
      </c>
      <c r="K7" s="6">
        <v>2.4999053854863642E-2</v>
      </c>
      <c r="L7" s="6">
        <v>-7.7917898215297723E-2</v>
      </c>
      <c r="M7" s="6">
        <v>-2.0520748188451794E-2</v>
      </c>
      <c r="N7" s="6">
        <v>-6.252035698133393E-2</v>
      </c>
      <c r="O7" s="6">
        <v>-5.9335617123882764E-3</v>
      </c>
      <c r="P7" s="6">
        <v>-2.6419349732731186E-2</v>
      </c>
      <c r="S7" s="6">
        <f t="shared" ref="S7:S70" si="1">C7-C$203</f>
        <v>4.5825711698164476E-2</v>
      </c>
      <c r="T7" s="6">
        <f t="shared" ref="T7:T70" si="2">D7-D$203</f>
        <v>-3.2769240259401644E-2</v>
      </c>
      <c r="U7" s="6">
        <f t="shared" ref="U7:U70" si="3">E7-E$203</f>
        <v>3.7923428032653562E-2</v>
      </c>
      <c r="V7" s="6">
        <f t="shared" ref="V7:V70" si="4">F7-F$203</f>
        <v>2.0044761913041456E-2</v>
      </c>
      <c r="W7" s="6">
        <f t="shared" ref="W7:W70" si="5">G7-G$203</f>
        <v>-0.10992161073667987</v>
      </c>
      <c r="X7" s="6">
        <f t="shared" ref="X7:X70" si="6">H7-H$203</f>
        <v>7.870787765042294E-3</v>
      </c>
      <c r="Y7" s="6">
        <f t="shared" ref="Y7:Y70" si="7">I7-I$203</f>
        <v>-8.6930004675458972E-3</v>
      </c>
      <c r="Z7" s="6">
        <f t="shared" ref="Z7:Z70" si="8">J7-J$203</f>
        <v>-4.6239720711583804E-2</v>
      </c>
      <c r="AA7" s="6">
        <f t="shared" ref="AA7:AA70" si="9">K7-K$203</f>
        <v>1.973036851233069E-2</v>
      </c>
      <c r="AB7" s="6">
        <f t="shared" ref="AB7:AB70" si="10">L7-L$203</f>
        <v>-8.0172021586538175E-2</v>
      </c>
      <c r="AC7" s="6">
        <f t="shared" ref="AC7:AC70" si="11">M7-M$203</f>
        <v>-2.4679501948297187E-2</v>
      </c>
      <c r="AD7" s="6">
        <f t="shared" ref="AD7:AD70" si="12">N7-N$203</f>
        <v>-7.4797708658775011E-2</v>
      </c>
      <c r="AE7" s="6">
        <f t="shared" ref="AE7:AE70" si="13">O7-O$203</f>
        <v>-2.8624950640620188E-3</v>
      </c>
      <c r="AF7" s="6">
        <f t="shared" ref="AF7:AF70" si="14">P7-P$203</f>
        <v>-2.2891648408285635E-2</v>
      </c>
    </row>
    <row r="8" spans="3:32" x14ac:dyDescent="0.3">
      <c r="C8" s="6">
        <v>1.2021620034401223E-2</v>
      </c>
      <c r="D8" s="6">
        <v>6.2785672310156804E-2</v>
      </c>
      <c r="E8" s="6">
        <v>-7.5545784234543013E-3</v>
      </c>
      <c r="F8" s="6">
        <v>7.1893298100488168E-2</v>
      </c>
      <c r="G8" s="6">
        <v>8.7020238427752639E-2</v>
      </c>
      <c r="H8" s="6">
        <v>9.0639551285646117E-2</v>
      </c>
      <c r="I8" s="6">
        <v>-0.24102647523950496</v>
      </c>
      <c r="J8" s="6">
        <v>0.24615100016531521</v>
      </c>
      <c r="K8" s="6">
        <v>4.8028646173499202E-2</v>
      </c>
      <c r="L8" s="6">
        <v>9.0702420573073969E-2</v>
      </c>
      <c r="M8" s="6">
        <v>5.0938218575134753E-2</v>
      </c>
      <c r="N8" s="6">
        <v>1.7934203871391798E-2</v>
      </c>
      <c r="O8" s="6">
        <v>4.8402788821500793E-2</v>
      </c>
      <c r="P8" s="6">
        <v>2.014519107188059E-3</v>
      </c>
      <c r="S8" s="6">
        <f t="shared" si="1"/>
        <v>1.0233602046591289E-2</v>
      </c>
      <c r="T8" s="6">
        <f t="shared" si="2"/>
        <v>5.2956195813712303E-2</v>
      </c>
      <c r="U8" s="6">
        <f t="shared" si="3"/>
        <v>-1.0113932569664029E-2</v>
      </c>
      <c r="V8" s="6">
        <f t="shared" si="4"/>
        <v>6.9183949765017058E-2</v>
      </c>
      <c r="W8" s="6">
        <f t="shared" si="5"/>
        <v>8.6163460615141851E-2</v>
      </c>
      <c r="X8" s="6">
        <f t="shared" si="6"/>
        <v>8.915991156441648E-2</v>
      </c>
      <c r="Y8" s="6">
        <f t="shared" si="7"/>
        <v>-0.24489206254970089</v>
      </c>
      <c r="Z8" s="6">
        <f t="shared" si="8"/>
        <v>0.25428988170114541</v>
      </c>
      <c r="AA8" s="6">
        <f t="shared" si="9"/>
        <v>4.2759960830966247E-2</v>
      </c>
      <c r="AB8" s="6">
        <f t="shared" si="10"/>
        <v>8.8448297201833517E-2</v>
      </c>
      <c r="AC8" s="6">
        <f t="shared" si="11"/>
        <v>4.6779464815289357E-2</v>
      </c>
      <c r="AD8" s="6">
        <f t="shared" si="12"/>
        <v>5.6568521939507205E-3</v>
      </c>
      <c r="AE8" s="6">
        <f t="shared" si="13"/>
        <v>5.1473855469827051E-2</v>
      </c>
      <c r="AF8" s="6">
        <f t="shared" si="14"/>
        <v>5.5422204316336113E-3</v>
      </c>
    </row>
    <row r="9" spans="3:32" x14ac:dyDescent="0.3">
      <c r="C9" s="6">
        <v>-2.1993086553889825E-2</v>
      </c>
      <c r="D9" s="6">
        <v>-1.5330733241042005E-2</v>
      </c>
      <c r="E9" s="6">
        <v>-3.6278063926890335E-2</v>
      </c>
      <c r="F9" s="6">
        <v>-6.4943376616677179E-2</v>
      </c>
      <c r="G9" s="6">
        <v>-7.1021022348914054E-2</v>
      </c>
      <c r="H9" s="6">
        <v>-2.7982400148786848E-2</v>
      </c>
      <c r="I9" s="6">
        <v>-7.685981887726713E-2</v>
      </c>
      <c r="J9" s="6">
        <v>1.4796188302095968E-2</v>
      </c>
      <c r="K9" s="6">
        <v>2.5901690310513169E-2</v>
      </c>
      <c r="L9" s="6">
        <v>4.6276063247088268E-4</v>
      </c>
      <c r="M9" s="6">
        <v>-4.8668714054917156E-2</v>
      </c>
      <c r="N9" s="6">
        <v>1.4576399241950389E-2</v>
      </c>
      <c r="O9" s="6">
        <v>3.2295861640734502E-2</v>
      </c>
      <c r="P9" s="6">
        <v>-2.0046931945290641E-2</v>
      </c>
      <c r="S9" s="6">
        <f t="shared" si="1"/>
        <v>-2.3781104541699759E-2</v>
      </c>
      <c r="T9" s="6">
        <f t="shared" si="2"/>
        <v>-2.5160209737486502E-2</v>
      </c>
      <c r="U9" s="6">
        <f t="shared" si="3"/>
        <v>-3.8837418073100059E-2</v>
      </c>
      <c r="V9" s="6">
        <f t="shared" si="4"/>
        <v>-6.7652724952148288E-2</v>
      </c>
      <c r="W9" s="6">
        <f t="shared" si="5"/>
        <v>-7.1877800161524841E-2</v>
      </c>
      <c r="X9" s="6">
        <f t="shared" si="6"/>
        <v>-2.9462039870016481E-2</v>
      </c>
      <c r="Y9" s="6">
        <f t="shared" si="7"/>
        <v>-8.0725406187463059E-2</v>
      </c>
      <c r="Z9" s="6">
        <f t="shared" si="8"/>
        <v>2.2935069837926165E-2</v>
      </c>
      <c r="AA9" s="6">
        <f t="shared" si="9"/>
        <v>2.0633004967980213E-2</v>
      </c>
      <c r="AB9" s="6">
        <f t="shared" si="10"/>
        <v>-1.7913627387695639E-3</v>
      </c>
      <c r="AC9" s="6">
        <f t="shared" si="11"/>
        <v>-5.2827467814762552E-2</v>
      </c>
      <c r="AD9" s="6">
        <f t="shared" si="12"/>
        <v>2.2990475645093111E-3</v>
      </c>
      <c r="AE9" s="6">
        <f t="shared" si="13"/>
        <v>3.536692828906076E-2</v>
      </c>
      <c r="AF9" s="6">
        <f t="shared" si="14"/>
        <v>-1.651923062084509E-2</v>
      </c>
    </row>
    <row r="10" spans="3:32" x14ac:dyDescent="0.3">
      <c r="C10" s="6">
        <v>-7.977657360219095E-3</v>
      </c>
      <c r="D10" s="6">
        <v>-1.3028131319026687E-2</v>
      </c>
      <c r="E10" s="6">
        <v>-2.4393545330627372E-2</v>
      </c>
      <c r="F10" s="6">
        <v>-2.9320522619281513E-2</v>
      </c>
      <c r="G10" s="6">
        <v>-3.5294359843344859E-3</v>
      </c>
      <c r="H10" s="6">
        <v>-4.5114333276594261E-3</v>
      </c>
      <c r="I10" s="6">
        <v>-6.292743066361689E-2</v>
      </c>
      <c r="J10" s="6">
        <v>-3.8198192297400832E-2</v>
      </c>
      <c r="K10" s="6">
        <v>-9.7716018837705962E-2</v>
      </c>
      <c r="L10" s="6">
        <v>-2.7993175034050601E-2</v>
      </c>
      <c r="M10" s="6">
        <v>-1.7436485774837533E-2</v>
      </c>
      <c r="N10" s="6">
        <v>-0.17518788458993645</v>
      </c>
      <c r="O10" s="6">
        <v>-0.37690290436082902</v>
      </c>
      <c r="P10" s="6">
        <v>-0.10658849484203209</v>
      </c>
      <c r="S10" s="6">
        <f t="shared" si="1"/>
        <v>-9.7656753480290289E-3</v>
      </c>
      <c r="T10" s="6">
        <f t="shared" si="2"/>
        <v>-2.2857607815471186E-2</v>
      </c>
      <c r="U10" s="6">
        <f t="shared" si="3"/>
        <v>-2.69528994768371E-2</v>
      </c>
      <c r="V10" s="6">
        <f t="shared" si="4"/>
        <v>-3.2029870954752619E-2</v>
      </c>
      <c r="W10" s="6">
        <f t="shared" si="5"/>
        <v>-4.3862137969452753E-3</v>
      </c>
      <c r="X10" s="6">
        <f t="shared" si="6"/>
        <v>-5.9910730488890581E-3</v>
      </c>
      <c r="Y10" s="6">
        <f t="shared" si="7"/>
        <v>-6.6793017973812818E-2</v>
      </c>
      <c r="Z10" s="6">
        <f t="shared" si="8"/>
        <v>-3.0059310761570635E-2</v>
      </c>
      <c r="AA10" s="6">
        <f t="shared" si="9"/>
        <v>-0.10298470418023892</v>
      </c>
      <c r="AB10" s="6">
        <f t="shared" si="10"/>
        <v>-3.024729840529105E-2</v>
      </c>
      <c r="AC10" s="6">
        <f t="shared" si="11"/>
        <v>-2.1595239534682925E-2</v>
      </c>
      <c r="AD10" s="6">
        <f t="shared" si="12"/>
        <v>-0.18746523626737752</v>
      </c>
      <c r="AE10" s="6">
        <f t="shared" si="13"/>
        <v>-0.37383183771250278</v>
      </c>
      <c r="AF10" s="6">
        <f t="shared" si="14"/>
        <v>-0.10306079351758654</v>
      </c>
    </row>
    <row r="11" spans="3:32" x14ac:dyDescent="0.3">
      <c r="C11" s="6">
        <v>-1.4752638475038295E-2</v>
      </c>
      <c r="D11" s="6">
        <v>2.1758180528716777E-2</v>
      </c>
      <c r="E11" s="6">
        <v>3.2057970458624678E-2</v>
      </c>
      <c r="F11" s="6">
        <v>3.0660107548338148E-2</v>
      </c>
      <c r="G11" s="6">
        <v>-5.6528492559276861E-2</v>
      </c>
      <c r="H11" s="6">
        <v>7.7679166014755011E-3</v>
      </c>
      <c r="I11" s="6">
        <v>2.0738070387927736E-2</v>
      </c>
      <c r="J11" s="6">
        <v>2.9551139435654749E-2</v>
      </c>
      <c r="K11" s="6">
        <v>9.7110974953567741E-2</v>
      </c>
      <c r="L11" s="6">
        <v>-6.7404398708788962E-2</v>
      </c>
      <c r="M11" s="6">
        <v>8.6133176781149293E-3</v>
      </c>
      <c r="N11" s="6">
        <v>4.0023127416511046E-2</v>
      </c>
      <c r="O11" s="6">
        <v>0.216255218136501</v>
      </c>
      <c r="P11" s="6">
        <v>-1.3001610134162626E-2</v>
      </c>
      <c r="S11" s="6">
        <f t="shared" si="1"/>
        <v>-1.6540656462848229E-2</v>
      </c>
      <c r="T11" s="6">
        <f t="shared" si="2"/>
        <v>1.192870403227228E-2</v>
      </c>
      <c r="U11" s="6">
        <f t="shared" si="3"/>
        <v>2.949861631241495E-2</v>
      </c>
      <c r="V11" s="6">
        <f t="shared" si="4"/>
        <v>2.7950759212867042E-2</v>
      </c>
      <c r="W11" s="6">
        <f t="shared" si="5"/>
        <v>-5.7385270371887648E-2</v>
      </c>
      <c r="X11" s="6">
        <f t="shared" si="6"/>
        <v>6.288276880245869E-3</v>
      </c>
      <c r="Y11" s="6">
        <f t="shared" si="7"/>
        <v>1.6872483077731808E-2</v>
      </c>
      <c r="Z11" s="6">
        <f t="shared" si="8"/>
        <v>3.7690020971484946E-2</v>
      </c>
      <c r="AA11" s="6">
        <f t="shared" si="9"/>
        <v>9.1842289611034786E-2</v>
      </c>
      <c r="AB11" s="6">
        <f t="shared" si="10"/>
        <v>-6.9658522080029414E-2</v>
      </c>
      <c r="AC11" s="6">
        <f t="shared" si="11"/>
        <v>4.4545639182695359E-3</v>
      </c>
      <c r="AD11" s="6">
        <f t="shared" si="12"/>
        <v>2.7745775739069969E-2</v>
      </c>
      <c r="AE11" s="6">
        <f t="shared" si="13"/>
        <v>0.21932628478482727</v>
      </c>
      <c r="AF11" s="6">
        <f t="shared" si="14"/>
        <v>-9.4739088097170743E-3</v>
      </c>
    </row>
    <row r="12" spans="3:32" x14ac:dyDescent="0.3">
      <c r="C12" s="6">
        <v>-1.0243367414760989E-2</v>
      </c>
      <c r="D12" s="6">
        <v>-5.1816261365389575E-2</v>
      </c>
      <c r="E12" s="6">
        <v>-2.5377317701856122E-2</v>
      </c>
      <c r="F12" s="6">
        <v>-1.9146885180062238E-2</v>
      </c>
      <c r="G12" s="6">
        <v>3.4478014125612584E-2</v>
      </c>
      <c r="H12" s="6">
        <v>-5.4450212144599469E-2</v>
      </c>
      <c r="I12" s="6">
        <v>-5.0773315175002567E-2</v>
      </c>
      <c r="J12" s="6">
        <v>-0.16816930050329112</v>
      </c>
      <c r="K12" s="6">
        <v>-1.5078726850447048E-2</v>
      </c>
      <c r="L12" s="6">
        <v>-6.4708190000914129E-2</v>
      </c>
      <c r="M12" s="6">
        <v>-0.1592618710637988</v>
      </c>
      <c r="N12" s="6">
        <v>-4.548264962140984E-2</v>
      </c>
      <c r="O12" s="6">
        <v>-0.13893855821995357</v>
      </c>
      <c r="P12" s="6">
        <v>-0.14007319412846256</v>
      </c>
      <c r="S12" s="6">
        <f t="shared" si="1"/>
        <v>-1.2031385402570923E-2</v>
      </c>
      <c r="T12" s="6">
        <f t="shared" si="2"/>
        <v>-6.1645737861834068E-2</v>
      </c>
      <c r="U12" s="6">
        <f t="shared" si="3"/>
        <v>-2.793667184806585E-2</v>
      </c>
      <c r="V12" s="6">
        <f t="shared" si="4"/>
        <v>-2.1856233515533344E-2</v>
      </c>
      <c r="W12" s="6">
        <f t="shared" si="5"/>
        <v>3.3621236313001797E-2</v>
      </c>
      <c r="X12" s="6">
        <f t="shared" si="6"/>
        <v>-5.5929851865829099E-2</v>
      </c>
      <c r="Y12" s="6">
        <f t="shared" si="7"/>
        <v>-5.4638902485198496E-2</v>
      </c>
      <c r="Z12" s="6">
        <f t="shared" si="8"/>
        <v>-0.16003041896746092</v>
      </c>
      <c r="AA12" s="6">
        <f t="shared" si="9"/>
        <v>-2.0347412192980002E-2</v>
      </c>
      <c r="AB12" s="6">
        <f t="shared" si="10"/>
        <v>-6.696231337215458E-2</v>
      </c>
      <c r="AC12" s="6">
        <f t="shared" si="11"/>
        <v>-0.16342062482364419</v>
      </c>
      <c r="AD12" s="6">
        <f t="shared" si="12"/>
        <v>-5.7760001298850921E-2</v>
      </c>
      <c r="AE12" s="6">
        <f t="shared" si="13"/>
        <v>-0.13586749157162731</v>
      </c>
      <c r="AF12" s="6">
        <f t="shared" si="14"/>
        <v>-0.13654549280401701</v>
      </c>
    </row>
    <row r="13" spans="3:32" x14ac:dyDescent="0.3">
      <c r="C13" s="6">
        <v>-5.311093960139774E-2</v>
      </c>
      <c r="D13" s="6">
        <v>-3.7304503177517455E-2</v>
      </c>
      <c r="E13" s="6">
        <v>-3.435847586991346E-2</v>
      </c>
      <c r="F13" s="6">
        <v>-1.5585921738829495E-2</v>
      </c>
      <c r="G13" s="6">
        <v>-5.2569260322565543E-2</v>
      </c>
      <c r="H13" s="6">
        <v>-8.2428909736568308E-4</v>
      </c>
      <c r="I13" s="6">
        <v>-6.4251981501514982E-2</v>
      </c>
      <c r="J13" s="6">
        <v>-9.6368460952304266E-2</v>
      </c>
      <c r="K13" s="6">
        <v>6.2308756715451559E-2</v>
      </c>
      <c r="L13" s="6">
        <v>-3.4869409507365771E-2</v>
      </c>
      <c r="M13" s="6">
        <v>3.0700546110786216E-2</v>
      </c>
      <c r="N13" s="6">
        <v>3.8483495939221263E-2</v>
      </c>
      <c r="O13" s="6">
        <v>-0.15696671245848182</v>
      </c>
      <c r="P13" s="6">
        <v>-0.10460605256523982</v>
      </c>
      <c r="S13" s="6">
        <f t="shared" si="1"/>
        <v>-5.4898957589207674E-2</v>
      </c>
      <c r="T13" s="6">
        <f t="shared" si="2"/>
        <v>-4.7133979673961948E-2</v>
      </c>
      <c r="U13" s="6">
        <f t="shared" si="3"/>
        <v>-3.6917830016123185E-2</v>
      </c>
      <c r="V13" s="6">
        <f t="shared" si="4"/>
        <v>-1.8295270074300603E-2</v>
      </c>
      <c r="W13" s="6">
        <f t="shared" si="5"/>
        <v>-5.3426038135176331E-2</v>
      </c>
      <c r="X13" s="6">
        <f t="shared" si="6"/>
        <v>-2.303928818595315E-3</v>
      </c>
      <c r="Y13" s="6">
        <f t="shared" si="7"/>
        <v>-6.811756881171091E-2</v>
      </c>
      <c r="Z13" s="6">
        <f t="shared" si="8"/>
        <v>-8.8229579416474066E-2</v>
      </c>
      <c r="AA13" s="6">
        <f t="shared" si="9"/>
        <v>5.7040071372918603E-2</v>
      </c>
      <c r="AB13" s="6">
        <f t="shared" si="10"/>
        <v>-3.7123532878606216E-2</v>
      </c>
      <c r="AC13" s="6">
        <f t="shared" si="11"/>
        <v>2.6541792350940823E-2</v>
      </c>
      <c r="AD13" s="6">
        <f t="shared" si="12"/>
        <v>2.6206144261780185E-2</v>
      </c>
      <c r="AE13" s="6">
        <f t="shared" si="13"/>
        <v>-0.15389564581015555</v>
      </c>
      <c r="AF13" s="6">
        <f t="shared" si="14"/>
        <v>-0.10107835124079427</v>
      </c>
    </row>
    <row r="14" spans="3:32" x14ac:dyDescent="0.3">
      <c r="C14" s="6">
        <v>5.8062806666450389E-2</v>
      </c>
      <c r="D14" s="6">
        <v>0.17967854978060122</v>
      </c>
      <c r="E14" s="6">
        <v>7.017520982336925E-2</v>
      </c>
      <c r="F14" s="6">
        <v>4.7076361402382846E-2</v>
      </c>
      <c r="G14" s="6">
        <v>0.12958199265549572</v>
      </c>
      <c r="H14" s="6">
        <v>0.10264242146601493</v>
      </c>
      <c r="I14" s="6">
        <v>0.14317901694381946</v>
      </c>
      <c r="J14" s="6">
        <v>0.18065627747489346</v>
      </c>
      <c r="K14" s="6">
        <v>8.7964353364115927E-2</v>
      </c>
      <c r="L14" s="6">
        <v>0.14981282146910563</v>
      </c>
      <c r="M14" s="6">
        <v>8.1142432853102797E-2</v>
      </c>
      <c r="N14" s="6">
        <v>0.11827067403343312</v>
      </c>
      <c r="O14" s="6">
        <v>0.18416546640366083</v>
      </c>
      <c r="P14" s="6">
        <v>0.16980985630038659</v>
      </c>
      <c r="S14" s="6">
        <f t="shared" si="1"/>
        <v>5.6274788678640456E-2</v>
      </c>
      <c r="T14" s="6">
        <f t="shared" si="2"/>
        <v>0.16984907328415672</v>
      </c>
      <c r="U14" s="6">
        <f t="shared" si="3"/>
        <v>6.7615855677159525E-2</v>
      </c>
      <c r="V14" s="6">
        <f t="shared" si="4"/>
        <v>4.4367013066911737E-2</v>
      </c>
      <c r="W14" s="6">
        <f t="shared" si="5"/>
        <v>0.12872521484288493</v>
      </c>
      <c r="X14" s="6">
        <f t="shared" si="6"/>
        <v>0.1011627817447853</v>
      </c>
      <c r="Y14" s="6">
        <f t="shared" si="7"/>
        <v>0.13931342963362353</v>
      </c>
      <c r="Z14" s="6">
        <f t="shared" si="8"/>
        <v>0.18879515901072366</v>
      </c>
      <c r="AA14" s="6">
        <f t="shared" si="9"/>
        <v>8.2695668021582971E-2</v>
      </c>
      <c r="AB14" s="6">
        <f t="shared" si="10"/>
        <v>0.14755869809786518</v>
      </c>
      <c r="AC14" s="6">
        <f t="shared" si="11"/>
        <v>7.6983679093257401E-2</v>
      </c>
      <c r="AD14" s="6">
        <f t="shared" si="12"/>
        <v>0.10599332235599204</v>
      </c>
      <c r="AE14" s="6">
        <f t="shared" si="13"/>
        <v>0.18723653305198709</v>
      </c>
      <c r="AF14" s="6">
        <f t="shared" si="14"/>
        <v>0.17333755762483213</v>
      </c>
    </row>
    <row r="15" spans="3:32" x14ac:dyDescent="0.3">
      <c r="C15" s="6">
        <v>6.3440223388508729E-2</v>
      </c>
      <c r="D15" s="6">
        <v>4.5815178878562138E-2</v>
      </c>
      <c r="E15" s="6">
        <v>1.075973367373702E-2</v>
      </c>
      <c r="F15" s="6">
        <v>3.9890097866877756E-2</v>
      </c>
      <c r="G15" s="6">
        <v>0.10996223751992373</v>
      </c>
      <c r="H15" s="6">
        <v>2.1594606393458275E-2</v>
      </c>
      <c r="I15" s="6">
        <v>2.4321885177256412E-2</v>
      </c>
      <c r="J15" s="6">
        <v>-1.6807118316381289E-2</v>
      </c>
      <c r="K15" s="6">
        <v>6.4625631637295081E-2</v>
      </c>
      <c r="L15" s="6">
        <v>4.1325699495325836E-3</v>
      </c>
      <c r="M15" s="6">
        <v>2.0766097743996303E-2</v>
      </c>
      <c r="N15" s="6">
        <v>1.1632546835828496E-2</v>
      </c>
      <c r="O15" s="6">
        <v>-8.8496152769824993E-3</v>
      </c>
      <c r="P15" s="6">
        <v>-2.0416850980650773E-2</v>
      </c>
      <c r="S15" s="6">
        <f t="shared" si="1"/>
        <v>6.1652205400698795E-2</v>
      </c>
      <c r="T15" s="6">
        <f t="shared" si="2"/>
        <v>3.5985702382117637E-2</v>
      </c>
      <c r="U15" s="6">
        <f t="shared" si="3"/>
        <v>8.2003795275272934E-3</v>
      </c>
      <c r="V15" s="6">
        <f t="shared" si="4"/>
        <v>3.7180749531406647E-2</v>
      </c>
      <c r="W15" s="6">
        <f t="shared" si="5"/>
        <v>0.10910545970731295</v>
      </c>
      <c r="X15" s="6">
        <f t="shared" si="6"/>
        <v>2.0114966672228642E-2</v>
      </c>
      <c r="Y15" s="6">
        <f t="shared" si="7"/>
        <v>2.0456297867060484E-2</v>
      </c>
      <c r="Z15" s="6">
        <f t="shared" si="8"/>
        <v>-8.6682367805510918E-3</v>
      </c>
      <c r="AA15" s="6">
        <f t="shared" si="9"/>
        <v>5.9356946294762125E-2</v>
      </c>
      <c r="AB15" s="6">
        <f t="shared" si="10"/>
        <v>1.878446578292137E-3</v>
      </c>
      <c r="AC15" s="6">
        <f t="shared" si="11"/>
        <v>1.660734398415091E-2</v>
      </c>
      <c r="AD15" s="6">
        <f t="shared" si="12"/>
        <v>-6.4480484161258227E-4</v>
      </c>
      <c r="AE15" s="6">
        <f t="shared" si="13"/>
        <v>-5.7785486286562413E-3</v>
      </c>
      <c r="AF15" s="6">
        <f t="shared" si="14"/>
        <v>-1.6889149656205221E-2</v>
      </c>
    </row>
    <row r="16" spans="3:32" x14ac:dyDescent="0.3">
      <c r="C16" s="6">
        <v>-2.3493693297660751E-3</v>
      </c>
      <c r="D16" s="6">
        <v>-3.6033310061000953E-2</v>
      </c>
      <c r="E16" s="6">
        <v>1.8725061869359596E-2</v>
      </c>
      <c r="F16" s="6">
        <v>-1.078713178046219E-2</v>
      </c>
      <c r="G16" s="6">
        <v>7.0618241853737801E-2</v>
      </c>
      <c r="H16" s="6">
        <v>-7.3706665728985659E-3</v>
      </c>
      <c r="I16" s="6">
        <v>1.3567271040120945E-2</v>
      </c>
      <c r="J16" s="6">
        <v>5.4691468849293705E-2</v>
      </c>
      <c r="K16" s="6">
        <v>2.6235386429847265E-2</v>
      </c>
      <c r="L16" s="6">
        <v>1.3380792533581347E-3</v>
      </c>
      <c r="M16" s="6">
        <v>5.4839553287844588E-2</v>
      </c>
      <c r="N16" s="6">
        <v>6.4201147348314239E-2</v>
      </c>
      <c r="O16" s="6">
        <v>1.4520330524953039E-2</v>
      </c>
      <c r="P16" s="6">
        <v>3.5269876918998272E-2</v>
      </c>
      <c r="S16" s="6">
        <f t="shared" si="1"/>
        <v>-4.1373873175760091E-3</v>
      </c>
      <c r="T16" s="6">
        <f t="shared" si="2"/>
        <v>-4.5862786557445454E-2</v>
      </c>
      <c r="U16" s="6">
        <f t="shared" si="3"/>
        <v>1.6165707723149868E-2</v>
      </c>
      <c r="V16" s="6">
        <f t="shared" si="4"/>
        <v>-1.3496480115933296E-2</v>
      </c>
      <c r="W16" s="6">
        <f t="shared" si="5"/>
        <v>6.9761464041127014E-2</v>
      </c>
      <c r="X16" s="6">
        <f t="shared" si="6"/>
        <v>-8.850306294128198E-3</v>
      </c>
      <c r="Y16" s="6">
        <f t="shared" si="7"/>
        <v>9.7016837299250154E-3</v>
      </c>
      <c r="Z16" s="6">
        <f t="shared" si="8"/>
        <v>6.2830350385123898E-2</v>
      </c>
      <c r="AA16" s="6">
        <f t="shared" si="9"/>
        <v>2.0966701087314313E-2</v>
      </c>
      <c r="AB16" s="6">
        <f t="shared" si="10"/>
        <v>-9.1604411788231196E-4</v>
      </c>
      <c r="AC16" s="6">
        <f t="shared" si="11"/>
        <v>5.0680799527999192E-2</v>
      </c>
      <c r="AD16" s="6">
        <f t="shared" si="12"/>
        <v>5.1923795670873157E-2</v>
      </c>
      <c r="AE16" s="6">
        <f t="shared" si="13"/>
        <v>1.7591397173279295E-2</v>
      </c>
      <c r="AF16" s="6">
        <f t="shared" si="14"/>
        <v>3.8797578243443827E-2</v>
      </c>
    </row>
    <row r="17" spans="3:32" x14ac:dyDescent="0.3">
      <c r="C17" s="6">
        <v>-2.4507614500773701E-2</v>
      </c>
      <c r="D17" s="6">
        <v>-0.14433998331769271</v>
      </c>
      <c r="E17" s="6">
        <v>-4.1068453691096789E-2</v>
      </c>
      <c r="F17" s="6">
        <v>-5.0186071994870581E-2</v>
      </c>
      <c r="G17" s="6">
        <v>-5.6031488251438596E-2</v>
      </c>
      <c r="H17" s="6">
        <v>-5.7244732355323659E-2</v>
      </c>
      <c r="I17" s="6">
        <v>-1.1270748585339175E-2</v>
      </c>
      <c r="J17" s="6">
        <v>-4.7093289618222123E-2</v>
      </c>
      <c r="K17" s="6">
        <v>-4.3229615846854044E-2</v>
      </c>
      <c r="L17" s="6">
        <v>-0.14986306551261575</v>
      </c>
      <c r="M17" s="6">
        <v>-0.11566604515570807</v>
      </c>
      <c r="N17" s="6">
        <v>-8.5238152212121318E-2</v>
      </c>
      <c r="O17" s="6">
        <v>-9.0115032800027833E-2</v>
      </c>
      <c r="P17" s="6">
        <v>-6.2225207272701283E-2</v>
      </c>
      <c r="S17" s="6">
        <f t="shared" si="1"/>
        <v>-2.6295632488583635E-2</v>
      </c>
      <c r="T17" s="6">
        <f t="shared" si="2"/>
        <v>-0.15416945981413721</v>
      </c>
      <c r="U17" s="6">
        <f t="shared" si="3"/>
        <v>-4.3627807837306513E-2</v>
      </c>
      <c r="V17" s="6">
        <f t="shared" si="4"/>
        <v>-5.289542033034169E-2</v>
      </c>
      <c r="W17" s="6">
        <f t="shared" si="5"/>
        <v>-5.6888266064049384E-2</v>
      </c>
      <c r="X17" s="6">
        <f t="shared" si="6"/>
        <v>-5.8724372076553288E-2</v>
      </c>
      <c r="Y17" s="6">
        <f t="shared" si="7"/>
        <v>-1.5136335895535105E-2</v>
      </c>
      <c r="Z17" s="6">
        <f t="shared" si="8"/>
        <v>-3.8954408082391923E-2</v>
      </c>
      <c r="AA17" s="6">
        <f t="shared" si="9"/>
        <v>-4.8498301189387E-2</v>
      </c>
      <c r="AB17" s="6">
        <f t="shared" si="10"/>
        <v>-0.1521171888838562</v>
      </c>
      <c r="AC17" s="6">
        <f t="shared" si="11"/>
        <v>-0.11982479891555346</v>
      </c>
      <c r="AD17" s="6">
        <f t="shared" si="12"/>
        <v>-9.7515503889562399E-2</v>
      </c>
      <c r="AE17" s="6">
        <f t="shared" si="13"/>
        <v>-8.7043966151701582E-2</v>
      </c>
      <c r="AF17" s="6">
        <f t="shared" si="14"/>
        <v>-5.8697505948255728E-2</v>
      </c>
    </row>
    <row r="18" spans="3:32" x14ac:dyDescent="0.3">
      <c r="C18" s="6">
        <v>-2.8626201796738353E-2</v>
      </c>
      <c r="D18" s="6">
        <v>-8.3870670890374796E-2</v>
      </c>
      <c r="E18" s="6">
        <v>-5.9448847673579767E-2</v>
      </c>
      <c r="F18" s="6">
        <v>-5.0468366521953939E-2</v>
      </c>
      <c r="G18" s="6">
        <v>-4.0294337287791124E-2</v>
      </c>
      <c r="H18" s="6">
        <v>-1.7964359381116433E-2</v>
      </c>
      <c r="I18" s="6">
        <v>-5.6198458193926819E-2</v>
      </c>
      <c r="J18" s="6">
        <v>-7.2061373638917015E-2</v>
      </c>
      <c r="K18" s="6">
        <v>7.5063344559852987E-2</v>
      </c>
      <c r="L18" s="6">
        <v>-8.8628192216535118E-2</v>
      </c>
      <c r="M18" s="6">
        <v>1.9466086625123183E-2</v>
      </c>
      <c r="N18" s="6">
        <v>-2.2293916959212796E-2</v>
      </c>
      <c r="O18" s="6">
        <v>-2.9900502587615466E-2</v>
      </c>
      <c r="P18" s="6">
        <v>-5.3343103750311E-3</v>
      </c>
      <c r="S18" s="6">
        <f t="shared" si="1"/>
        <v>-3.0414219784548287E-2</v>
      </c>
      <c r="T18" s="6">
        <f t="shared" si="2"/>
        <v>-9.3700147386819296E-2</v>
      </c>
      <c r="U18" s="6">
        <f t="shared" si="3"/>
        <v>-6.2008201819789492E-2</v>
      </c>
      <c r="V18" s="6">
        <f t="shared" si="4"/>
        <v>-5.3177714857425049E-2</v>
      </c>
      <c r="W18" s="6">
        <f t="shared" si="5"/>
        <v>-4.1151115100401911E-2</v>
      </c>
      <c r="X18" s="6">
        <f t="shared" si="6"/>
        <v>-1.9443999102346066E-2</v>
      </c>
      <c r="Y18" s="6">
        <f t="shared" si="7"/>
        <v>-6.0064045504122747E-2</v>
      </c>
      <c r="Z18" s="6">
        <f t="shared" si="8"/>
        <v>-6.3922492103086814E-2</v>
      </c>
      <c r="AA18" s="6">
        <f t="shared" si="9"/>
        <v>6.9794659217320032E-2</v>
      </c>
      <c r="AB18" s="6">
        <f t="shared" si="10"/>
        <v>-9.088231558777557E-2</v>
      </c>
      <c r="AC18" s="6">
        <f t="shared" si="11"/>
        <v>1.530733286527779E-2</v>
      </c>
      <c r="AD18" s="6">
        <f t="shared" si="12"/>
        <v>-3.4571268636653871E-2</v>
      </c>
      <c r="AE18" s="6">
        <f t="shared" si="13"/>
        <v>-2.6829435939289208E-2</v>
      </c>
      <c r="AF18" s="6">
        <f t="shared" si="14"/>
        <v>-1.8066090505855482E-3</v>
      </c>
    </row>
    <row r="19" spans="3:32" x14ac:dyDescent="0.3">
      <c r="C19" s="6">
        <v>-2.1402308912016679E-2</v>
      </c>
      <c r="D19" s="6">
        <v>-8.5900218278781998E-2</v>
      </c>
      <c r="E19" s="6">
        <v>-2.0944686480569668E-2</v>
      </c>
      <c r="F19" s="6">
        <v>-5.7571605332225585E-2</v>
      </c>
      <c r="G19" s="6">
        <v>2.0171031367360034E-2</v>
      </c>
      <c r="H19" s="6">
        <v>-4.9729897651057349E-2</v>
      </c>
      <c r="I19" s="6">
        <v>-0.1324309013683351</v>
      </c>
      <c r="J19" s="6">
        <v>-0.10908341576699199</v>
      </c>
      <c r="K19" s="6">
        <v>-0.13449144130831797</v>
      </c>
      <c r="L19" s="6">
        <v>-0.11324450119358179</v>
      </c>
      <c r="M19" s="6">
        <v>-5.8275028093743235E-2</v>
      </c>
      <c r="N19" s="6">
        <v>-3.7740327982846968E-2</v>
      </c>
      <c r="O19" s="6">
        <v>-0.13712981320405596</v>
      </c>
      <c r="P19" s="6">
        <v>-9.6425841357617517E-2</v>
      </c>
      <c r="S19" s="6">
        <f t="shared" si="1"/>
        <v>-2.3190326899826613E-2</v>
      </c>
      <c r="T19" s="6">
        <f t="shared" si="2"/>
        <v>-9.5729694775226498E-2</v>
      </c>
      <c r="U19" s="6">
        <f t="shared" si="3"/>
        <v>-2.3504040626779396E-2</v>
      </c>
      <c r="V19" s="6">
        <f t="shared" si="4"/>
        <v>-6.0280953667696695E-2</v>
      </c>
      <c r="W19" s="6">
        <f t="shared" si="5"/>
        <v>1.9314253554749243E-2</v>
      </c>
      <c r="X19" s="6">
        <f t="shared" si="6"/>
        <v>-5.1209537372286978E-2</v>
      </c>
      <c r="Y19" s="6">
        <f t="shared" si="7"/>
        <v>-0.13629648867853103</v>
      </c>
      <c r="Z19" s="6">
        <f t="shared" si="8"/>
        <v>-0.10094453423116179</v>
      </c>
      <c r="AA19" s="6">
        <f t="shared" si="9"/>
        <v>-0.13976012665085091</v>
      </c>
      <c r="AB19" s="6">
        <f t="shared" si="10"/>
        <v>-0.11549862456482224</v>
      </c>
      <c r="AC19" s="6">
        <f t="shared" si="11"/>
        <v>-6.2433781853588631E-2</v>
      </c>
      <c r="AD19" s="6">
        <f t="shared" si="12"/>
        <v>-5.0017679660288042E-2</v>
      </c>
      <c r="AE19" s="6">
        <f t="shared" si="13"/>
        <v>-0.13405874655572969</v>
      </c>
      <c r="AF19" s="6">
        <f t="shared" si="14"/>
        <v>-9.2898140033171969E-2</v>
      </c>
    </row>
    <row r="20" spans="3:32" x14ac:dyDescent="0.3">
      <c r="C20" s="6">
        <v>-2.5921812026175411E-2</v>
      </c>
      <c r="D20" s="6">
        <v>-5.0457365581575785E-2</v>
      </c>
      <c r="E20" s="6">
        <v>1.2655413215817894E-2</v>
      </c>
      <c r="F20" s="6">
        <v>-4.7324338315158962E-2</v>
      </c>
      <c r="G20" s="6">
        <v>-0.14344761095753961</v>
      </c>
      <c r="H20" s="6">
        <v>-0.14970382158409734</v>
      </c>
      <c r="I20" s="6">
        <v>8.5131204547269426E-2</v>
      </c>
      <c r="J20" s="6">
        <v>-4.4665617303184822E-2</v>
      </c>
      <c r="K20" s="6">
        <v>-3.3931738380452749E-2</v>
      </c>
      <c r="L20" s="6">
        <v>-0.15434078305388266</v>
      </c>
      <c r="M20" s="6">
        <v>2.0864181651143482E-2</v>
      </c>
      <c r="N20" s="6">
        <v>-0.13976194237515874</v>
      </c>
      <c r="O20" s="6">
        <v>-4.4114737562260635E-2</v>
      </c>
      <c r="P20" s="6">
        <v>-6.0078282236800153E-3</v>
      </c>
      <c r="S20" s="6">
        <f t="shared" si="1"/>
        <v>-2.7709830013985345E-2</v>
      </c>
      <c r="T20" s="6">
        <f t="shared" si="2"/>
        <v>-6.0286842078020278E-2</v>
      </c>
      <c r="U20" s="6">
        <f t="shared" si="3"/>
        <v>1.0096059069608167E-2</v>
      </c>
      <c r="V20" s="6">
        <f t="shared" si="4"/>
        <v>-5.0033686650630071E-2</v>
      </c>
      <c r="W20" s="6">
        <f t="shared" si="5"/>
        <v>-0.14430438877015039</v>
      </c>
      <c r="X20" s="6">
        <f t="shared" si="6"/>
        <v>-0.15118346130532698</v>
      </c>
      <c r="Y20" s="6">
        <f t="shared" si="7"/>
        <v>8.1265617237073498E-2</v>
      </c>
      <c r="Z20" s="6">
        <f t="shared" si="8"/>
        <v>-3.6526735767354629E-2</v>
      </c>
      <c r="AA20" s="6">
        <f t="shared" si="9"/>
        <v>-3.9200423722985704E-2</v>
      </c>
      <c r="AB20" s="6">
        <f t="shared" si="10"/>
        <v>-0.15659490642512311</v>
      </c>
      <c r="AC20" s="6">
        <f t="shared" si="11"/>
        <v>1.6705427891298089E-2</v>
      </c>
      <c r="AD20" s="6">
        <f t="shared" si="12"/>
        <v>-0.1520392940525998</v>
      </c>
      <c r="AE20" s="6">
        <f t="shared" si="13"/>
        <v>-4.1043670913934377E-2</v>
      </c>
      <c r="AF20" s="6">
        <f t="shared" si="14"/>
        <v>-2.4801268992344634E-3</v>
      </c>
    </row>
    <row r="21" spans="3:32" x14ac:dyDescent="0.3">
      <c r="C21" s="6">
        <v>-2.3497295922134055E-3</v>
      </c>
      <c r="D21" s="6">
        <v>6.448168500187256E-3</v>
      </c>
      <c r="E21" s="6">
        <v>-1.0104205475924647E-2</v>
      </c>
      <c r="F21" s="6">
        <v>1.4269797519755207E-2</v>
      </c>
      <c r="G21" s="6">
        <v>-5.8742394210253906E-3</v>
      </c>
      <c r="H21" s="6">
        <v>-7.9606958832269703E-2</v>
      </c>
      <c r="I21" s="6">
        <v>1.6327297196460481E-2</v>
      </c>
      <c r="J21" s="6">
        <v>-0.13282889874245388</v>
      </c>
      <c r="K21" s="6">
        <v>-0.18730477148803115</v>
      </c>
      <c r="L21" s="6">
        <v>-8.2930379330733078E-2</v>
      </c>
      <c r="M21" s="6">
        <v>-0.18856719560379206</v>
      </c>
      <c r="N21" s="6">
        <v>-9.2621489880396562E-2</v>
      </c>
      <c r="O21" s="6">
        <v>4.1433217803646769E-2</v>
      </c>
      <c r="P21" s="6">
        <v>-3.2562203187806185E-2</v>
      </c>
      <c r="S21" s="6">
        <f t="shared" si="1"/>
        <v>-4.137747580023339E-3</v>
      </c>
      <c r="T21" s="6">
        <f t="shared" si="2"/>
        <v>-3.3813079962572408E-3</v>
      </c>
      <c r="U21" s="6">
        <f t="shared" si="3"/>
        <v>-1.2663559622134373E-2</v>
      </c>
      <c r="V21" s="6">
        <f t="shared" si="4"/>
        <v>1.1560449184284101E-2</v>
      </c>
      <c r="W21" s="6">
        <f t="shared" si="5"/>
        <v>-6.7310172336361804E-3</v>
      </c>
      <c r="X21" s="6">
        <f t="shared" si="6"/>
        <v>-8.1086598553499339E-2</v>
      </c>
      <c r="Y21" s="6">
        <f t="shared" si="7"/>
        <v>1.2461709886264551E-2</v>
      </c>
      <c r="Z21" s="6">
        <f t="shared" si="8"/>
        <v>-0.12469001720662368</v>
      </c>
      <c r="AA21" s="6">
        <f t="shared" si="9"/>
        <v>-0.19257345683056409</v>
      </c>
      <c r="AB21" s="6">
        <f t="shared" si="10"/>
        <v>-8.518450270197353E-2</v>
      </c>
      <c r="AC21" s="6">
        <f t="shared" si="11"/>
        <v>-0.19272594936363746</v>
      </c>
      <c r="AD21" s="6">
        <f t="shared" si="12"/>
        <v>-0.10489884155783764</v>
      </c>
      <c r="AE21" s="6">
        <f t="shared" si="13"/>
        <v>4.4504284451973027E-2</v>
      </c>
      <c r="AF21" s="6">
        <f t="shared" si="14"/>
        <v>-2.9034501863360634E-2</v>
      </c>
    </row>
    <row r="22" spans="3:32" x14ac:dyDescent="0.3">
      <c r="C22" s="6">
        <v>-6.6847050136735878E-2</v>
      </c>
      <c r="D22" s="6">
        <v>-5.2788505758889132E-2</v>
      </c>
      <c r="E22" s="6">
        <v>-5.0808725409827261E-2</v>
      </c>
      <c r="F22" s="6">
        <v>2.5884397541026064E-3</v>
      </c>
      <c r="G22" s="6">
        <v>-0.11762276432100194</v>
      </c>
      <c r="H22" s="6">
        <v>-1.5011474445432171E-2</v>
      </c>
      <c r="I22" s="6">
        <v>-2.5598455337632709E-2</v>
      </c>
      <c r="J22" s="6">
        <v>-6.8452049045531751E-3</v>
      </c>
      <c r="K22" s="6">
        <v>-5.3080039391986487E-2</v>
      </c>
      <c r="L22" s="6">
        <v>-0.42429365820758708</v>
      </c>
      <c r="M22" s="6">
        <v>-6.6612015717581394E-2</v>
      </c>
      <c r="N22" s="6">
        <v>-0.12812109989627515</v>
      </c>
      <c r="O22" s="6">
        <v>1.0376627755477333E-2</v>
      </c>
      <c r="P22" s="6">
        <v>-1.6107450014981876E-2</v>
      </c>
      <c r="S22" s="6">
        <f t="shared" si="1"/>
        <v>-6.8635068124545812E-2</v>
      </c>
      <c r="T22" s="6">
        <f t="shared" si="2"/>
        <v>-6.2617982255333632E-2</v>
      </c>
      <c r="U22" s="6">
        <f t="shared" si="3"/>
        <v>-5.3368079556036986E-2</v>
      </c>
      <c r="V22" s="6">
        <f t="shared" si="4"/>
        <v>-1.2090858136850008E-4</v>
      </c>
      <c r="W22" s="6">
        <f t="shared" si="5"/>
        <v>-0.11847954213361273</v>
      </c>
      <c r="X22" s="6">
        <f t="shared" si="6"/>
        <v>-1.6491114166661804E-2</v>
      </c>
      <c r="Y22" s="6">
        <f t="shared" si="7"/>
        <v>-2.9464042647828637E-2</v>
      </c>
      <c r="Z22" s="6">
        <f t="shared" si="8"/>
        <v>1.2936766312770217E-3</v>
      </c>
      <c r="AA22" s="6">
        <f t="shared" si="9"/>
        <v>-5.8348724734519443E-2</v>
      </c>
      <c r="AB22" s="6">
        <f t="shared" si="10"/>
        <v>-0.4265477815788275</v>
      </c>
      <c r="AC22" s="6">
        <f t="shared" si="11"/>
        <v>-7.077076947742679E-2</v>
      </c>
      <c r="AD22" s="6">
        <f t="shared" si="12"/>
        <v>-0.14039845157371622</v>
      </c>
      <c r="AE22" s="6">
        <f t="shared" si="13"/>
        <v>1.3447694403803591E-2</v>
      </c>
      <c r="AF22" s="6">
        <f t="shared" si="14"/>
        <v>-1.2579748690536324E-2</v>
      </c>
    </row>
    <row r="23" spans="3:32" x14ac:dyDescent="0.3">
      <c r="C23" s="6">
        <v>-6.6902357822395342E-2</v>
      </c>
      <c r="D23" s="6">
        <v>-5.9319714120998394E-2</v>
      </c>
      <c r="E23" s="6">
        <v>-3.3331227526006028E-2</v>
      </c>
      <c r="F23" s="6">
        <v>-6.3499279632851041E-2</v>
      </c>
      <c r="G23" s="6">
        <v>-0.14772636977896944</v>
      </c>
      <c r="H23" s="6">
        <v>-4.9590944641326899E-2</v>
      </c>
      <c r="I23" s="6">
        <v>-2.5909242022416089E-2</v>
      </c>
      <c r="J23" s="6">
        <v>-6.2090341924180885E-2</v>
      </c>
      <c r="K23" s="6">
        <v>-4.9513440578947951E-2</v>
      </c>
      <c r="L23" s="6">
        <v>-2.5669220154702251E-2</v>
      </c>
      <c r="M23" s="6">
        <v>-4.3576228112922576E-2</v>
      </c>
      <c r="N23" s="6">
        <v>-3.1671343837651411E-2</v>
      </c>
      <c r="O23" s="6">
        <v>-3.7913309796599529E-2</v>
      </c>
      <c r="P23" s="6">
        <v>-5.5274660649367521E-2</v>
      </c>
      <c r="S23" s="6">
        <f t="shared" si="1"/>
        <v>-6.8690375810205276E-2</v>
      </c>
      <c r="T23" s="6">
        <f t="shared" si="2"/>
        <v>-6.9149190617442888E-2</v>
      </c>
      <c r="U23" s="6">
        <f t="shared" si="3"/>
        <v>-3.5890581672215753E-2</v>
      </c>
      <c r="V23" s="6">
        <f t="shared" si="4"/>
        <v>-6.6208627968322151E-2</v>
      </c>
      <c r="W23" s="6">
        <f t="shared" si="5"/>
        <v>-0.14858314759158023</v>
      </c>
      <c r="X23" s="6">
        <f t="shared" si="6"/>
        <v>-5.1070584362556529E-2</v>
      </c>
      <c r="Y23" s="6">
        <f t="shared" si="7"/>
        <v>-2.9774829332612017E-2</v>
      </c>
      <c r="Z23" s="6">
        <f t="shared" si="8"/>
        <v>-5.3951460388350692E-2</v>
      </c>
      <c r="AA23" s="6">
        <f t="shared" si="9"/>
        <v>-5.4782125921480906E-2</v>
      </c>
      <c r="AB23" s="6">
        <f t="shared" si="10"/>
        <v>-2.7923343525942695E-2</v>
      </c>
      <c r="AC23" s="6">
        <f t="shared" si="11"/>
        <v>-4.7734981872767972E-2</v>
      </c>
      <c r="AD23" s="6">
        <f t="shared" si="12"/>
        <v>-4.3948695515092492E-2</v>
      </c>
      <c r="AE23" s="6">
        <f t="shared" si="13"/>
        <v>-3.4842243148273271E-2</v>
      </c>
      <c r="AF23" s="6">
        <f t="shared" si="14"/>
        <v>-5.1746959324921966E-2</v>
      </c>
    </row>
    <row r="24" spans="3:32" x14ac:dyDescent="0.3">
      <c r="C24" s="6">
        <v>8.3954161040220174E-2</v>
      </c>
      <c r="D24" s="6">
        <v>0.11957890563919514</v>
      </c>
      <c r="E24" s="6">
        <v>7.8701685613912442E-2</v>
      </c>
      <c r="F24" s="6">
        <v>3.0830087189905972E-2</v>
      </c>
      <c r="G24" s="6">
        <v>0.13469993690390517</v>
      </c>
      <c r="H24" s="6">
        <v>6.7907919660876503E-2</v>
      </c>
      <c r="I24" s="6">
        <v>8.1817936541108034E-3</v>
      </c>
      <c r="J24" s="6">
        <v>-0.40074710664791618</v>
      </c>
      <c r="K24" s="6">
        <v>0.11471557153831148</v>
      </c>
      <c r="L24" s="6">
        <v>0.1298208132279868</v>
      </c>
      <c r="M24" s="6">
        <v>1.361143941098635E-2</v>
      </c>
      <c r="N24" s="6">
        <v>9.102558648683412E-2</v>
      </c>
      <c r="O24" s="6">
        <v>2.3811897600144891E-2</v>
      </c>
      <c r="P24" s="6">
        <v>0.20737467630806125</v>
      </c>
      <c r="S24" s="6">
        <f t="shared" si="1"/>
        <v>8.216614305241024E-2</v>
      </c>
      <c r="T24" s="6">
        <f t="shared" si="2"/>
        <v>0.10974942914275064</v>
      </c>
      <c r="U24" s="6">
        <f t="shared" si="3"/>
        <v>7.6142331467702717E-2</v>
      </c>
      <c r="V24" s="6">
        <f t="shared" si="4"/>
        <v>2.8120738854434866E-2</v>
      </c>
      <c r="W24" s="6">
        <f t="shared" si="5"/>
        <v>0.13384315909129438</v>
      </c>
      <c r="X24" s="6">
        <f t="shared" si="6"/>
        <v>6.6428279939646867E-2</v>
      </c>
      <c r="Y24" s="6">
        <f t="shared" si="7"/>
        <v>4.3162063439148735E-3</v>
      </c>
      <c r="Z24" s="6">
        <f t="shared" si="8"/>
        <v>-0.39260822511208598</v>
      </c>
      <c r="AA24" s="6">
        <f t="shared" si="9"/>
        <v>0.10944688619577853</v>
      </c>
      <c r="AB24" s="6">
        <f t="shared" si="10"/>
        <v>0.12756668985674635</v>
      </c>
      <c r="AC24" s="6">
        <f t="shared" si="11"/>
        <v>9.452685651140956E-3</v>
      </c>
      <c r="AD24" s="6">
        <f t="shared" si="12"/>
        <v>7.8748234809393039E-2</v>
      </c>
      <c r="AE24" s="6">
        <f t="shared" si="13"/>
        <v>2.6882964248471149E-2</v>
      </c>
      <c r="AF24" s="6">
        <f t="shared" si="14"/>
        <v>0.2109023776325068</v>
      </c>
    </row>
    <row r="25" spans="3:32" x14ac:dyDescent="0.3">
      <c r="C25" s="6">
        <v>-2.8881405423455977E-2</v>
      </c>
      <c r="D25" s="6">
        <v>-4.7961722634930551E-3</v>
      </c>
      <c r="E25" s="6">
        <v>-1.1854499534548594E-2</v>
      </c>
      <c r="F25" s="6">
        <v>1.9572166688210407E-2</v>
      </c>
      <c r="G25" s="6">
        <v>-7.6678311864894808E-2</v>
      </c>
      <c r="H25" s="6">
        <v>6.0650163621986386E-2</v>
      </c>
      <c r="I25" s="6">
        <v>-2.2545071389845312E-2</v>
      </c>
      <c r="J25" s="6">
        <v>-7.2529284110011236E-2</v>
      </c>
      <c r="K25" s="6">
        <v>-2.870195807183528E-2</v>
      </c>
      <c r="L25" s="6">
        <v>-0.12169068714473673</v>
      </c>
      <c r="M25" s="6">
        <v>2.0075956572689006E-2</v>
      </c>
      <c r="N25" s="6">
        <v>1.0118130165584686E-2</v>
      </c>
      <c r="O25" s="6">
        <v>-0.10011073765764682</v>
      </c>
      <c r="P25" s="6">
        <v>-9.0975882202186387E-3</v>
      </c>
      <c r="S25" s="6">
        <f t="shared" si="1"/>
        <v>-3.0669423411265911E-2</v>
      </c>
      <c r="T25" s="6">
        <f t="shared" si="2"/>
        <v>-1.4625648759937552E-2</v>
      </c>
      <c r="U25" s="6">
        <f t="shared" si="3"/>
        <v>-1.441385368075832E-2</v>
      </c>
      <c r="V25" s="6">
        <f t="shared" si="4"/>
        <v>1.6862818352739301E-2</v>
      </c>
      <c r="W25" s="6">
        <f t="shared" si="5"/>
        <v>-7.7535089677505595E-2</v>
      </c>
      <c r="X25" s="6">
        <f t="shared" si="6"/>
        <v>5.9170523900756757E-2</v>
      </c>
      <c r="Y25" s="6">
        <f t="shared" si="7"/>
        <v>-2.641065870004124E-2</v>
      </c>
      <c r="Z25" s="6">
        <f t="shared" si="8"/>
        <v>-6.4390402574181035E-2</v>
      </c>
      <c r="AA25" s="6">
        <f t="shared" si="9"/>
        <v>-3.3970643414368236E-2</v>
      </c>
      <c r="AB25" s="6">
        <f t="shared" si="10"/>
        <v>-0.12394481051597718</v>
      </c>
      <c r="AC25" s="6">
        <f t="shared" si="11"/>
        <v>1.5917202812843614E-2</v>
      </c>
      <c r="AD25" s="6">
        <f t="shared" si="12"/>
        <v>-2.1592215118563917E-3</v>
      </c>
      <c r="AE25" s="6">
        <f t="shared" si="13"/>
        <v>-9.7039671009320566E-2</v>
      </c>
      <c r="AF25" s="6">
        <f t="shared" si="14"/>
        <v>-5.5698868957730872E-3</v>
      </c>
    </row>
    <row r="26" spans="3:32" x14ac:dyDescent="0.3">
      <c r="C26" s="6">
        <v>-5.8421623044726728E-2</v>
      </c>
      <c r="D26" s="6">
        <v>-9.8145391803311041E-2</v>
      </c>
      <c r="E26" s="6">
        <v>-6.5146068074440108E-2</v>
      </c>
      <c r="F26" s="6">
        <v>-2.9953502091408343E-2</v>
      </c>
      <c r="G26" s="6">
        <v>-9.812612211282724E-3</v>
      </c>
      <c r="H26" s="6">
        <v>-0.10959231502478337</v>
      </c>
      <c r="I26" s="6">
        <v>-8.3083107935944797E-2</v>
      </c>
      <c r="J26" s="6">
        <v>-8.7199612284303243E-2</v>
      </c>
      <c r="K26" s="6">
        <v>4.357698691109247E-2</v>
      </c>
      <c r="L26" s="6">
        <v>-0.12744494656812025</v>
      </c>
      <c r="M26" s="6">
        <v>-1.796580596905701E-2</v>
      </c>
      <c r="N26" s="6">
        <v>-7.9111001652535998E-2</v>
      </c>
      <c r="O26" s="6">
        <v>-5.378082782100041E-2</v>
      </c>
      <c r="P26" s="6">
        <v>-3.2038106950284325E-3</v>
      </c>
      <c r="S26" s="6">
        <f t="shared" si="1"/>
        <v>-6.0209641032536662E-2</v>
      </c>
      <c r="T26" s="6">
        <f t="shared" si="2"/>
        <v>-0.10797486829975554</v>
      </c>
      <c r="U26" s="6">
        <f t="shared" si="3"/>
        <v>-6.7705422220649833E-2</v>
      </c>
      <c r="V26" s="6">
        <f t="shared" si="4"/>
        <v>-3.2662850426879449E-2</v>
      </c>
      <c r="W26" s="6">
        <f t="shared" si="5"/>
        <v>-1.0669390023893513E-2</v>
      </c>
      <c r="X26" s="6">
        <f t="shared" si="6"/>
        <v>-0.111071954746013</v>
      </c>
      <c r="Y26" s="6">
        <f t="shared" si="7"/>
        <v>-8.6948695246140725E-2</v>
      </c>
      <c r="Z26" s="6">
        <f t="shared" si="8"/>
        <v>-7.9060730748473043E-2</v>
      </c>
      <c r="AA26" s="6">
        <f t="shared" si="9"/>
        <v>3.8308301568559515E-2</v>
      </c>
      <c r="AB26" s="6">
        <f t="shared" si="10"/>
        <v>-0.1296990699393607</v>
      </c>
      <c r="AC26" s="6">
        <f t="shared" si="11"/>
        <v>-2.2124559728902402E-2</v>
      </c>
      <c r="AD26" s="6">
        <f t="shared" si="12"/>
        <v>-9.1388353329977079E-2</v>
      </c>
      <c r="AE26" s="6">
        <f t="shared" si="13"/>
        <v>-5.0709761172674152E-2</v>
      </c>
      <c r="AF26" s="6">
        <f t="shared" si="14"/>
        <v>3.2389062941711941E-4</v>
      </c>
    </row>
    <row r="27" spans="3:32" x14ac:dyDescent="0.3">
      <c r="C27" s="6">
        <v>-4.1466359690906368E-2</v>
      </c>
      <c r="D27" s="6">
        <v>-6.6386623427145144E-2</v>
      </c>
      <c r="E27" s="6">
        <v>-2.1333503220413171E-2</v>
      </c>
      <c r="F27" s="6">
        <v>-3.6834214421488667E-2</v>
      </c>
      <c r="G27" s="6">
        <v>-6.8937509186818249E-2</v>
      </c>
      <c r="H27" s="6">
        <v>-3.1781059869644149E-2</v>
      </c>
      <c r="I27" s="6">
        <v>-6.975801983281496E-2</v>
      </c>
      <c r="J27" s="6">
        <v>-6.6951067542955003E-2</v>
      </c>
      <c r="K27" s="6">
        <v>-3.2533929902938817E-2</v>
      </c>
      <c r="L27" s="6">
        <v>-0.13647998930471547</v>
      </c>
      <c r="M27" s="6">
        <v>-8.3949993915986981E-2</v>
      </c>
      <c r="N27" s="6">
        <v>-2.42424361150628E-3</v>
      </c>
      <c r="O27" s="6">
        <v>-3.512387793143704E-3</v>
      </c>
      <c r="P27" s="6">
        <v>8.4904878517648198E-3</v>
      </c>
      <c r="S27" s="6">
        <f t="shared" si="1"/>
        <v>-4.3254377678716302E-2</v>
      </c>
      <c r="T27" s="6">
        <f t="shared" si="2"/>
        <v>-7.6216099923589645E-2</v>
      </c>
      <c r="U27" s="6">
        <f t="shared" si="3"/>
        <v>-2.3892857366622899E-2</v>
      </c>
      <c r="V27" s="6">
        <f t="shared" si="4"/>
        <v>-3.9543562756959777E-2</v>
      </c>
      <c r="W27" s="6">
        <f t="shared" si="5"/>
        <v>-6.9794286999429037E-2</v>
      </c>
      <c r="X27" s="6">
        <f t="shared" si="6"/>
        <v>-3.3260699590873778E-2</v>
      </c>
      <c r="Y27" s="6">
        <f t="shared" si="7"/>
        <v>-7.3623607143010888E-2</v>
      </c>
      <c r="Z27" s="6">
        <f t="shared" si="8"/>
        <v>-5.8812186007124803E-2</v>
      </c>
      <c r="AA27" s="6">
        <f t="shared" si="9"/>
        <v>-3.7802615245471773E-2</v>
      </c>
      <c r="AB27" s="6">
        <f t="shared" si="10"/>
        <v>-0.13873411267595592</v>
      </c>
      <c r="AC27" s="6">
        <f t="shared" si="11"/>
        <v>-8.8108747675832377E-2</v>
      </c>
      <c r="AD27" s="6">
        <f t="shared" si="12"/>
        <v>-1.4701595288947357E-2</v>
      </c>
      <c r="AE27" s="6">
        <f t="shared" si="13"/>
        <v>-4.4132114481744639E-4</v>
      </c>
      <c r="AF27" s="6">
        <f t="shared" si="14"/>
        <v>1.2018189176210371E-2</v>
      </c>
    </row>
    <row r="28" spans="3:32" x14ac:dyDescent="0.3">
      <c r="C28" s="6">
        <v>7.3966799004620234E-2</v>
      </c>
      <c r="D28" s="6">
        <v>7.577085651703884E-2</v>
      </c>
      <c r="E28" s="6">
        <v>7.7850491492059984E-2</v>
      </c>
      <c r="F28" s="6">
        <v>9.6293964400936891E-2</v>
      </c>
      <c r="G28" s="6">
        <v>0.12536122804169589</v>
      </c>
      <c r="H28" s="6">
        <v>9.2035451414720679E-2</v>
      </c>
      <c r="I28" s="6">
        <v>3.8459366943679539E-2</v>
      </c>
      <c r="J28" s="6">
        <v>0.16853941727935784</v>
      </c>
      <c r="K28" s="6">
        <v>0.12104528381351375</v>
      </c>
      <c r="L28" s="6">
        <v>0.20239084378355024</v>
      </c>
      <c r="M28" s="6">
        <v>5.4429133619056339E-2</v>
      </c>
      <c r="N28" s="6">
        <v>0.21240650331325309</v>
      </c>
      <c r="O28" s="6">
        <v>0.18096578900936452</v>
      </c>
      <c r="P28" s="6">
        <v>0.10877286877114241</v>
      </c>
      <c r="S28" s="6">
        <f t="shared" si="1"/>
        <v>7.2178781016810301E-2</v>
      </c>
      <c r="T28" s="6">
        <f t="shared" si="2"/>
        <v>6.594138002059434E-2</v>
      </c>
      <c r="U28" s="6">
        <f t="shared" si="3"/>
        <v>7.5291137345850259E-2</v>
      </c>
      <c r="V28" s="6">
        <f t="shared" si="4"/>
        <v>9.3584616065465781E-2</v>
      </c>
      <c r="W28" s="6">
        <f t="shared" si="5"/>
        <v>0.1245044502290851</v>
      </c>
      <c r="X28" s="6">
        <f t="shared" si="6"/>
        <v>9.0555811693491042E-2</v>
      </c>
      <c r="Y28" s="6">
        <f t="shared" si="7"/>
        <v>3.4593779633483611E-2</v>
      </c>
      <c r="Z28" s="6">
        <f t="shared" si="8"/>
        <v>0.17667829881518804</v>
      </c>
      <c r="AA28" s="6">
        <f t="shared" si="9"/>
        <v>0.11577659847098079</v>
      </c>
      <c r="AB28" s="6">
        <f t="shared" si="10"/>
        <v>0.20013672041230979</v>
      </c>
      <c r="AC28" s="6">
        <f t="shared" si="11"/>
        <v>5.0270379859210942E-2</v>
      </c>
      <c r="AD28" s="6">
        <f t="shared" si="12"/>
        <v>0.20012915163581202</v>
      </c>
      <c r="AE28" s="6">
        <f t="shared" si="13"/>
        <v>0.18403685565769079</v>
      </c>
      <c r="AF28" s="6">
        <f t="shared" si="14"/>
        <v>0.11230057009558796</v>
      </c>
    </row>
    <row r="29" spans="3:32" x14ac:dyDescent="0.3">
      <c r="C29" s="6">
        <v>-1.9459611164706184E-2</v>
      </c>
      <c r="D29" s="6">
        <v>-0.16530430293937848</v>
      </c>
      <c r="E29" s="6">
        <v>-3.0802010266693991E-2</v>
      </c>
      <c r="F29" s="6">
        <v>-8.1470643135976573E-2</v>
      </c>
      <c r="G29" s="6">
        <v>-7.8057242249746389E-2</v>
      </c>
      <c r="H29" s="6">
        <v>-6.1075522014096439E-2</v>
      </c>
      <c r="I29" s="6">
        <v>-6.1377873234082801E-2</v>
      </c>
      <c r="J29" s="6">
        <v>-0.10990597802950085</v>
      </c>
      <c r="K29" s="6">
        <v>-3.1520290083568041E-2</v>
      </c>
      <c r="L29" s="6">
        <v>-0.24588463292697357</v>
      </c>
      <c r="M29" s="6">
        <v>-7.6214467958986593E-2</v>
      </c>
      <c r="N29" s="6">
        <v>-9.4623467656869645E-2</v>
      </c>
      <c r="O29" s="6">
        <v>-0.16304911903805785</v>
      </c>
      <c r="P29" s="6">
        <v>-9.999334005108633E-2</v>
      </c>
      <c r="S29" s="6">
        <f t="shared" si="1"/>
        <v>-2.1247629152516118E-2</v>
      </c>
      <c r="T29" s="6">
        <f t="shared" si="2"/>
        <v>-0.17513377943582298</v>
      </c>
      <c r="U29" s="6">
        <f t="shared" si="3"/>
        <v>-3.3361364412903716E-2</v>
      </c>
      <c r="V29" s="6">
        <f t="shared" si="4"/>
        <v>-8.4179991471447682E-2</v>
      </c>
      <c r="W29" s="6">
        <f t="shared" si="5"/>
        <v>-7.8914020062357176E-2</v>
      </c>
      <c r="X29" s="6">
        <f t="shared" si="6"/>
        <v>-6.2555161735326076E-2</v>
      </c>
      <c r="Y29" s="6">
        <f t="shared" si="7"/>
        <v>-6.5243460544278736E-2</v>
      </c>
      <c r="Z29" s="6">
        <f t="shared" si="8"/>
        <v>-0.10176709649367065</v>
      </c>
      <c r="AA29" s="6">
        <f t="shared" si="9"/>
        <v>-3.6788975426100996E-2</v>
      </c>
      <c r="AB29" s="6">
        <f t="shared" si="10"/>
        <v>-0.24813875629821402</v>
      </c>
      <c r="AC29" s="6">
        <f t="shared" si="11"/>
        <v>-8.0373221718831989E-2</v>
      </c>
      <c r="AD29" s="6">
        <f t="shared" si="12"/>
        <v>-0.10690081933431073</v>
      </c>
      <c r="AE29" s="6">
        <f t="shared" si="13"/>
        <v>-0.15997805238973159</v>
      </c>
      <c r="AF29" s="6">
        <f t="shared" si="14"/>
        <v>-9.6465638726640782E-2</v>
      </c>
    </row>
    <row r="30" spans="3:32" x14ac:dyDescent="0.3">
      <c r="C30" s="6">
        <v>5.6734449446606453E-2</v>
      </c>
      <c r="D30" s="6">
        <v>8.7011376989629699E-2</v>
      </c>
      <c r="E30" s="6">
        <v>3.065257810861571E-2</v>
      </c>
      <c r="F30" s="6">
        <v>9.3100641067064574E-2</v>
      </c>
      <c r="G30" s="6">
        <v>9.8401569915904652E-2</v>
      </c>
      <c r="H30" s="6">
        <v>5.3144445958242158E-2</v>
      </c>
      <c r="I30" s="6">
        <v>6.560025811393104E-2</v>
      </c>
      <c r="J30" s="6">
        <v>0.12743845679114155</v>
      </c>
      <c r="K30" s="6">
        <v>6.0240595343429487E-2</v>
      </c>
      <c r="L30" s="6">
        <v>0.20652996087335823</v>
      </c>
      <c r="M30" s="6">
        <v>4.5795547767447341E-2</v>
      </c>
      <c r="N30" s="6">
        <v>9.2658830482704763E-2</v>
      </c>
      <c r="O30" s="6">
        <v>0.11790220386244706</v>
      </c>
      <c r="P30" s="6">
        <v>7.6563791168876627E-2</v>
      </c>
      <c r="S30" s="6">
        <f t="shared" si="1"/>
        <v>5.4946431458796519E-2</v>
      </c>
      <c r="T30" s="6">
        <f t="shared" si="2"/>
        <v>7.7181900493185199E-2</v>
      </c>
      <c r="U30" s="6">
        <f t="shared" si="3"/>
        <v>2.8093223962405982E-2</v>
      </c>
      <c r="V30" s="6">
        <f t="shared" si="4"/>
        <v>9.0391292731593464E-2</v>
      </c>
      <c r="W30" s="6">
        <f t="shared" si="5"/>
        <v>9.7544792103293865E-2</v>
      </c>
      <c r="X30" s="6">
        <f t="shared" si="6"/>
        <v>5.1664806237012528E-2</v>
      </c>
      <c r="Y30" s="6">
        <f t="shared" si="7"/>
        <v>6.1734670803735112E-2</v>
      </c>
      <c r="Z30" s="6">
        <f t="shared" si="8"/>
        <v>0.13557733832697175</v>
      </c>
      <c r="AA30" s="6">
        <f t="shared" si="9"/>
        <v>5.4971910000896532E-2</v>
      </c>
      <c r="AB30" s="6">
        <f t="shared" si="10"/>
        <v>0.20427583750211778</v>
      </c>
      <c r="AC30" s="6">
        <f t="shared" si="11"/>
        <v>4.1636794007601945E-2</v>
      </c>
      <c r="AD30" s="6">
        <f t="shared" si="12"/>
        <v>8.0381478805263681E-2</v>
      </c>
      <c r="AE30" s="6">
        <f t="shared" si="13"/>
        <v>0.12097327051077331</v>
      </c>
      <c r="AF30" s="6">
        <f t="shared" si="14"/>
        <v>8.0091492493322175E-2</v>
      </c>
    </row>
    <row r="31" spans="3:32" x14ac:dyDescent="0.3">
      <c r="C31" s="6">
        <v>2.1063327084812497E-2</v>
      </c>
      <c r="D31" s="6">
        <v>-5.063301956546762E-3</v>
      </c>
      <c r="E31" s="6">
        <v>-4.1731521566626968E-2</v>
      </c>
      <c r="F31" s="6">
        <v>-6.5527698943286999E-2</v>
      </c>
      <c r="G31" s="6">
        <v>-4.356575892356316E-2</v>
      </c>
      <c r="H31" s="6">
        <v>-1.7373521801552032E-2</v>
      </c>
      <c r="I31" s="6">
        <v>-3.6835918588235435E-2</v>
      </c>
      <c r="J31" s="6">
        <v>-9.164045091536252E-2</v>
      </c>
      <c r="K31" s="6">
        <v>-6.7800480151369663E-2</v>
      </c>
      <c r="L31" s="6">
        <v>-0.11407867621616299</v>
      </c>
      <c r="M31" s="6">
        <v>-3.0449978092786902E-2</v>
      </c>
      <c r="N31" s="6">
        <v>-0.11778303565638351</v>
      </c>
      <c r="O31" s="6">
        <v>-9.5977704742095105E-2</v>
      </c>
      <c r="P31" s="6">
        <v>-0.18215462581952474</v>
      </c>
      <c r="S31" s="6">
        <f t="shared" si="1"/>
        <v>1.9275309097002563E-2</v>
      </c>
      <c r="T31" s="6">
        <f t="shared" si="2"/>
        <v>-1.4892778452991258E-2</v>
      </c>
      <c r="U31" s="6">
        <f t="shared" si="3"/>
        <v>-4.4290875712836693E-2</v>
      </c>
      <c r="V31" s="6">
        <f t="shared" si="4"/>
        <v>-6.8237047278758109E-2</v>
      </c>
      <c r="W31" s="6">
        <f t="shared" si="5"/>
        <v>-4.4422536736173947E-2</v>
      </c>
      <c r="X31" s="6">
        <f t="shared" si="6"/>
        <v>-1.8853161522781665E-2</v>
      </c>
      <c r="Y31" s="6">
        <f t="shared" si="7"/>
        <v>-4.0701505898431363E-2</v>
      </c>
      <c r="Z31" s="6">
        <f t="shared" si="8"/>
        <v>-8.350156937953232E-2</v>
      </c>
      <c r="AA31" s="6">
        <f t="shared" si="9"/>
        <v>-7.3069165493902619E-2</v>
      </c>
      <c r="AB31" s="6">
        <f t="shared" si="10"/>
        <v>-0.11633279958740345</v>
      </c>
      <c r="AC31" s="6">
        <f t="shared" si="11"/>
        <v>-3.4608731852632295E-2</v>
      </c>
      <c r="AD31" s="6">
        <f t="shared" si="12"/>
        <v>-0.13006038733382458</v>
      </c>
      <c r="AE31" s="6">
        <f t="shared" si="13"/>
        <v>-9.2906638093768854E-2</v>
      </c>
      <c r="AF31" s="6">
        <f t="shared" si="14"/>
        <v>-0.17862692449507919</v>
      </c>
    </row>
    <row r="32" spans="3:32" x14ac:dyDescent="0.3">
      <c r="C32" s="6">
        <v>2.5768861601572796E-2</v>
      </c>
      <c r="D32" s="6">
        <v>9.438681870455605E-2</v>
      </c>
      <c r="E32" s="6">
        <v>1.4079291902585162E-2</v>
      </c>
      <c r="F32" s="6">
        <v>-3.5327781577463122E-2</v>
      </c>
      <c r="G32" s="6">
        <v>0.1257534827104457</v>
      </c>
      <c r="H32" s="6">
        <v>7.5214486871356317E-2</v>
      </c>
      <c r="I32" s="6">
        <v>2.7369436017411333E-2</v>
      </c>
      <c r="J32" s="6">
        <v>-0.31516245003446175</v>
      </c>
      <c r="K32" s="6">
        <v>3.1156547198591129E-2</v>
      </c>
      <c r="L32" s="6">
        <v>0.27505387039860635</v>
      </c>
      <c r="M32" s="6">
        <v>7.2524545023387066E-2</v>
      </c>
      <c r="N32" s="6">
        <v>8.4796536660077054E-2</v>
      </c>
      <c r="O32" s="6">
        <v>3.5167704023896545E-2</v>
      </c>
      <c r="P32" s="6">
        <v>6.4945298682801897E-2</v>
      </c>
      <c r="S32" s="6">
        <f t="shared" si="1"/>
        <v>2.3980843613762862E-2</v>
      </c>
      <c r="T32" s="6">
        <f t="shared" si="2"/>
        <v>8.4557342208111549E-2</v>
      </c>
      <c r="U32" s="6">
        <f t="shared" si="3"/>
        <v>1.1519937756375435E-2</v>
      </c>
      <c r="V32" s="6">
        <f t="shared" si="4"/>
        <v>-3.8037129912934231E-2</v>
      </c>
      <c r="W32" s="6">
        <f t="shared" si="5"/>
        <v>0.12489670489783491</v>
      </c>
      <c r="X32" s="6">
        <f t="shared" si="6"/>
        <v>7.3734847150126681E-2</v>
      </c>
      <c r="Y32" s="6">
        <f t="shared" si="7"/>
        <v>2.3503848707215405E-2</v>
      </c>
      <c r="Z32" s="6">
        <f t="shared" si="8"/>
        <v>-0.30702356849863155</v>
      </c>
      <c r="AA32" s="6">
        <f t="shared" si="9"/>
        <v>2.5887861856058174E-2</v>
      </c>
      <c r="AB32" s="6">
        <f t="shared" si="10"/>
        <v>0.27279974702736592</v>
      </c>
      <c r="AC32" s="6">
        <f t="shared" si="11"/>
        <v>6.836579126354167E-2</v>
      </c>
      <c r="AD32" s="6">
        <f t="shared" si="12"/>
        <v>7.2519184982635973E-2</v>
      </c>
      <c r="AE32" s="6">
        <f t="shared" si="13"/>
        <v>3.8238770672222804E-2</v>
      </c>
      <c r="AF32" s="6">
        <f t="shared" si="14"/>
        <v>6.8473000007247445E-2</v>
      </c>
    </row>
    <row r="33" spans="3:32" x14ac:dyDescent="0.3">
      <c r="C33" s="6">
        <v>5.3202691044155065E-2</v>
      </c>
      <c r="D33" s="6">
        <v>4.735947003885823E-2</v>
      </c>
      <c r="E33" s="6">
        <v>7.536368540199341E-2</v>
      </c>
      <c r="F33" s="6">
        <v>7.5140141521120155E-2</v>
      </c>
      <c r="G33" s="6">
        <v>8.7553031620019275E-2</v>
      </c>
      <c r="H33" s="6">
        <v>9.7446584041089704E-2</v>
      </c>
      <c r="I33" s="6">
        <v>-6.1962137857264718E-2</v>
      </c>
      <c r="J33" s="6">
        <v>-8.0645598367304078E-3</v>
      </c>
      <c r="K33" s="6">
        <v>3.8133631600935575E-4</v>
      </c>
      <c r="L33" s="6">
        <v>-0.11764184257460977</v>
      </c>
      <c r="M33" s="6">
        <v>6.417134320633509E-3</v>
      </c>
      <c r="N33" s="6">
        <v>5.0530808647215965E-2</v>
      </c>
      <c r="O33" s="6">
        <v>-0.30448155948141287</v>
      </c>
      <c r="P33" s="6">
        <v>-2.5570520128453289E-2</v>
      </c>
      <c r="S33" s="6">
        <f t="shared" si="1"/>
        <v>5.1414673056345131E-2</v>
      </c>
      <c r="T33" s="6">
        <f t="shared" si="2"/>
        <v>3.7529993542413737E-2</v>
      </c>
      <c r="U33" s="6">
        <f t="shared" si="3"/>
        <v>7.2804331255783686E-2</v>
      </c>
      <c r="V33" s="6">
        <f t="shared" si="4"/>
        <v>7.2430793185649045E-2</v>
      </c>
      <c r="W33" s="6">
        <f t="shared" si="5"/>
        <v>8.6696253807408488E-2</v>
      </c>
      <c r="X33" s="6">
        <f t="shared" si="6"/>
        <v>9.5966944319860067E-2</v>
      </c>
      <c r="Y33" s="6">
        <f t="shared" si="7"/>
        <v>-6.5827725167460646E-2</v>
      </c>
      <c r="Z33" s="6">
        <f t="shared" si="8"/>
        <v>7.4321699099788932E-5</v>
      </c>
      <c r="AA33" s="6">
        <f t="shared" si="9"/>
        <v>-4.8873490265235985E-3</v>
      </c>
      <c r="AB33" s="6">
        <f t="shared" si="10"/>
        <v>-0.11989596594585022</v>
      </c>
      <c r="AC33" s="6">
        <f t="shared" si="11"/>
        <v>2.2583805607881155E-3</v>
      </c>
      <c r="AD33" s="6">
        <f t="shared" si="12"/>
        <v>3.8253456969774891E-2</v>
      </c>
      <c r="AE33" s="6">
        <f t="shared" si="13"/>
        <v>-0.30141049283308663</v>
      </c>
      <c r="AF33" s="6">
        <f t="shared" si="14"/>
        <v>-2.2042818804007738E-2</v>
      </c>
    </row>
    <row r="34" spans="3:32" x14ac:dyDescent="0.3">
      <c r="C34" s="6">
        <v>1.732490108988469E-2</v>
      </c>
      <c r="D34" s="6">
        <v>4.469115165104711E-2</v>
      </c>
      <c r="E34" s="6">
        <v>7.6998517561782656E-3</v>
      </c>
      <c r="F34" s="6">
        <v>9.8379680505853613E-3</v>
      </c>
      <c r="G34" s="6">
        <v>-3.0686478044347158E-2</v>
      </c>
      <c r="H34" s="6">
        <v>4.2436104259928623E-2</v>
      </c>
      <c r="I34" s="6">
        <v>4.9119342871550127E-2</v>
      </c>
      <c r="J34" s="6">
        <v>2.9912499362600032E-2</v>
      </c>
      <c r="K34" s="6">
        <v>4.040360635453686E-2</v>
      </c>
      <c r="L34" s="6">
        <v>0.39063737897911199</v>
      </c>
      <c r="M34" s="6">
        <v>0.31117785908948331</v>
      </c>
      <c r="N34" s="6">
        <v>0.1010032102888706</v>
      </c>
      <c r="O34" s="6">
        <v>0.2275295232574642</v>
      </c>
      <c r="P34" s="6">
        <v>9.1837954093575605E-2</v>
      </c>
      <c r="S34" s="6">
        <f t="shared" si="1"/>
        <v>1.5536883102074756E-2</v>
      </c>
      <c r="T34" s="6">
        <f t="shared" si="2"/>
        <v>3.4861675154602617E-2</v>
      </c>
      <c r="U34" s="6">
        <f t="shared" si="3"/>
        <v>5.1404976099685383E-3</v>
      </c>
      <c r="V34" s="6">
        <f t="shared" si="4"/>
        <v>7.1286197151142552E-3</v>
      </c>
      <c r="W34" s="6">
        <f t="shared" si="5"/>
        <v>-3.1543255856957948E-2</v>
      </c>
      <c r="X34" s="6">
        <f t="shared" si="6"/>
        <v>4.0956464538698993E-2</v>
      </c>
      <c r="Y34" s="6">
        <f t="shared" si="7"/>
        <v>4.5253755561354199E-2</v>
      </c>
      <c r="Z34" s="6">
        <f t="shared" si="8"/>
        <v>3.8051380898430229E-2</v>
      </c>
      <c r="AA34" s="6">
        <f t="shared" si="9"/>
        <v>3.5134921012003904E-2</v>
      </c>
      <c r="AB34" s="6">
        <f t="shared" si="10"/>
        <v>0.38838325560787157</v>
      </c>
      <c r="AC34" s="6">
        <f t="shared" si="11"/>
        <v>0.30701910532963794</v>
      </c>
      <c r="AD34" s="6">
        <f t="shared" si="12"/>
        <v>8.8725858611429523E-2</v>
      </c>
      <c r="AE34" s="6">
        <f t="shared" si="13"/>
        <v>0.23060058990579047</v>
      </c>
      <c r="AF34" s="6">
        <f t="shared" si="14"/>
        <v>9.5365655418021153E-2</v>
      </c>
    </row>
    <row r="35" spans="3:32" x14ac:dyDescent="0.3">
      <c r="C35" s="6">
        <v>4.0011263789691949E-2</v>
      </c>
      <c r="D35" s="6">
        <v>-1.4854384538196166E-2</v>
      </c>
      <c r="E35" s="6">
        <v>3.1316709718548094E-2</v>
      </c>
      <c r="F35" s="6">
        <v>3.5211666115242859E-2</v>
      </c>
      <c r="G35" s="6">
        <v>4.0331885888211898E-2</v>
      </c>
      <c r="H35" s="6">
        <v>1.9342962843130935E-2</v>
      </c>
      <c r="I35" s="6">
        <v>7.7078499557644342E-2</v>
      </c>
      <c r="J35" s="6">
        <v>0.13230274030138853</v>
      </c>
      <c r="K35" s="6">
        <v>4.9494848105529947E-2</v>
      </c>
      <c r="L35" s="6">
        <v>-2.7897635725217897E-2</v>
      </c>
      <c r="M35" s="6">
        <v>1.4268232132982984E-2</v>
      </c>
      <c r="N35" s="6">
        <v>-0.14444538165835194</v>
      </c>
      <c r="O35" s="6">
        <v>1.8667369308536758E-2</v>
      </c>
      <c r="P35" s="6">
        <v>-3.8774611529555116E-2</v>
      </c>
      <c r="S35" s="6">
        <f t="shared" si="1"/>
        <v>3.8223245801882015E-2</v>
      </c>
      <c r="T35" s="6">
        <f t="shared" si="2"/>
        <v>-2.4683861034640663E-2</v>
      </c>
      <c r="U35" s="6">
        <f t="shared" si="3"/>
        <v>2.8757355572338366E-2</v>
      </c>
      <c r="V35" s="6">
        <f t="shared" si="4"/>
        <v>3.250231777977175E-2</v>
      </c>
      <c r="W35" s="6">
        <f t="shared" si="5"/>
        <v>3.9475108075601111E-2</v>
      </c>
      <c r="X35" s="6">
        <f t="shared" si="6"/>
        <v>1.7863323121901302E-2</v>
      </c>
      <c r="Y35" s="6">
        <f t="shared" si="7"/>
        <v>7.3212912247448414E-2</v>
      </c>
      <c r="Z35" s="6">
        <f t="shared" si="8"/>
        <v>0.14044162183721873</v>
      </c>
      <c r="AA35" s="6">
        <f t="shared" si="9"/>
        <v>4.4226162762996991E-2</v>
      </c>
      <c r="AB35" s="6">
        <f t="shared" si="10"/>
        <v>-3.0151759096458342E-2</v>
      </c>
      <c r="AC35" s="6">
        <f t="shared" si="11"/>
        <v>1.0109478373137592E-2</v>
      </c>
      <c r="AD35" s="6">
        <f t="shared" si="12"/>
        <v>-0.15672273333579301</v>
      </c>
      <c r="AE35" s="6">
        <f t="shared" si="13"/>
        <v>2.1738435956863016E-2</v>
      </c>
      <c r="AF35" s="6">
        <f t="shared" si="14"/>
        <v>-3.5246910205109561E-2</v>
      </c>
    </row>
    <row r="36" spans="3:32" x14ac:dyDescent="0.3">
      <c r="C36" s="6">
        <v>-3.3758253350564646E-3</v>
      </c>
      <c r="D36" s="6">
        <v>-4.7054632060350099E-2</v>
      </c>
      <c r="E36" s="6">
        <v>-1.992938672579514E-2</v>
      </c>
      <c r="F36" s="6">
        <v>-3.742745021594867E-2</v>
      </c>
      <c r="G36" s="6">
        <v>-1.1262059706525088E-2</v>
      </c>
      <c r="H36" s="6">
        <v>-3.7764442090807204E-2</v>
      </c>
      <c r="I36" s="6">
        <v>-7.200492195694301E-2</v>
      </c>
      <c r="J36" s="6">
        <v>-5.1768881795336797E-3</v>
      </c>
      <c r="K36" s="6">
        <v>-5.2900756713797119E-2</v>
      </c>
      <c r="L36" s="6">
        <v>-0.20036377187757515</v>
      </c>
      <c r="M36" s="6">
        <v>-0.11267598798144189</v>
      </c>
      <c r="N36" s="6">
        <v>-0.15230240575661391</v>
      </c>
      <c r="O36" s="6">
        <v>-0.12246226352687362</v>
      </c>
      <c r="P36" s="6">
        <v>-9.594953681564633E-2</v>
      </c>
      <c r="S36" s="6">
        <f t="shared" si="1"/>
        <v>-5.1638433228663981E-3</v>
      </c>
      <c r="T36" s="6">
        <f t="shared" si="2"/>
        <v>-5.6884108556794599E-2</v>
      </c>
      <c r="U36" s="6">
        <f t="shared" si="3"/>
        <v>-2.2488740872004868E-2</v>
      </c>
      <c r="V36" s="6">
        <f t="shared" si="4"/>
        <v>-4.0136798551419779E-2</v>
      </c>
      <c r="W36" s="6">
        <f t="shared" si="5"/>
        <v>-1.2118837519135877E-2</v>
      </c>
      <c r="X36" s="6">
        <f t="shared" si="6"/>
        <v>-3.9244081812036834E-2</v>
      </c>
      <c r="Y36" s="6">
        <f t="shared" si="7"/>
        <v>-7.5870509267138939E-2</v>
      </c>
      <c r="Z36" s="6">
        <f t="shared" si="8"/>
        <v>2.961993356296517E-3</v>
      </c>
      <c r="AA36" s="6">
        <f t="shared" si="9"/>
        <v>-5.8169442056330074E-2</v>
      </c>
      <c r="AB36" s="6">
        <f t="shared" si="10"/>
        <v>-0.2026178952488156</v>
      </c>
      <c r="AC36" s="6">
        <f t="shared" si="11"/>
        <v>-0.11683474174128729</v>
      </c>
      <c r="AD36" s="6">
        <f t="shared" si="12"/>
        <v>-0.16457975743405498</v>
      </c>
      <c r="AE36" s="6">
        <f t="shared" si="13"/>
        <v>-0.11939119687854736</v>
      </c>
      <c r="AF36" s="6">
        <f t="shared" si="14"/>
        <v>-9.2421835491200782E-2</v>
      </c>
    </row>
    <row r="37" spans="3:32" x14ac:dyDescent="0.3">
      <c r="C37" s="6">
        <v>-4.7153211796885024E-2</v>
      </c>
      <c r="D37" s="6">
        <v>-9.3295404105983568E-2</v>
      </c>
      <c r="E37" s="6">
        <v>-6.5193403823948184E-2</v>
      </c>
      <c r="F37" s="6">
        <v>-6.0400689890804091E-2</v>
      </c>
      <c r="G37" s="6">
        <v>-2.9347478632018233E-2</v>
      </c>
      <c r="H37" s="6">
        <v>-5.5631861531233492E-2</v>
      </c>
      <c r="I37" s="6">
        <v>-3.748846822618597E-2</v>
      </c>
      <c r="J37" s="6">
        <v>-8.0114797930569429E-2</v>
      </c>
      <c r="K37" s="6">
        <v>2.0983422845142461E-2</v>
      </c>
      <c r="L37" s="6">
        <v>-0.1040711021622388</v>
      </c>
      <c r="M37" s="6">
        <v>-1.4933425631591359E-2</v>
      </c>
      <c r="N37" s="6">
        <v>-6.9328667326238352E-2</v>
      </c>
      <c r="O37" s="6">
        <v>-8.1887519103626905E-2</v>
      </c>
      <c r="P37" s="6">
        <v>-0.20065952857866082</v>
      </c>
      <c r="S37" s="6">
        <f t="shared" si="1"/>
        <v>-4.8941229784694958E-2</v>
      </c>
      <c r="T37" s="6">
        <f t="shared" si="2"/>
        <v>-0.10312488060242807</v>
      </c>
      <c r="U37" s="6">
        <f t="shared" si="3"/>
        <v>-6.7752757970157909E-2</v>
      </c>
      <c r="V37" s="6">
        <f t="shared" si="4"/>
        <v>-6.31100382262752E-2</v>
      </c>
      <c r="W37" s="6">
        <f t="shared" si="5"/>
        <v>-3.0204256444629023E-2</v>
      </c>
      <c r="X37" s="6">
        <f t="shared" si="6"/>
        <v>-5.7111501252463122E-2</v>
      </c>
      <c r="Y37" s="6">
        <f t="shared" si="7"/>
        <v>-4.1354055536381898E-2</v>
      </c>
      <c r="Z37" s="6">
        <f t="shared" si="8"/>
        <v>-7.1975916394739228E-2</v>
      </c>
      <c r="AA37" s="6">
        <f t="shared" si="9"/>
        <v>1.5714737502609509E-2</v>
      </c>
      <c r="AB37" s="6">
        <f t="shared" si="10"/>
        <v>-0.10632522553347926</v>
      </c>
      <c r="AC37" s="6">
        <f t="shared" si="11"/>
        <v>-1.9092179391436752E-2</v>
      </c>
      <c r="AD37" s="6">
        <f t="shared" si="12"/>
        <v>-8.1606019003679434E-2</v>
      </c>
      <c r="AE37" s="6">
        <f t="shared" si="13"/>
        <v>-7.8816452455300653E-2</v>
      </c>
      <c r="AF37" s="6">
        <f t="shared" si="14"/>
        <v>-0.19713182725421527</v>
      </c>
    </row>
    <row r="38" spans="3:32" x14ac:dyDescent="0.3">
      <c r="C38" s="6">
        <v>-4.8909349856288961E-2</v>
      </c>
      <c r="D38" s="6">
        <v>-0.17496858248869585</v>
      </c>
      <c r="E38" s="6">
        <v>-4.5910953013130092E-2</v>
      </c>
      <c r="F38" s="6">
        <v>-2.2825135009119372E-2</v>
      </c>
      <c r="G38" s="6">
        <v>-6.407349685422993E-2</v>
      </c>
      <c r="H38" s="6">
        <v>-2.5092310049581686E-2</v>
      </c>
      <c r="I38" s="6">
        <v>-9.0655696933066143E-3</v>
      </c>
      <c r="J38" s="6">
        <v>5.0261834780888297E-2</v>
      </c>
      <c r="K38" s="6">
        <v>-0.12063325939495238</v>
      </c>
      <c r="L38" s="6">
        <v>-2.2425182158053211E-2</v>
      </c>
      <c r="M38" s="6">
        <v>1.6311310796199071E-2</v>
      </c>
      <c r="N38" s="6">
        <v>-7.0433275048920302E-2</v>
      </c>
      <c r="O38" s="6">
        <v>-3.4699334084984108E-2</v>
      </c>
      <c r="P38" s="6">
        <v>-7.6449200942689671E-3</v>
      </c>
      <c r="S38" s="6">
        <f t="shared" si="1"/>
        <v>-5.0697367844098895E-2</v>
      </c>
      <c r="T38" s="6">
        <f t="shared" si="2"/>
        <v>-0.18479805898514035</v>
      </c>
      <c r="U38" s="6">
        <f t="shared" si="3"/>
        <v>-4.8470307159339816E-2</v>
      </c>
      <c r="V38" s="6">
        <f t="shared" si="4"/>
        <v>-2.5534483344590478E-2</v>
      </c>
      <c r="W38" s="6">
        <f t="shared" si="5"/>
        <v>-6.4930274666840718E-2</v>
      </c>
      <c r="X38" s="6">
        <f t="shared" si="6"/>
        <v>-2.6571949770811319E-2</v>
      </c>
      <c r="Y38" s="6">
        <f t="shared" si="7"/>
        <v>-1.2931157003502544E-2</v>
      </c>
      <c r="Z38" s="6">
        <f t="shared" si="8"/>
        <v>5.840071631671849E-2</v>
      </c>
      <c r="AA38" s="6">
        <f t="shared" si="9"/>
        <v>-0.12590194473748534</v>
      </c>
      <c r="AB38" s="6">
        <f t="shared" si="10"/>
        <v>-2.4679305529293656E-2</v>
      </c>
      <c r="AC38" s="6">
        <f t="shared" si="11"/>
        <v>1.2152557036353678E-2</v>
      </c>
      <c r="AD38" s="6">
        <f t="shared" si="12"/>
        <v>-8.2710626726361383E-2</v>
      </c>
      <c r="AE38" s="6">
        <f t="shared" si="13"/>
        <v>-3.162826743665785E-2</v>
      </c>
      <c r="AF38" s="6">
        <f t="shared" si="14"/>
        <v>-4.1172187698234157E-3</v>
      </c>
    </row>
    <row r="39" spans="3:32" x14ac:dyDescent="0.3">
      <c r="C39" s="6">
        <v>9.9624043835097129E-3</v>
      </c>
      <c r="D39" s="6">
        <v>5.2793999268307738E-2</v>
      </c>
      <c r="E39" s="6">
        <v>3.2278219110643734E-2</v>
      </c>
      <c r="F39" s="6">
        <v>2.5630693661893404E-2</v>
      </c>
      <c r="G39" s="6">
        <v>0.10351580423201734</v>
      </c>
      <c r="H39" s="6">
        <v>4.4182352696185173E-2</v>
      </c>
      <c r="I39" s="6">
        <v>5.3614077330217613E-2</v>
      </c>
      <c r="J39" s="6">
        <v>0.11995931507897897</v>
      </c>
      <c r="K39" s="6">
        <v>0.10143283560625797</v>
      </c>
      <c r="L39" s="6">
        <v>0.2144636359425561</v>
      </c>
      <c r="M39" s="6">
        <v>8.98186778106497E-2</v>
      </c>
      <c r="N39" s="6">
        <v>5.1360859672532844E-2</v>
      </c>
      <c r="O39" s="6">
        <v>8.0893290607129645E-2</v>
      </c>
      <c r="P39" s="6">
        <v>2.2398586477001318E-2</v>
      </c>
      <c r="S39" s="6">
        <f t="shared" si="1"/>
        <v>8.174386395699779E-3</v>
      </c>
      <c r="T39" s="6">
        <f t="shared" si="2"/>
        <v>4.2964522771863245E-2</v>
      </c>
      <c r="U39" s="6">
        <f t="shared" si="3"/>
        <v>2.9718864964434006E-2</v>
      </c>
      <c r="V39" s="6">
        <f t="shared" si="4"/>
        <v>2.2921345326422298E-2</v>
      </c>
      <c r="W39" s="6">
        <f t="shared" si="5"/>
        <v>0.10265902641940655</v>
      </c>
      <c r="X39" s="6">
        <f t="shared" si="6"/>
        <v>4.2702712974955544E-2</v>
      </c>
      <c r="Y39" s="6">
        <f t="shared" si="7"/>
        <v>4.9748490020021685E-2</v>
      </c>
      <c r="Z39" s="6">
        <f t="shared" si="8"/>
        <v>0.12809819661480917</v>
      </c>
      <c r="AA39" s="6">
        <f t="shared" si="9"/>
        <v>9.6164150263725018E-2</v>
      </c>
      <c r="AB39" s="6">
        <f t="shared" si="10"/>
        <v>0.21220951257131565</v>
      </c>
      <c r="AC39" s="6">
        <f t="shared" si="11"/>
        <v>8.5659924050804304E-2</v>
      </c>
      <c r="AD39" s="6">
        <f t="shared" si="12"/>
        <v>3.9083507995091762E-2</v>
      </c>
      <c r="AE39" s="6">
        <f t="shared" si="13"/>
        <v>8.3964357255455896E-2</v>
      </c>
      <c r="AF39" s="6">
        <f t="shared" si="14"/>
        <v>2.592628780144687E-2</v>
      </c>
    </row>
    <row r="40" spans="3:32" x14ac:dyDescent="0.3">
      <c r="C40" s="6">
        <v>-4.3308614980323366E-2</v>
      </c>
      <c r="D40" s="6">
        <v>-8.6316691306951354E-2</v>
      </c>
      <c r="E40" s="6">
        <v>-7.7493588571154556E-2</v>
      </c>
      <c r="F40" s="6">
        <v>-7.3586713475994034E-2</v>
      </c>
      <c r="G40" s="6">
        <v>1.2172015692528458E-2</v>
      </c>
      <c r="H40" s="6">
        <v>-7.5893104042913301E-2</v>
      </c>
      <c r="I40" s="6">
        <v>-0.14519494223672288</v>
      </c>
      <c r="J40" s="6">
        <v>-0.11285448945523428</v>
      </c>
      <c r="K40" s="6">
        <v>-0.10981814066414543</v>
      </c>
      <c r="L40" s="6">
        <v>-8.8777833903561115E-2</v>
      </c>
      <c r="M40" s="6">
        <v>4.7088456181207166E-3</v>
      </c>
      <c r="N40" s="6">
        <v>-1.2845216923566276E-3</v>
      </c>
      <c r="O40" s="6">
        <v>-2.7991620796145775E-3</v>
      </c>
      <c r="P40" s="6">
        <v>-4.8862788447760166E-2</v>
      </c>
      <c r="S40" s="6">
        <f t="shared" si="1"/>
        <v>-4.50966329681333E-2</v>
      </c>
      <c r="T40" s="6">
        <f t="shared" si="2"/>
        <v>-9.6146167803395854E-2</v>
      </c>
      <c r="U40" s="6">
        <f t="shared" si="3"/>
        <v>-8.0052942717364281E-2</v>
      </c>
      <c r="V40" s="6">
        <f t="shared" si="4"/>
        <v>-7.6296061811465143E-2</v>
      </c>
      <c r="W40" s="6">
        <f t="shared" si="5"/>
        <v>1.1315237879917669E-2</v>
      </c>
      <c r="X40" s="6">
        <f t="shared" si="6"/>
        <v>-7.7372743764142937E-2</v>
      </c>
      <c r="Y40" s="6">
        <f t="shared" si="7"/>
        <v>-0.14906052954691881</v>
      </c>
      <c r="Z40" s="6">
        <f t="shared" si="8"/>
        <v>-0.10471560791940408</v>
      </c>
      <c r="AA40" s="6">
        <f t="shared" si="9"/>
        <v>-0.11508682600667838</v>
      </c>
      <c r="AB40" s="6">
        <f t="shared" si="10"/>
        <v>-9.1031957274801567E-2</v>
      </c>
      <c r="AC40" s="6">
        <f t="shared" si="11"/>
        <v>5.5009185827532316E-4</v>
      </c>
      <c r="AD40" s="6">
        <f t="shared" si="12"/>
        <v>-1.3561873369797705E-2</v>
      </c>
      <c r="AE40" s="6">
        <f t="shared" si="13"/>
        <v>2.7190456871168008E-4</v>
      </c>
      <c r="AF40" s="6">
        <f t="shared" si="14"/>
        <v>-4.5335087123314612E-2</v>
      </c>
    </row>
    <row r="41" spans="3:32" x14ac:dyDescent="0.3">
      <c r="C41" s="6">
        <v>-1.7932459227172246E-3</v>
      </c>
      <c r="D41" s="6">
        <v>-5.2889463920372699E-2</v>
      </c>
      <c r="E41" s="6">
        <v>-2.8261939845677198E-2</v>
      </c>
      <c r="F41" s="6">
        <v>-4.0295220190347876E-2</v>
      </c>
      <c r="G41" s="6">
        <v>-9.6916876146253633E-2</v>
      </c>
      <c r="H41" s="6">
        <v>-8.2217282226221045E-2</v>
      </c>
      <c r="I41" s="6">
        <v>-4.1024238863443793E-2</v>
      </c>
      <c r="J41" s="6">
        <v>-9.071896566487829E-2</v>
      </c>
      <c r="K41" s="6">
        <v>-6.4113684975675808E-2</v>
      </c>
      <c r="L41" s="6">
        <v>-0.17886806749930437</v>
      </c>
      <c r="M41" s="6">
        <v>-0.13779082023139375</v>
      </c>
      <c r="N41" s="6">
        <v>-5.0076337980176203E-2</v>
      </c>
      <c r="O41" s="6">
        <v>-0.17525478437141767</v>
      </c>
      <c r="P41" s="6">
        <v>-5.5261234390840346E-2</v>
      </c>
      <c r="S41" s="6">
        <f t="shared" si="1"/>
        <v>-3.5812639105271583E-3</v>
      </c>
      <c r="T41" s="6">
        <f t="shared" si="2"/>
        <v>-6.2718940416817193E-2</v>
      </c>
      <c r="U41" s="6">
        <f t="shared" si="3"/>
        <v>-3.0821293991886926E-2</v>
      </c>
      <c r="V41" s="6">
        <f t="shared" si="4"/>
        <v>-4.3004568525818986E-2</v>
      </c>
      <c r="W41" s="6">
        <f t="shared" si="5"/>
        <v>-9.777365395886442E-2</v>
      </c>
      <c r="X41" s="6">
        <f t="shared" si="6"/>
        <v>-8.3696921947450681E-2</v>
      </c>
      <c r="Y41" s="6">
        <f t="shared" si="7"/>
        <v>-4.4889826173639721E-2</v>
      </c>
      <c r="Z41" s="6">
        <f t="shared" si="8"/>
        <v>-8.258008412904809E-2</v>
      </c>
      <c r="AA41" s="6">
        <f t="shared" si="9"/>
        <v>-6.9382370318208764E-2</v>
      </c>
      <c r="AB41" s="6">
        <f t="shared" si="10"/>
        <v>-0.18112219087054482</v>
      </c>
      <c r="AC41" s="6">
        <f t="shared" si="11"/>
        <v>-0.14194957399123914</v>
      </c>
      <c r="AD41" s="6">
        <f t="shared" si="12"/>
        <v>-6.2353689657617284E-2</v>
      </c>
      <c r="AE41" s="6">
        <f t="shared" si="13"/>
        <v>-0.17218371772309141</v>
      </c>
      <c r="AF41" s="6">
        <f t="shared" si="14"/>
        <v>-5.1733533066394791E-2</v>
      </c>
    </row>
    <row r="42" spans="3:32" x14ac:dyDescent="0.3">
      <c r="C42" s="6">
        <v>-8.4795948376163E-2</v>
      </c>
      <c r="D42" s="6">
        <v>-3.0821580040600156E-2</v>
      </c>
      <c r="E42" s="6">
        <v>-2.1325305821549567E-2</v>
      </c>
      <c r="F42" s="6">
        <v>-3.1794436944454781E-2</v>
      </c>
      <c r="G42" s="6">
        <v>-3.7297600747960784E-2</v>
      </c>
      <c r="H42" s="6">
        <v>-6.8789406101607414E-3</v>
      </c>
      <c r="I42" s="6">
        <v>-3.4267542082957812E-2</v>
      </c>
      <c r="J42" s="6">
        <v>-4.9662637687042127E-2</v>
      </c>
      <c r="K42" s="6">
        <v>2.7184945896802107E-2</v>
      </c>
      <c r="L42" s="6">
        <v>4.1313147317420494E-2</v>
      </c>
      <c r="M42" s="6">
        <v>-4.8610453503120349E-2</v>
      </c>
      <c r="N42" s="6">
        <v>9.4080923349595141E-2</v>
      </c>
      <c r="O42" s="6">
        <v>-5.9873401047414454E-2</v>
      </c>
      <c r="P42" s="6">
        <v>-1.1618612191510393E-2</v>
      </c>
      <c r="S42" s="6">
        <f t="shared" si="1"/>
        <v>-8.6583966363972933E-2</v>
      </c>
      <c r="T42" s="6">
        <f t="shared" si="2"/>
        <v>-4.065105653704465E-2</v>
      </c>
      <c r="U42" s="6">
        <f t="shared" si="3"/>
        <v>-2.3884659967759295E-2</v>
      </c>
      <c r="V42" s="6">
        <f t="shared" si="4"/>
        <v>-3.450378527992589E-2</v>
      </c>
      <c r="W42" s="6">
        <f t="shared" si="5"/>
        <v>-3.8154378560571571E-2</v>
      </c>
      <c r="X42" s="6">
        <f t="shared" si="6"/>
        <v>-8.3585803313903743E-3</v>
      </c>
      <c r="Y42" s="6">
        <f t="shared" si="7"/>
        <v>-3.813312939315374E-2</v>
      </c>
      <c r="Z42" s="6">
        <f t="shared" si="8"/>
        <v>-4.1523756151211927E-2</v>
      </c>
      <c r="AA42" s="6">
        <f t="shared" si="9"/>
        <v>2.1916260554269151E-2</v>
      </c>
      <c r="AB42" s="6">
        <f t="shared" si="10"/>
        <v>3.9059023946180049E-2</v>
      </c>
      <c r="AC42" s="6">
        <f t="shared" si="11"/>
        <v>-5.2769207262965745E-2</v>
      </c>
      <c r="AD42" s="6">
        <f t="shared" si="12"/>
        <v>8.180357167215406E-2</v>
      </c>
      <c r="AE42" s="6">
        <f t="shared" si="13"/>
        <v>-5.6802334399088196E-2</v>
      </c>
      <c r="AF42" s="6">
        <f t="shared" si="14"/>
        <v>-8.0909108670648416E-3</v>
      </c>
    </row>
    <row r="43" spans="3:32" x14ac:dyDescent="0.3">
      <c r="C43" s="6">
        <v>1.3583161874453163E-2</v>
      </c>
      <c r="D43" s="6">
        <v>-4.9545931246833411E-3</v>
      </c>
      <c r="E43" s="6">
        <v>5.737053882651535E-3</v>
      </c>
      <c r="F43" s="6">
        <v>3.1186595774894153E-2</v>
      </c>
      <c r="G43" s="6">
        <v>-0.17318715394540204</v>
      </c>
      <c r="H43" s="6">
        <v>1.3710884499994858E-2</v>
      </c>
      <c r="I43" s="6">
        <v>-1.6572296193059964E-2</v>
      </c>
      <c r="J43" s="6">
        <v>8.2077296371323979E-2</v>
      </c>
      <c r="K43" s="6">
        <v>4.2003263660705663E-2</v>
      </c>
      <c r="L43" s="6">
        <v>3.8182446368680185E-2</v>
      </c>
      <c r="M43" s="6">
        <v>5.7556657381614564E-2</v>
      </c>
      <c r="N43" s="6">
        <v>2.4570036930520837E-3</v>
      </c>
      <c r="O43" s="6">
        <v>-2.3682484643559095E-2</v>
      </c>
      <c r="P43" s="6">
        <v>3.99573729829946E-2</v>
      </c>
      <c r="S43" s="6">
        <f t="shared" si="1"/>
        <v>1.1795143886643229E-2</v>
      </c>
      <c r="T43" s="6">
        <f t="shared" si="2"/>
        <v>-1.4784069621127837E-2</v>
      </c>
      <c r="U43" s="6">
        <f t="shared" si="3"/>
        <v>3.1776997364418081E-3</v>
      </c>
      <c r="V43" s="6">
        <f t="shared" si="4"/>
        <v>2.8477247439423047E-2</v>
      </c>
      <c r="W43" s="6">
        <f t="shared" si="5"/>
        <v>-0.17404393175801283</v>
      </c>
      <c r="X43" s="6">
        <f t="shared" si="6"/>
        <v>1.2231244778765225E-2</v>
      </c>
      <c r="Y43" s="6">
        <f t="shared" si="7"/>
        <v>-2.0437883503255892E-2</v>
      </c>
      <c r="Z43" s="6">
        <f t="shared" si="8"/>
        <v>9.021617790715418E-2</v>
      </c>
      <c r="AA43" s="6">
        <f t="shared" si="9"/>
        <v>3.6734578318172707E-2</v>
      </c>
      <c r="AB43" s="6">
        <f t="shared" si="10"/>
        <v>3.5928322997439741E-2</v>
      </c>
      <c r="AC43" s="6">
        <f t="shared" si="11"/>
        <v>5.3397903621769167E-2</v>
      </c>
      <c r="AD43" s="6">
        <f t="shared" si="12"/>
        <v>-9.820347984388994E-3</v>
      </c>
      <c r="AE43" s="6">
        <f t="shared" si="13"/>
        <v>-2.0611417995232837E-2</v>
      </c>
      <c r="AF43" s="6">
        <f t="shared" si="14"/>
        <v>4.3485074307440155E-2</v>
      </c>
    </row>
    <row r="44" spans="3:32" x14ac:dyDescent="0.3">
      <c r="C44" s="6">
        <v>-1.2281549137357642E-2</v>
      </c>
      <c r="D44" s="6">
        <v>-7.2962423756317077E-2</v>
      </c>
      <c r="E44" s="6">
        <v>-2.4547472850429176E-2</v>
      </c>
      <c r="F44" s="6">
        <v>-2.1717714871879904E-2</v>
      </c>
      <c r="G44" s="6">
        <v>-8.4524426087893872E-2</v>
      </c>
      <c r="H44" s="6">
        <v>-6.9204885181335926E-2</v>
      </c>
      <c r="I44" s="6">
        <v>-5.1431341027813077E-2</v>
      </c>
      <c r="J44" s="6">
        <v>-6.4913826077236322E-2</v>
      </c>
      <c r="K44" s="6">
        <v>-0.16332693288330816</v>
      </c>
      <c r="L44" s="6">
        <v>-5.2236394111649549E-2</v>
      </c>
      <c r="M44" s="6">
        <v>-0.12749337037327241</v>
      </c>
      <c r="N44" s="6">
        <v>-7.912288544096914E-2</v>
      </c>
      <c r="O44" s="6">
        <v>-0.11126835463518972</v>
      </c>
      <c r="P44" s="6">
        <v>-5.7780712909296324E-2</v>
      </c>
      <c r="S44" s="6">
        <f t="shared" si="1"/>
        <v>-1.4069567125167576E-2</v>
      </c>
      <c r="T44" s="6">
        <f t="shared" si="2"/>
        <v>-8.2791900252761577E-2</v>
      </c>
      <c r="U44" s="6">
        <f t="shared" si="3"/>
        <v>-2.7106826996638904E-2</v>
      </c>
      <c r="V44" s="6">
        <f t="shared" si="4"/>
        <v>-2.442706320735101E-2</v>
      </c>
      <c r="W44" s="6">
        <f t="shared" si="5"/>
        <v>-8.538120390050466E-2</v>
      </c>
      <c r="X44" s="6">
        <f t="shared" si="6"/>
        <v>-7.0684524902565563E-2</v>
      </c>
      <c r="Y44" s="6">
        <f t="shared" si="7"/>
        <v>-5.5296928338009005E-2</v>
      </c>
      <c r="Z44" s="6">
        <f t="shared" si="8"/>
        <v>-5.6774944541406122E-2</v>
      </c>
      <c r="AA44" s="6">
        <f t="shared" si="9"/>
        <v>-0.1685956182258411</v>
      </c>
      <c r="AB44" s="6">
        <f t="shared" si="10"/>
        <v>-5.4490517482889994E-2</v>
      </c>
      <c r="AC44" s="6">
        <f t="shared" si="11"/>
        <v>-0.1316521241331178</v>
      </c>
      <c r="AD44" s="6">
        <f t="shared" si="12"/>
        <v>-9.1400237118410221E-2</v>
      </c>
      <c r="AE44" s="6">
        <f t="shared" si="13"/>
        <v>-0.10819728798686347</v>
      </c>
      <c r="AF44" s="6">
        <f t="shared" si="14"/>
        <v>-5.4253011584850769E-2</v>
      </c>
    </row>
    <row r="45" spans="3:32" x14ac:dyDescent="0.3">
      <c r="C45" s="6">
        <v>6.2264112667405953E-2</v>
      </c>
      <c r="D45" s="6">
        <v>0.10473699094159325</v>
      </c>
      <c r="E45" s="6">
        <v>5.7634713100968883E-2</v>
      </c>
      <c r="F45" s="6">
        <v>4.6242241124802956E-2</v>
      </c>
      <c r="G45" s="6">
        <v>4.5068781498540281E-2</v>
      </c>
      <c r="H45" s="6">
        <v>0.10991514161554809</v>
      </c>
      <c r="I45" s="6">
        <v>2.5315835751357131E-2</v>
      </c>
      <c r="J45" s="6">
        <v>-0.25260225846533485</v>
      </c>
      <c r="K45" s="6">
        <v>6.8435562270986294E-2</v>
      </c>
      <c r="L45" s="6">
        <v>4.2939581012512058E-2</v>
      </c>
      <c r="M45" s="6">
        <v>0.12571052090834217</v>
      </c>
      <c r="N45" s="6">
        <v>9.6154927335401319E-2</v>
      </c>
      <c r="O45" s="6">
        <v>1.7500195182680162E-2</v>
      </c>
      <c r="P45" s="6">
        <v>0.11351640359180919</v>
      </c>
      <c r="S45" s="6">
        <f t="shared" si="1"/>
        <v>6.0476094679596019E-2</v>
      </c>
      <c r="T45" s="6">
        <f t="shared" si="2"/>
        <v>9.490751444514875E-2</v>
      </c>
      <c r="U45" s="6">
        <f t="shared" si="3"/>
        <v>5.5075358954759158E-2</v>
      </c>
      <c r="V45" s="6">
        <f t="shared" si="4"/>
        <v>4.3532892789331847E-2</v>
      </c>
      <c r="W45" s="6">
        <f t="shared" si="5"/>
        <v>4.4212003685929493E-2</v>
      </c>
      <c r="X45" s="6">
        <f t="shared" si="6"/>
        <v>0.10843550189431846</v>
      </c>
      <c r="Y45" s="6">
        <f t="shared" si="7"/>
        <v>2.1450248441161203E-2</v>
      </c>
      <c r="Z45" s="6">
        <f t="shared" si="8"/>
        <v>-0.24446337692950465</v>
      </c>
      <c r="AA45" s="6">
        <f t="shared" si="9"/>
        <v>6.3166876928453339E-2</v>
      </c>
      <c r="AB45" s="6">
        <f t="shared" si="10"/>
        <v>4.0685457641271613E-2</v>
      </c>
      <c r="AC45" s="6">
        <f t="shared" si="11"/>
        <v>0.12155176714849678</v>
      </c>
      <c r="AD45" s="6">
        <f t="shared" si="12"/>
        <v>8.3877575657960238E-2</v>
      </c>
      <c r="AE45" s="6">
        <f t="shared" si="13"/>
        <v>2.057126183100642E-2</v>
      </c>
      <c r="AF45" s="6">
        <f t="shared" si="14"/>
        <v>0.11704410491625473</v>
      </c>
    </row>
    <row r="46" spans="3:32" x14ac:dyDescent="0.3">
      <c r="C46" s="6">
        <v>5.5920313410769175E-2</v>
      </c>
      <c r="D46" s="6">
        <v>0.10351438598472165</v>
      </c>
      <c r="E46" s="6">
        <v>-2.6152665227702435E-2</v>
      </c>
      <c r="F46" s="6">
        <v>-4.9042346661886393E-2</v>
      </c>
      <c r="G46" s="6">
        <v>6.3593754896924801E-2</v>
      </c>
      <c r="H46" s="6">
        <v>-0.143107290449664</v>
      </c>
      <c r="I46" s="6">
        <v>-0.27047335628325014</v>
      </c>
      <c r="J46" s="6">
        <v>0.26157092844809521</v>
      </c>
      <c r="K46" s="6">
        <v>4.5824812652716998E-2</v>
      </c>
      <c r="L46" s="6">
        <v>8.2242062644521066E-2</v>
      </c>
      <c r="M46" s="6">
        <v>-1.8732536236335327E-2</v>
      </c>
      <c r="N46" s="6">
        <v>4.1352613668760842E-2</v>
      </c>
      <c r="O46" s="6">
        <v>8.4099197871135359E-2</v>
      </c>
      <c r="P46" s="6">
        <v>3.9111468437885565E-2</v>
      </c>
      <c r="S46" s="6">
        <f t="shared" si="1"/>
        <v>5.4132295422959241E-2</v>
      </c>
      <c r="T46" s="6">
        <f t="shared" si="2"/>
        <v>9.3684909488277152E-2</v>
      </c>
      <c r="U46" s="6">
        <f t="shared" si="3"/>
        <v>-2.8712019373912163E-2</v>
      </c>
      <c r="V46" s="6">
        <f t="shared" si="4"/>
        <v>-5.1751694997357503E-2</v>
      </c>
      <c r="W46" s="6">
        <f t="shared" si="5"/>
        <v>6.2736977084314013E-2</v>
      </c>
      <c r="X46" s="6">
        <f t="shared" si="6"/>
        <v>-0.14458693017089363</v>
      </c>
      <c r="Y46" s="6">
        <f t="shared" si="7"/>
        <v>-0.27433894359344607</v>
      </c>
      <c r="Z46" s="6">
        <f t="shared" si="8"/>
        <v>0.26970980998392541</v>
      </c>
      <c r="AA46" s="6">
        <f t="shared" si="9"/>
        <v>4.0556127310184042E-2</v>
      </c>
      <c r="AB46" s="6">
        <f t="shared" si="10"/>
        <v>7.9987939273280614E-2</v>
      </c>
      <c r="AC46" s="6">
        <f t="shared" si="11"/>
        <v>-2.289128999618072E-2</v>
      </c>
      <c r="AD46" s="6">
        <f t="shared" si="12"/>
        <v>2.9075261991319764E-2</v>
      </c>
      <c r="AE46" s="6">
        <f t="shared" si="13"/>
        <v>8.717026451946161E-2</v>
      </c>
      <c r="AF46" s="6">
        <f t="shared" si="14"/>
        <v>4.2639169762331119E-2</v>
      </c>
    </row>
    <row r="47" spans="3:32" x14ac:dyDescent="0.3">
      <c r="C47" s="6">
        <v>-0.11818442607817516</v>
      </c>
      <c r="D47" s="6">
        <v>2.3580942588906879E-2</v>
      </c>
      <c r="E47" s="6">
        <v>-6.3354953659650548E-2</v>
      </c>
      <c r="F47" s="6">
        <v>-0.10629562923835821</v>
      </c>
      <c r="G47" s="6">
        <v>-9.6636982951213632E-2</v>
      </c>
      <c r="H47" s="6">
        <v>-0.12806196705502559</v>
      </c>
      <c r="I47" s="6">
        <v>-8.8588866907161223E-2</v>
      </c>
      <c r="J47" s="6">
        <v>-9.7892877177163926E-2</v>
      </c>
      <c r="K47" s="6">
        <v>-0.24914315880533267</v>
      </c>
      <c r="L47" s="6">
        <v>-0.20315593581050065</v>
      </c>
      <c r="M47" s="6">
        <v>3.1850965812354221E-2</v>
      </c>
      <c r="N47" s="6">
        <v>-8.5749547169207768E-2</v>
      </c>
      <c r="O47" s="6">
        <v>-9.5328511778037181E-2</v>
      </c>
      <c r="P47" s="6">
        <v>-8.3552004955294717E-2</v>
      </c>
      <c r="S47" s="6">
        <f t="shared" si="1"/>
        <v>-0.11997244406598509</v>
      </c>
      <c r="T47" s="6">
        <f t="shared" si="2"/>
        <v>1.3751466092462382E-2</v>
      </c>
      <c r="U47" s="6">
        <f t="shared" si="3"/>
        <v>-6.5914307805860273E-2</v>
      </c>
      <c r="V47" s="6">
        <f t="shared" si="4"/>
        <v>-0.10900497757382932</v>
      </c>
      <c r="W47" s="6">
        <f t="shared" si="5"/>
        <v>-9.7493760763824419E-2</v>
      </c>
      <c r="X47" s="6">
        <f t="shared" si="6"/>
        <v>-0.12954160677625523</v>
      </c>
      <c r="Y47" s="6">
        <f t="shared" si="7"/>
        <v>-9.2454454217357152E-2</v>
      </c>
      <c r="Z47" s="6">
        <f t="shared" si="8"/>
        <v>-8.9753995641333725E-2</v>
      </c>
      <c r="AA47" s="6">
        <f t="shared" si="9"/>
        <v>-0.25441184414786561</v>
      </c>
      <c r="AB47" s="6">
        <f t="shared" si="10"/>
        <v>-0.2054100591817411</v>
      </c>
      <c r="AC47" s="6">
        <f t="shared" si="11"/>
        <v>2.7692212052508828E-2</v>
      </c>
      <c r="AD47" s="6">
        <f t="shared" si="12"/>
        <v>-9.8026898846648849E-2</v>
      </c>
      <c r="AE47" s="6">
        <f t="shared" si="13"/>
        <v>-9.225744512971093E-2</v>
      </c>
      <c r="AF47" s="6">
        <f t="shared" si="14"/>
        <v>-8.002430363084917E-2</v>
      </c>
    </row>
    <row r="48" spans="3:32" x14ac:dyDescent="0.3">
      <c r="C48" s="6">
        <v>7.8629767354917654E-2</v>
      </c>
      <c r="D48" s="6">
        <v>0.14258281871679993</v>
      </c>
      <c r="E48" s="6">
        <v>0.10990772948513354</v>
      </c>
      <c r="F48" s="6">
        <v>0.10754108866245456</v>
      </c>
      <c r="G48" s="6">
        <v>-5.7025164614085334E-2</v>
      </c>
      <c r="H48" s="6">
        <v>0.10239944222492851</v>
      </c>
      <c r="I48" s="6">
        <v>0.21901564681803126</v>
      </c>
      <c r="J48" s="6">
        <v>0.23661908667879053</v>
      </c>
      <c r="K48" s="6">
        <v>0.11509659705860678</v>
      </c>
      <c r="L48" s="6">
        <v>-2.3392879574705462E-2</v>
      </c>
      <c r="M48" s="6">
        <v>2.6417942311621426E-2</v>
      </c>
      <c r="N48" s="6">
        <v>5.8768438338100214E-2</v>
      </c>
      <c r="O48" s="6">
        <v>0.21199064244112314</v>
      </c>
      <c r="P48" s="6">
        <v>0.13120490844217911</v>
      </c>
      <c r="S48" s="6">
        <f t="shared" si="1"/>
        <v>7.684174936710772E-2</v>
      </c>
      <c r="T48" s="6">
        <f t="shared" si="2"/>
        <v>0.13275334222035542</v>
      </c>
      <c r="U48" s="6">
        <f t="shared" si="3"/>
        <v>0.10734837533892382</v>
      </c>
      <c r="V48" s="6">
        <f t="shared" si="4"/>
        <v>0.10483174032698345</v>
      </c>
      <c r="W48" s="6">
        <f t="shared" si="5"/>
        <v>-5.7881942426696122E-2</v>
      </c>
      <c r="X48" s="6">
        <f t="shared" si="6"/>
        <v>0.10091980250369888</v>
      </c>
      <c r="Y48" s="6">
        <f t="shared" si="7"/>
        <v>0.21515005950783533</v>
      </c>
      <c r="Z48" s="6">
        <f t="shared" si="8"/>
        <v>0.24475796821462073</v>
      </c>
      <c r="AA48" s="6">
        <f t="shared" si="9"/>
        <v>0.10982791171607383</v>
      </c>
      <c r="AB48" s="6">
        <f t="shared" si="10"/>
        <v>-2.5647002945945907E-2</v>
      </c>
      <c r="AC48" s="6">
        <f t="shared" si="11"/>
        <v>2.2259188551776034E-2</v>
      </c>
      <c r="AD48" s="6">
        <f t="shared" si="12"/>
        <v>4.6491086660659139E-2</v>
      </c>
      <c r="AE48" s="6">
        <f t="shared" si="13"/>
        <v>0.21506170908944941</v>
      </c>
      <c r="AF48" s="6">
        <f t="shared" si="14"/>
        <v>0.13473260976662466</v>
      </c>
    </row>
    <row r="49" spans="3:32" x14ac:dyDescent="0.3">
      <c r="C49" s="6">
        <v>1.0565233331160884E-2</v>
      </c>
      <c r="D49" s="6">
        <v>-5.7987257650349282E-2</v>
      </c>
      <c r="E49" s="6">
        <v>-2.412420146617025E-2</v>
      </c>
      <c r="F49" s="6">
        <v>1.0524240760960951E-2</v>
      </c>
      <c r="G49" s="6">
        <v>-8.3949736552239945E-2</v>
      </c>
      <c r="H49" s="6">
        <v>-6.8256108393790413E-2</v>
      </c>
      <c r="I49" s="6">
        <v>-8.6195939547612441E-3</v>
      </c>
      <c r="J49" s="6">
        <v>-9.6001264835285413E-2</v>
      </c>
      <c r="K49" s="6">
        <v>-2.9281451103796999E-2</v>
      </c>
      <c r="L49" s="6">
        <v>-0.23866541334575225</v>
      </c>
      <c r="M49" s="6">
        <v>-6.5393452789857262E-3</v>
      </c>
      <c r="N49" s="6">
        <v>-0.12929373902474633</v>
      </c>
      <c r="O49" s="6">
        <v>-9.6697765220611909E-2</v>
      </c>
      <c r="P49" s="6">
        <v>-7.8647244587141049E-2</v>
      </c>
      <c r="S49" s="6">
        <f t="shared" si="1"/>
        <v>8.7772153433509498E-3</v>
      </c>
      <c r="T49" s="6">
        <f t="shared" si="2"/>
        <v>-6.7816734146793775E-2</v>
      </c>
      <c r="U49" s="6">
        <f t="shared" si="3"/>
        <v>-2.6683555612379978E-2</v>
      </c>
      <c r="V49" s="6">
        <f t="shared" si="4"/>
        <v>7.8148924254898451E-3</v>
      </c>
      <c r="W49" s="6">
        <f t="shared" si="5"/>
        <v>-8.4806514364850732E-2</v>
      </c>
      <c r="X49" s="6">
        <f t="shared" si="6"/>
        <v>-6.9735748115020049E-2</v>
      </c>
      <c r="Y49" s="6">
        <f t="shared" si="7"/>
        <v>-1.2485181264957174E-2</v>
      </c>
      <c r="Z49" s="6">
        <f t="shared" si="8"/>
        <v>-8.7862383299455213E-2</v>
      </c>
      <c r="AA49" s="6">
        <f t="shared" si="9"/>
        <v>-3.4550136446329954E-2</v>
      </c>
      <c r="AB49" s="6">
        <f t="shared" si="10"/>
        <v>-0.2409195367169927</v>
      </c>
      <c r="AC49" s="6">
        <f t="shared" si="11"/>
        <v>-1.069809903883112E-2</v>
      </c>
      <c r="AD49" s="6">
        <f t="shared" si="12"/>
        <v>-0.1415710907021874</v>
      </c>
      <c r="AE49" s="6">
        <f t="shared" si="13"/>
        <v>-9.3626698572285658E-2</v>
      </c>
      <c r="AF49" s="6">
        <f t="shared" si="14"/>
        <v>-7.5119543262695501E-2</v>
      </c>
    </row>
    <row r="50" spans="3:32" x14ac:dyDescent="0.3">
      <c r="C50" s="6">
        <v>-2.1243283817862266E-2</v>
      </c>
      <c r="D50" s="6">
        <v>5.4306271898921975E-2</v>
      </c>
      <c r="E50" s="6">
        <v>2.5660796996978985E-2</v>
      </c>
      <c r="F50" s="6">
        <v>3.0786597811011633E-4</v>
      </c>
      <c r="G50" s="6">
        <v>1.4708982997557749E-2</v>
      </c>
      <c r="H50" s="6">
        <v>-7.7846300882388883E-3</v>
      </c>
      <c r="I50" s="6">
        <v>-5.7281101757108216E-3</v>
      </c>
      <c r="J50" s="6">
        <v>-3.2853196187187114E-2</v>
      </c>
      <c r="K50" s="6">
        <v>7.597513609450845E-3</v>
      </c>
      <c r="L50" s="6">
        <v>-2.1890532364955126E-2</v>
      </c>
      <c r="M50" s="6">
        <v>-1.6011480242910804E-2</v>
      </c>
      <c r="N50" s="6">
        <v>-1.4996872751515691E-2</v>
      </c>
      <c r="O50" s="6">
        <v>7.6971650047807484E-3</v>
      </c>
      <c r="P50" s="6">
        <v>-7.9512062927733634E-2</v>
      </c>
      <c r="S50" s="6">
        <f t="shared" si="1"/>
        <v>-2.30313018056722E-2</v>
      </c>
      <c r="T50" s="6">
        <f t="shared" si="2"/>
        <v>4.4476795402477481E-2</v>
      </c>
      <c r="U50" s="6">
        <f t="shared" si="3"/>
        <v>2.3101442850769257E-2</v>
      </c>
      <c r="V50" s="6">
        <f t="shared" si="4"/>
        <v>-2.4014823573609901E-3</v>
      </c>
      <c r="W50" s="6">
        <f t="shared" si="5"/>
        <v>1.385220518494696E-2</v>
      </c>
      <c r="X50" s="6">
        <f t="shared" si="6"/>
        <v>-9.2642698094685203E-3</v>
      </c>
      <c r="Y50" s="6">
        <f t="shared" si="7"/>
        <v>-9.5936974859067506E-3</v>
      </c>
      <c r="Z50" s="6">
        <f t="shared" si="8"/>
        <v>-2.4714314651356917E-2</v>
      </c>
      <c r="AA50" s="6">
        <f t="shared" si="9"/>
        <v>2.3288282669178912E-3</v>
      </c>
      <c r="AB50" s="6">
        <f t="shared" si="10"/>
        <v>-2.4144655736195571E-2</v>
      </c>
      <c r="AC50" s="6">
        <f t="shared" si="11"/>
        <v>-2.0170234002756197E-2</v>
      </c>
      <c r="AD50" s="6">
        <f t="shared" si="12"/>
        <v>-2.7274224428956769E-2</v>
      </c>
      <c r="AE50" s="6">
        <f t="shared" si="13"/>
        <v>1.0768231653107006E-2</v>
      </c>
      <c r="AF50" s="6">
        <f t="shared" si="14"/>
        <v>-7.5984361603288086E-2</v>
      </c>
    </row>
    <row r="51" spans="3:32" x14ac:dyDescent="0.3">
      <c r="C51" s="6">
        <v>-2.0275757148998643E-3</v>
      </c>
      <c r="D51" s="6">
        <v>3.680656793686464E-2</v>
      </c>
      <c r="E51" s="6">
        <v>2.9971796303320166E-2</v>
      </c>
      <c r="F51" s="6">
        <v>3.0118496874024226E-2</v>
      </c>
      <c r="G51" s="6">
        <v>6.3560519260914577E-2</v>
      </c>
      <c r="H51" s="6">
        <v>7.6783996743714535E-3</v>
      </c>
      <c r="I51" s="6">
        <v>0.10294309105850585</v>
      </c>
      <c r="J51" s="6">
        <v>3.0950246041101061E-2</v>
      </c>
      <c r="K51" s="6">
        <v>-0.12171793610108074</v>
      </c>
      <c r="L51" s="6">
        <v>7.3769161376298117E-2</v>
      </c>
      <c r="M51" s="6">
        <v>8.7336799687546315E-3</v>
      </c>
      <c r="N51" s="6">
        <v>5.0881121543905367E-2</v>
      </c>
      <c r="O51" s="6">
        <v>7.9658567183149315E-2</v>
      </c>
      <c r="P51" s="6">
        <v>-1.4561742844532577E-2</v>
      </c>
      <c r="S51" s="6">
        <f t="shared" si="1"/>
        <v>-3.8155937027097983E-3</v>
      </c>
      <c r="T51" s="6">
        <f t="shared" si="2"/>
        <v>2.6977091440420143E-2</v>
      </c>
      <c r="U51" s="6">
        <f t="shared" si="3"/>
        <v>2.7412442157110438E-2</v>
      </c>
      <c r="V51" s="6">
        <f t="shared" si="4"/>
        <v>2.740914853855312E-2</v>
      </c>
      <c r="W51" s="6">
        <f t="shared" si="5"/>
        <v>6.270374144830379E-2</v>
      </c>
      <c r="X51" s="6">
        <f t="shared" si="6"/>
        <v>6.1987599531418214E-3</v>
      </c>
      <c r="Y51" s="6">
        <f t="shared" si="7"/>
        <v>9.9077503748309925E-2</v>
      </c>
      <c r="Z51" s="6">
        <f t="shared" si="8"/>
        <v>3.9089127576931254E-2</v>
      </c>
      <c r="AA51" s="6">
        <f t="shared" si="9"/>
        <v>-0.1269866214436137</v>
      </c>
      <c r="AB51" s="6">
        <f t="shared" si="10"/>
        <v>7.1515038005057666E-2</v>
      </c>
      <c r="AC51" s="6">
        <f t="shared" si="11"/>
        <v>4.574926208909238E-3</v>
      </c>
      <c r="AD51" s="6">
        <f t="shared" si="12"/>
        <v>3.8603769866464285E-2</v>
      </c>
      <c r="AE51" s="6">
        <f t="shared" si="13"/>
        <v>8.2729633831475566E-2</v>
      </c>
      <c r="AF51" s="6">
        <f t="shared" si="14"/>
        <v>-1.1034041520087025E-2</v>
      </c>
    </row>
    <row r="52" spans="3:32" x14ac:dyDescent="0.3">
      <c r="C52" s="6">
        <v>-3.8974481377585586E-2</v>
      </c>
      <c r="D52" s="6">
        <v>7.0838548884050419E-3</v>
      </c>
      <c r="E52" s="6">
        <v>-3.8370944906994185E-2</v>
      </c>
      <c r="F52" s="6">
        <v>-7.8790670877543018E-2</v>
      </c>
      <c r="G52" s="6">
        <v>-8.4616255552753511E-2</v>
      </c>
      <c r="H52" s="6">
        <v>-5.5029710826576372E-2</v>
      </c>
      <c r="I52" s="6">
        <v>-6.3432430784024926E-2</v>
      </c>
      <c r="J52" s="6">
        <v>-0.10536051565782641</v>
      </c>
      <c r="K52" s="6">
        <v>-7.4654026921689667E-2</v>
      </c>
      <c r="L52" s="6">
        <v>-0.16944074342525048</v>
      </c>
      <c r="M52" s="6">
        <v>-7.9608019555411635E-2</v>
      </c>
      <c r="N52" s="6">
        <v>-7.4509739937350397E-2</v>
      </c>
      <c r="O52" s="6">
        <v>-0.16020663315160077</v>
      </c>
      <c r="P52" s="6">
        <v>-2.9359656415009736E-2</v>
      </c>
      <c r="S52" s="6">
        <f t="shared" si="1"/>
        <v>-4.076249936539552E-2</v>
      </c>
      <c r="T52" s="6">
        <f t="shared" si="2"/>
        <v>-2.7456216080394549E-3</v>
      </c>
      <c r="U52" s="6">
        <f t="shared" si="3"/>
        <v>-4.093029905320391E-2</v>
      </c>
      <c r="V52" s="6">
        <f t="shared" si="4"/>
        <v>-8.1500019213014127E-2</v>
      </c>
      <c r="W52" s="6">
        <f t="shared" si="5"/>
        <v>-8.5473033365364298E-2</v>
      </c>
      <c r="X52" s="6">
        <f t="shared" si="6"/>
        <v>-5.6509350547806002E-2</v>
      </c>
      <c r="Y52" s="6">
        <f t="shared" si="7"/>
        <v>-6.7298018094220854E-2</v>
      </c>
      <c r="Z52" s="6">
        <f t="shared" si="8"/>
        <v>-9.7221634121996206E-2</v>
      </c>
      <c r="AA52" s="6">
        <f t="shared" si="9"/>
        <v>-7.9922712264222623E-2</v>
      </c>
      <c r="AB52" s="6">
        <f t="shared" si="10"/>
        <v>-0.17169486679649093</v>
      </c>
      <c r="AC52" s="6">
        <f t="shared" si="11"/>
        <v>-8.3766773315257032E-2</v>
      </c>
      <c r="AD52" s="6">
        <f t="shared" si="12"/>
        <v>-8.6787091614791478E-2</v>
      </c>
      <c r="AE52" s="6">
        <f t="shared" si="13"/>
        <v>-0.15713556650327451</v>
      </c>
      <c r="AF52" s="6">
        <f t="shared" si="14"/>
        <v>-2.5831955090564185E-2</v>
      </c>
    </row>
    <row r="53" spans="3:32" x14ac:dyDescent="0.3">
      <c r="C53" s="6">
        <v>-5.5314638125905792E-2</v>
      </c>
      <c r="D53" s="6">
        <v>-2.5619512617744512E-2</v>
      </c>
      <c r="E53" s="6">
        <v>-2.9789253018084071E-3</v>
      </c>
      <c r="F53" s="6">
        <v>-2.8075469012986014E-2</v>
      </c>
      <c r="G53" s="6">
        <v>-0.17549764337010959</v>
      </c>
      <c r="H53" s="6">
        <v>-1.39024561849189E-2</v>
      </c>
      <c r="I53" s="6">
        <v>3.0002675334629404E-2</v>
      </c>
      <c r="J53" s="6">
        <v>-0.10948423284168815</v>
      </c>
      <c r="K53" s="6">
        <v>-3.1602947783173733E-2</v>
      </c>
      <c r="L53" s="6">
        <v>-9.4813285384163185E-2</v>
      </c>
      <c r="M53" s="6">
        <v>-2.2087722013290813E-2</v>
      </c>
      <c r="N53" s="6">
        <v>-2.9980832211935784E-2</v>
      </c>
      <c r="O53" s="6">
        <v>-0.12085597805540918</v>
      </c>
      <c r="P53" s="6">
        <v>-3.2392636375682293E-2</v>
      </c>
      <c r="S53" s="6">
        <f t="shared" si="1"/>
        <v>-5.7102656113715726E-2</v>
      </c>
      <c r="T53" s="6">
        <f t="shared" si="2"/>
        <v>-3.5448989114189006E-2</v>
      </c>
      <c r="U53" s="6">
        <f t="shared" si="3"/>
        <v>-5.538279448018134E-3</v>
      </c>
      <c r="V53" s="6">
        <f t="shared" si="4"/>
        <v>-3.078481734845712E-2</v>
      </c>
      <c r="W53" s="6">
        <f t="shared" si="5"/>
        <v>-0.17635442118272038</v>
      </c>
      <c r="X53" s="6">
        <f t="shared" si="6"/>
        <v>-1.5382095906148533E-2</v>
      </c>
      <c r="Y53" s="6">
        <f t="shared" si="7"/>
        <v>2.6137088024433475E-2</v>
      </c>
      <c r="Z53" s="6">
        <f t="shared" si="8"/>
        <v>-0.10134535130585795</v>
      </c>
      <c r="AA53" s="6">
        <f t="shared" si="9"/>
        <v>-3.6871633125706689E-2</v>
      </c>
      <c r="AB53" s="6">
        <f t="shared" si="10"/>
        <v>-9.7067408755403636E-2</v>
      </c>
      <c r="AC53" s="6">
        <f t="shared" si="11"/>
        <v>-2.6246475773136206E-2</v>
      </c>
      <c r="AD53" s="6">
        <f t="shared" si="12"/>
        <v>-4.2258183889376862E-2</v>
      </c>
      <c r="AE53" s="6">
        <f t="shared" si="13"/>
        <v>-0.11778491140708293</v>
      </c>
      <c r="AF53" s="6">
        <f t="shared" si="14"/>
        <v>-2.8864935051236742E-2</v>
      </c>
    </row>
    <row r="54" spans="3:32" x14ac:dyDescent="0.3">
      <c r="C54" s="6">
        <v>-1.9897792035336447E-2</v>
      </c>
      <c r="D54" s="6">
        <v>-8.564072516726999E-2</v>
      </c>
      <c r="E54" s="6">
        <v>-2.4658897028133189E-2</v>
      </c>
      <c r="F54" s="6">
        <v>-1.1477088486795095E-2</v>
      </c>
      <c r="G54" s="6">
        <v>-0.1987643285077853</v>
      </c>
      <c r="H54" s="6">
        <v>-3.0156522384007286E-2</v>
      </c>
      <c r="I54" s="6">
        <v>-1.1706875605596892E-2</v>
      </c>
      <c r="J54" s="6">
        <v>1.2903404835907782E-2</v>
      </c>
      <c r="K54" s="6">
        <v>-8.914982163774679E-2</v>
      </c>
      <c r="L54" s="6">
        <v>-3.0797273748915419E-2</v>
      </c>
      <c r="M54" s="6">
        <v>-5.2570887009337937E-2</v>
      </c>
      <c r="N54" s="6">
        <v>-9.2560340890864637E-2</v>
      </c>
      <c r="O54" s="6">
        <v>-0.10330277723277349</v>
      </c>
      <c r="P54" s="6">
        <v>-5.850655445295732E-2</v>
      </c>
      <c r="S54" s="6">
        <f t="shared" si="1"/>
        <v>-2.168581002314638E-2</v>
      </c>
      <c r="T54" s="6">
        <f t="shared" si="2"/>
        <v>-9.5470201663714491E-2</v>
      </c>
      <c r="U54" s="6">
        <f t="shared" si="3"/>
        <v>-2.7218251174342917E-2</v>
      </c>
      <c r="V54" s="6">
        <f t="shared" si="4"/>
        <v>-1.4186436822266201E-2</v>
      </c>
      <c r="W54" s="6">
        <f t="shared" si="5"/>
        <v>-0.19962110632039609</v>
      </c>
      <c r="X54" s="6">
        <f t="shared" si="6"/>
        <v>-3.1636162105236919E-2</v>
      </c>
      <c r="Y54" s="6">
        <f t="shared" si="7"/>
        <v>-1.5572462915792822E-2</v>
      </c>
      <c r="Z54" s="6">
        <f t="shared" si="8"/>
        <v>2.1042286371737981E-2</v>
      </c>
      <c r="AA54" s="6">
        <f t="shared" si="9"/>
        <v>-9.4418506980279746E-2</v>
      </c>
      <c r="AB54" s="6">
        <f t="shared" si="10"/>
        <v>-3.3051397120155868E-2</v>
      </c>
      <c r="AC54" s="6">
        <f t="shared" si="11"/>
        <v>-5.6729640769183333E-2</v>
      </c>
      <c r="AD54" s="6">
        <f t="shared" si="12"/>
        <v>-0.10483769256830572</v>
      </c>
      <c r="AE54" s="6">
        <f t="shared" si="13"/>
        <v>-0.10023171058444724</v>
      </c>
      <c r="AF54" s="6">
        <f t="shared" si="14"/>
        <v>-5.4978853128511765E-2</v>
      </c>
    </row>
    <row r="55" spans="3:32" x14ac:dyDescent="0.3">
      <c r="C55" s="6">
        <v>-1.474490979050863E-2</v>
      </c>
      <c r="D55" s="6">
        <v>-4.0246880508593465E-2</v>
      </c>
      <c r="E55" s="6">
        <v>4.5554357328271037E-3</v>
      </c>
      <c r="F55" s="6">
        <v>-1.1270264678046734E-2</v>
      </c>
      <c r="G55" s="6">
        <v>2.4357569235037939E-4</v>
      </c>
      <c r="H55" s="6">
        <v>-1.4771317320312543E-2</v>
      </c>
      <c r="I55" s="6">
        <v>1.9297519717467102E-2</v>
      </c>
      <c r="J55" s="6">
        <v>4.2219618786893023E-2</v>
      </c>
      <c r="K55" s="6">
        <v>3.1843678606241321E-2</v>
      </c>
      <c r="L55" s="6">
        <v>-2.8216723010330868E-3</v>
      </c>
      <c r="M55" s="6">
        <v>3.6459428680057858E-3</v>
      </c>
      <c r="N55" s="6">
        <v>2.0457046989520583E-2</v>
      </c>
      <c r="O55" s="6">
        <v>-1.5844329021151019E-2</v>
      </c>
      <c r="P55" s="6">
        <v>2.7690162463897036E-2</v>
      </c>
      <c r="S55" s="6">
        <f t="shared" si="1"/>
        <v>-1.6532927778318562E-2</v>
      </c>
      <c r="T55" s="6">
        <f t="shared" si="2"/>
        <v>-5.0076357005037958E-2</v>
      </c>
      <c r="U55" s="6">
        <f t="shared" si="3"/>
        <v>1.9960815866173769E-3</v>
      </c>
      <c r="V55" s="6">
        <f t="shared" si="4"/>
        <v>-1.397961301351784E-2</v>
      </c>
      <c r="W55" s="6">
        <f t="shared" si="5"/>
        <v>-6.1320212026041011E-4</v>
      </c>
      <c r="X55" s="6">
        <f t="shared" si="6"/>
        <v>-1.6250957041542176E-2</v>
      </c>
      <c r="Y55" s="6">
        <f t="shared" si="7"/>
        <v>1.5431932407271172E-2</v>
      </c>
      <c r="Z55" s="6">
        <f t="shared" si="8"/>
        <v>5.0358500322723224E-2</v>
      </c>
      <c r="AA55" s="6">
        <f t="shared" si="9"/>
        <v>2.6574993263708366E-2</v>
      </c>
      <c r="AB55" s="6">
        <f t="shared" si="10"/>
        <v>-5.075795672273533E-3</v>
      </c>
      <c r="AC55" s="6">
        <f t="shared" si="11"/>
        <v>-5.1281089183960763E-4</v>
      </c>
      <c r="AD55" s="6">
        <f t="shared" si="12"/>
        <v>8.1796953120795053E-3</v>
      </c>
      <c r="AE55" s="6">
        <f t="shared" si="13"/>
        <v>-1.2773262372824761E-2</v>
      </c>
      <c r="AF55" s="6">
        <f t="shared" si="14"/>
        <v>3.1217863788342588E-2</v>
      </c>
    </row>
    <row r="56" spans="3:32" x14ac:dyDescent="0.3">
      <c r="C56" s="6">
        <v>-2.3887508950750916E-3</v>
      </c>
      <c r="D56" s="6">
        <v>1.6966813527005006E-2</v>
      </c>
      <c r="E56" s="6">
        <v>-6.4099399263079671E-2</v>
      </c>
      <c r="F56" s="6">
        <v>-1.0138493176598472E-2</v>
      </c>
      <c r="G56" s="6">
        <v>-8.5728049011752461E-2</v>
      </c>
      <c r="H56" s="6">
        <v>2.4460297570160671E-2</v>
      </c>
      <c r="I56" s="6">
        <v>7.7367214984117111E-2</v>
      </c>
      <c r="J56" s="6">
        <v>2.9721505281738586E-2</v>
      </c>
      <c r="K56" s="6">
        <v>-0.10579327673297252</v>
      </c>
      <c r="L56" s="6">
        <v>-6.207382059259043E-2</v>
      </c>
      <c r="M56" s="6">
        <v>6.5346928618945505E-2</v>
      </c>
      <c r="N56" s="6">
        <v>-3.1201273362435225E-3</v>
      </c>
      <c r="O56" s="6">
        <v>6.8829057906439312E-2</v>
      </c>
      <c r="P56" s="6">
        <v>2.5793779722769132E-2</v>
      </c>
      <c r="S56" s="6">
        <f t="shared" si="1"/>
        <v>-4.1767688828850255E-3</v>
      </c>
      <c r="T56" s="6">
        <f t="shared" si="2"/>
        <v>7.1373370305605095E-3</v>
      </c>
      <c r="U56" s="6">
        <f t="shared" si="3"/>
        <v>-6.6658753409289395E-2</v>
      </c>
      <c r="V56" s="6">
        <f t="shared" si="4"/>
        <v>-1.2847841512069578E-2</v>
      </c>
      <c r="W56" s="6">
        <f t="shared" si="5"/>
        <v>-8.6584826824363248E-2</v>
      </c>
      <c r="X56" s="6">
        <f t="shared" si="6"/>
        <v>2.2980657848931038E-2</v>
      </c>
      <c r="Y56" s="6">
        <f t="shared" si="7"/>
        <v>7.3501627673921183E-2</v>
      </c>
      <c r="Z56" s="6">
        <f t="shared" si="8"/>
        <v>3.7860386817568786E-2</v>
      </c>
      <c r="AA56" s="6">
        <f t="shared" si="9"/>
        <v>-0.11106196207550548</v>
      </c>
      <c r="AB56" s="6">
        <f t="shared" si="10"/>
        <v>-6.4327943963830875E-2</v>
      </c>
      <c r="AC56" s="6">
        <f t="shared" si="11"/>
        <v>6.1188174859100108E-2</v>
      </c>
      <c r="AD56" s="6">
        <f t="shared" si="12"/>
        <v>-1.5397479013684601E-2</v>
      </c>
      <c r="AE56" s="6">
        <f t="shared" si="13"/>
        <v>7.1900124554765563E-2</v>
      </c>
      <c r="AF56" s="6">
        <f t="shared" si="14"/>
        <v>2.9321481047214683E-2</v>
      </c>
    </row>
    <row r="57" spans="3:32" x14ac:dyDescent="0.3">
      <c r="C57" s="6">
        <v>3.8888325538782118E-2</v>
      </c>
      <c r="D57" s="6">
        <v>0.12864058263941455</v>
      </c>
      <c r="E57" s="6">
        <v>6.1636189584282457E-2</v>
      </c>
      <c r="F57" s="6">
        <v>5.3283526895069606E-2</v>
      </c>
      <c r="G57" s="6">
        <v>7.9375718831081049E-2</v>
      </c>
      <c r="H57" s="6">
        <v>0.13091412297681432</v>
      </c>
      <c r="I57" s="6">
        <v>5.2146644993436325E-2</v>
      </c>
      <c r="J57" s="6">
        <v>6.1007348108023766E-2</v>
      </c>
      <c r="K57" s="6">
        <v>4.9533935122276627E-2</v>
      </c>
      <c r="L57" s="6">
        <v>0.40726745164202471</v>
      </c>
      <c r="M57" s="6">
        <v>0.10899028370840508</v>
      </c>
      <c r="N57" s="6">
        <v>8.3881483980702026E-2</v>
      </c>
      <c r="O57" s="6">
        <v>0.1532328275370293</v>
      </c>
      <c r="P57" s="6">
        <v>-2.8776978615869891E-4</v>
      </c>
      <c r="S57" s="6">
        <f t="shared" si="1"/>
        <v>3.7100307550972184E-2</v>
      </c>
      <c r="T57" s="6">
        <f t="shared" si="2"/>
        <v>0.11881110614297005</v>
      </c>
      <c r="U57" s="6">
        <f t="shared" si="3"/>
        <v>5.9076835438072732E-2</v>
      </c>
      <c r="V57" s="6">
        <f t="shared" si="4"/>
        <v>5.0574178559598497E-2</v>
      </c>
      <c r="W57" s="6">
        <f t="shared" si="5"/>
        <v>7.8518941018470262E-2</v>
      </c>
      <c r="X57" s="6">
        <f t="shared" si="6"/>
        <v>0.12943448325558468</v>
      </c>
      <c r="Y57" s="6">
        <f t="shared" si="7"/>
        <v>4.8281057683240397E-2</v>
      </c>
      <c r="Z57" s="6">
        <f t="shared" si="8"/>
        <v>6.914622964385396E-2</v>
      </c>
      <c r="AA57" s="6">
        <f t="shared" si="9"/>
        <v>4.4265249779743672E-2</v>
      </c>
      <c r="AB57" s="6">
        <f t="shared" si="10"/>
        <v>0.40501332827078429</v>
      </c>
      <c r="AC57" s="6">
        <f t="shared" si="11"/>
        <v>0.10483152994855968</v>
      </c>
      <c r="AD57" s="6">
        <f t="shared" si="12"/>
        <v>7.1604132303260945E-2</v>
      </c>
      <c r="AE57" s="6">
        <f t="shared" si="13"/>
        <v>0.15630389418535556</v>
      </c>
      <c r="AF57" s="6">
        <f t="shared" si="14"/>
        <v>3.2399315382868532E-3</v>
      </c>
    </row>
    <row r="58" spans="3:32" x14ac:dyDescent="0.3">
      <c r="C58" s="6">
        <v>2.2815793645185652E-2</v>
      </c>
      <c r="D58" s="6">
        <v>5.4129505222835508E-2</v>
      </c>
      <c r="E58" s="6">
        <v>4.1297378538543896E-3</v>
      </c>
      <c r="F58" s="6">
        <v>6.2079464528916953E-2</v>
      </c>
      <c r="G58" s="6">
        <v>8.6207677203143568E-2</v>
      </c>
      <c r="H58" s="6">
        <v>-8.9062368917329719E-3</v>
      </c>
      <c r="I58" s="6">
        <v>1.7297337361659271E-2</v>
      </c>
      <c r="J58" s="6">
        <v>1.9202206983935818E-2</v>
      </c>
      <c r="K58" s="6">
        <v>3.8242562938911366E-2</v>
      </c>
      <c r="L58" s="6">
        <v>9.8615127518294807E-2</v>
      </c>
      <c r="M58" s="6">
        <v>3.0771658666753687E-2</v>
      </c>
      <c r="N58" s="6">
        <v>8.583743691391435E-3</v>
      </c>
      <c r="O58" s="6">
        <v>3.0425755528110342E-2</v>
      </c>
      <c r="P58" s="6">
        <v>1.4389524451046968E-4</v>
      </c>
      <c r="S58" s="6">
        <f t="shared" si="1"/>
        <v>2.1027775657375718E-2</v>
      </c>
      <c r="T58" s="6">
        <f t="shared" si="2"/>
        <v>4.4300028726391008E-2</v>
      </c>
      <c r="U58" s="6">
        <f t="shared" si="3"/>
        <v>1.5703837076446628E-3</v>
      </c>
      <c r="V58" s="6">
        <f t="shared" si="4"/>
        <v>5.9370116193445843E-2</v>
      </c>
      <c r="W58" s="6">
        <f t="shared" si="5"/>
        <v>8.5350899390532781E-2</v>
      </c>
      <c r="X58" s="6">
        <f t="shared" si="6"/>
        <v>-1.0385876612962603E-2</v>
      </c>
      <c r="Y58" s="6">
        <f t="shared" si="7"/>
        <v>1.3431750051463342E-2</v>
      </c>
      <c r="Z58" s="6">
        <f t="shared" si="8"/>
        <v>2.7341088519766014E-2</v>
      </c>
      <c r="AA58" s="6">
        <f t="shared" si="9"/>
        <v>3.2973877596378411E-2</v>
      </c>
      <c r="AB58" s="6">
        <f t="shared" si="10"/>
        <v>9.6361004147054355E-2</v>
      </c>
      <c r="AC58" s="6">
        <f t="shared" si="11"/>
        <v>2.6612904906908295E-2</v>
      </c>
      <c r="AD58" s="6">
        <f t="shared" si="12"/>
        <v>-3.6936079860496428E-3</v>
      </c>
      <c r="AE58" s="6">
        <f t="shared" si="13"/>
        <v>3.3496822176436597E-2</v>
      </c>
      <c r="AF58" s="6">
        <f t="shared" si="14"/>
        <v>3.6715965689560217E-3</v>
      </c>
    </row>
    <row r="59" spans="3:32" x14ac:dyDescent="0.3">
      <c r="C59" s="6">
        <v>5.6815842496116861E-2</v>
      </c>
      <c r="D59" s="6">
        <v>0.13212906453045875</v>
      </c>
      <c r="E59" s="6">
        <v>3.2518529301884452E-2</v>
      </c>
      <c r="F59" s="6">
        <v>1.3678717761870626E-2</v>
      </c>
      <c r="G59" s="6">
        <v>0.28771954739042016</v>
      </c>
      <c r="H59" s="6">
        <v>5.0038008130668971E-2</v>
      </c>
      <c r="I59" s="6">
        <v>8.5036262778510632E-2</v>
      </c>
      <c r="J59" s="6">
        <v>8.809520718451723E-2</v>
      </c>
      <c r="K59" s="6">
        <v>9.0489643263259416E-3</v>
      </c>
      <c r="L59" s="6">
        <v>0.10668306347590452</v>
      </c>
      <c r="M59" s="6">
        <v>0</v>
      </c>
      <c r="N59" s="6">
        <v>7.2784345223213615E-2</v>
      </c>
      <c r="O59" s="6">
        <v>6.7349988048677811E-2</v>
      </c>
      <c r="P59" s="6">
        <v>6.4763316013194766E-2</v>
      </c>
      <c r="S59" s="6">
        <f t="shared" si="1"/>
        <v>5.5027824508306927E-2</v>
      </c>
      <c r="T59" s="6">
        <f t="shared" si="2"/>
        <v>0.12229958803401425</v>
      </c>
      <c r="U59" s="6">
        <f t="shared" si="3"/>
        <v>2.9959175155674724E-2</v>
      </c>
      <c r="V59" s="6">
        <f t="shared" si="4"/>
        <v>1.096936942639952E-2</v>
      </c>
      <c r="W59" s="6">
        <f t="shared" si="5"/>
        <v>0.28686276957780937</v>
      </c>
      <c r="X59" s="6">
        <f t="shared" si="6"/>
        <v>4.8558368409439341E-2</v>
      </c>
      <c r="Y59" s="6">
        <f t="shared" si="7"/>
        <v>8.1170675468314704E-2</v>
      </c>
      <c r="Z59" s="6">
        <f t="shared" si="8"/>
        <v>9.623408872034743E-2</v>
      </c>
      <c r="AA59" s="6">
        <f t="shared" si="9"/>
        <v>3.7802789837929878E-3</v>
      </c>
      <c r="AB59" s="6">
        <f t="shared" si="10"/>
        <v>0.10442894010466407</v>
      </c>
      <c r="AC59" s="6">
        <f t="shared" si="11"/>
        <v>-4.1587537598453935E-3</v>
      </c>
      <c r="AD59" s="6">
        <f t="shared" si="12"/>
        <v>6.0506993545772533E-2</v>
      </c>
      <c r="AE59" s="6">
        <f t="shared" si="13"/>
        <v>7.0421054697004062E-2</v>
      </c>
      <c r="AF59" s="6">
        <f t="shared" si="14"/>
        <v>6.8291017337640314E-2</v>
      </c>
    </row>
    <row r="60" spans="3:32" x14ac:dyDescent="0.3">
      <c r="C60" s="6">
        <v>5.7067041658145766E-2</v>
      </c>
      <c r="D60" s="6">
        <v>3.5700848799698925E-2</v>
      </c>
      <c r="E60" s="6">
        <v>4.0241555304965045E-2</v>
      </c>
      <c r="F60" s="6">
        <v>5.301265673680166E-2</v>
      </c>
      <c r="G60" s="6">
        <v>6.5697208790246764E-2</v>
      </c>
      <c r="H60" s="6">
        <v>1.1185254969377046E-2</v>
      </c>
      <c r="I60" s="6">
        <v>0.20642355414654248</v>
      </c>
      <c r="J60" s="6">
        <v>8.2154729533910932E-3</v>
      </c>
      <c r="K60" s="6">
        <v>8.4580698081560671E-2</v>
      </c>
      <c r="L60" s="6">
        <v>0.19562145474229037</v>
      </c>
      <c r="M60" s="6">
        <v>8.6105169406091656E-2</v>
      </c>
      <c r="N60" s="6">
        <v>0.10787391072392331</v>
      </c>
      <c r="O60" s="6">
        <v>0.11452609191861425</v>
      </c>
      <c r="P60" s="6">
        <v>7.0169971195603378E-2</v>
      </c>
      <c r="S60" s="6">
        <f t="shared" si="1"/>
        <v>5.5279023670335832E-2</v>
      </c>
      <c r="T60" s="6">
        <f t="shared" si="2"/>
        <v>2.5871372303254429E-2</v>
      </c>
      <c r="U60" s="6">
        <f t="shared" si="3"/>
        <v>3.768220115875532E-2</v>
      </c>
      <c r="V60" s="6">
        <f t="shared" si="4"/>
        <v>5.030330840133055E-2</v>
      </c>
      <c r="W60" s="6">
        <f t="shared" si="5"/>
        <v>6.4840430977635977E-2</v>
      </c>
      <c r="X60" s="6">
        <f t="shared" si="6"/>
        <v>9.7056152481474131E-3</v>
      </c>
      <c r="Y60" s="6">
        <f t="shared" si="7"/>
        <v>0.20255796683634655</v>
      </c>
      <c r="Z60" s="6">
        <f t="shared" si="8"/>
        <v>1.635435448922129E-2</v>
      </c>
      <c r="AA60" s="6">
        <f t="shared" si="9"/>
        <v>7.9312012739027715E-2</v>
      </c>
      <c r="AB60" s="6">
        <f t="shared" si="10"/>
        <v>0.19336733137104992</v>
      </c>
      <c r="AC60" s="6">
        <f t="shared" si="11"/>
        <v>8.194641564624626E-2</v>
      </c>
      <c r="AD60" s="6">
        <f t="shared" si="12"/>
        <v>9.5596559046482232E-2</v>
      </c>
      <c r="AE60" s="6">
        <f t="shared" si="13"/>
        <v>0.1175971585669405</v>
      </c>
      <c r="AF60" s="6">
        <f t="shared" si="14"/>
        <v>7.3697672520048926E-2</v>
      </c>
    </row>
    <row r="61" spans="3:32" x14ac:dyDescent="0.3">
      <c r="C61" s="6">
        <v>-2.2848036550102476E-2</v>
      </c>
      <c r="D61" s="6">
        <v>7.5543324317811356E-3</v>
      </c>
      <c r="E61" s="6">
        <v>1.8218933313053354E-2</v>
      </c>
      <c r="F61" s="6">
        <v>-0.1025226129526529</v>
      </c>
      <c r="G61" s="6">
        <v>3.5726393691704751E-2</v>
      </c>
      <c r="H61" s="6">
        <v>-5.7528298411728004E-2</v>
      </c>
      <c r="I61" s="6">
        <v>-6.8675087244461044E-2</v>
      </c>
      <c r="J61" s="6">
        <v>-3.2335380642936347E-2</v>
      </c>
      <c r="K61" s="6">
        <v>-4.1350489203568257E-2</v>
      </c>
      <c r="L61" s="6">
        <v>-0.26791360116712815</v>
      </c>
      <c r="M61" s="6">
        <v>3.5914232238373214E-2</v>
      </c>
      <c r="N61" s="6">
        <v>-0.1131860082088133</v>
      </c>
      <c r="O61" s="6">
        <v>-0.13507846487193556</v>
      </c>
      <c r="P61" s="6">
        <v>-6.93611277975026E-2</v>
      </c>
      <c r="S61" s="6">
        <f t="shared" si="1"/>
        <v>-2.463605453791241E-2</v>
      </c>
      <c r="T61" s="6">
        <f t="shared" si="2"/>
        <v>-2.2751440646633612E-3</v>
      </c>
      <c r="U61" s="6">
        <f t="shared" si="3"/>
        <v>1.5659579166843626E-2</v>
      </c>
      <c r="V61" s="6">
        <f t="shared" si="4"/>
        <v>-0.10523196128812401</v>
      </c>
      <c r="W61" s="6">
        <f t="shared" si="5"/>
        <v>3.4869615879093964E-2</v>
      </c>
      <c r="X61" s="6">
        <f t="shared" si="6"/>
        <v>-5.9007938132957634E-2</v>
      </c>
      <c r="Y61" s="6">
        <f t="shared" si="7"/>
        <v>-7.2540674554656973E-2</v>
      </c>
      <c r="Z61" s="6">
        <f t="shared" si="8"/>
        <v>-2.419649910710615E-2</v>
      </c>
      <c r="AA61" s="6">
        <f t="shared" si="9"/>
        <v>-4.6619174546101212E-2</v>
      </c>
      <c r="AB61" s="6">
        <f t="shared" si="10"/>
        <v>-0.27016772453836857</v>
      </c>
      <c r="AC61" s="6">
        <f t="shared" si="11"/>
        <v>3.1755478478527818E-2</v>
      </c>
      <c r="AD61" s="6">
        <f t="shared" si="12"/>
        <v>-0.12546335988625437</v>
      </c>
      <c r="AE61" s="6">
        <f t="shared" si="13"/>
        <v>-0.1320073982236093</v>
      </c>
      <c r="AF61" s="6">
        <f t="shared" si="14"/>
        <v>-6.5833426473057052E-2</v>
      </c>
    </row>
    <row r="62" spans="3:32" x14ac:dyDescent="0.3">
      <c r="C62" s="6">
        <v>1.0146351374981075E-2</v>
      </c>
      <c r="D62" s="6">
        <v>6.0961501805123306E-3</v>
      </c>
      <c r="E62" s="6">
        <v>-1.9342072022547188E-2</v>
      </c>
      <c r="F62" s="6">
        <v>-2.3290292128615754E-3</v>
      </c>
      <c r="G62" s="6">
        <v>5.6382157642082369E-2</v>
      </c>
      <c r="H62" s="6">
        <v>-4.2092357204802835E-3</v>
      </c>
      <c r="I62" s="6">
        <v>-7.3192846133796705E-3</v>
      </c>
      <c r="J62" s="6">
        <v>-2.7607655324097157E-2</v>
      </c>
      <c r="K62" s="6">
        <v>4.7408187373111844E-2</v>
      </c>
      <c r="L62" s="6">
        <v>0.13283049895643936</v>
      </c>
      <c r="M62" s="6">
        <v>1.3609591847875994E-2</v>
      </c>
      <c r="N62" s="6">
        <v>0.20296801827895128</v>
      </c>
      <c r="O62" s="6">
        <v>0.2650229101250336</v>
      </c>
      <c r="P62" s="6">
        <v>2.5280750297258178E-2</v>
      </c>
      <c r="S62" s="6">
        <f t="shared" si="1"/>
        <v>8.3583333871711414E-3</v>
      </c>
      <c r="T62" s="6">
        <f t="shared" si="2"/>
        <v>-3.7333263159321662E-3</v>
      </c>
      <c r="U62" s="6">
        <f t="shared" si="3"/>
        <v>-2.1901426168756916E-2</v>
      </c>
      <c r="V62" s="6">
        <f t="shared" si="4"/>
        <v>-5.0383775483326815E-3</v>
      </c>
      <c r="W62" s="6">
        <f t="shared" si="5"/>
        <v>5.5525379829471581E-2</v>
      </c>
      <c r="X62" s="6">
        <f t="shared" si="6"/>
        <v>-5.6888754417099155E-3</v>
      </c>
      <c r="Y62" s="6">
        <f t="shared" si="7"/>
        <v>-1.11848719235756E-2</v>
      </c>
      <c r="Z62" s="6">
        <f t="shared" si="8"/>
        <v>-1.946877378826696E-2</v>
      </c>
      <c r="AA62" s="6">
        <f t="shared" si="9"/>
        <v>4.2139502030578889E-2</v>
      </c>
      <c r="AB62" s="6">
        <f t="shared" si="10"/>
        <v>0.13057637558519891</v>
      </c>
      <c r="AC62" s="6">
        <f t="shared" si="11"/>
        <v>9.4508380880305998E-3</v>
      </c>
      <c r="AD62" s="6">
        <f t="shared" si="12"/>
        <v>0.19069066660151021</v>
      </c>
      <c r="AE62" s="6">
        <f t="shared" si="13"/>
        <v>0.26809397677335983</v>
      </c>
      <c r="AF62" s="6">
        <f t="shared" si="14"/>
        <v>2.8808451621703729E-2</v>
      </c>
    </row>
    <row r="63" spans="3:32" x14ac:dyDescent="0.3">
      <c r="C63" s="6">
        <v>-3.9034562011126053E-2</v>
      </c>
      <c r="D63" s="6">
        <v>8.5100560801935343E-2</v>
      </c>
      <c r="E63" s="6">
        <v>-3.4856075508978498E-2</v>
      </c>
      <c r="F63" s="6">
        <v>-5.6915293671933237E-2</v>
      </c>
      <c r="G63" s="6">
        <v>-5.6432948713023026E-2</v>
      </c>
      <c r="H63" s="6">
        <v>-3.8809275171752096E-2</v>
      </c>
      <c r="I63" s="6">
        <v>-1.4507784971482763E-2</v>
      </c>
      <c r="J63" s="6">
        <v>-5.4549963254065234E-2</v>
      </c>
      <c r="K63" s="6">
        <v>2.617520836402722E-2</v>
      </c>
      <c r="L63" s="6">
        <v>-0.10945888205010861</v>
      </c>
      <c r="M63" s="6">
        <v>-4.0199046037115382E-2</v>
      </c>
      <c r="N63" s="6">
        <v>-0.1285747529845942</v>
      </c>
      <c r="O63" s="6">
        <v>-0.13297257729844117</v>
      </c>
      <c r="P63" s="6">
        <v>-2.9060962710291422E-2</v>
      </c>
      <c r="S63" s="6">
        <f t="shared" si="1"/>
        <v>-4.0822579998935987E-2</v>
      </c>
      <c r="T63" s="6">
        <f t="shared" si="2"/>
        <v>7.5271084305490843E-2</v>
      </c>
      <c r="U63" s="6">
        <f t="shared" si="3"/>
        <v>-3.7415429655188223E-2</v>
      </c>
      <c r="V63" s="6">
        <f t="shared" si="4"/>
        <v>-5.9624642007404346E-2</v>
      </c>
      <c r="W63" s="6">
        <f t="shared" si="5"/>
        <v>-5.7289726525633813E-2</v>
      </c>
      <c r="X63" s="6">
        <f t="shared" si="6"/>
        <v>-4.0288914892981725E-2</v>
      </c>
      <c r="Y63" s="6">
        <f t="shared" si="7"/>
        <v>-1.8373372281678693E-2</v>
      </c>
      <c r="Z63" s="6">
        <f t="shared" si="8"/>
        <v>-4.6411081718235034E-2</v>
      </c>
      <c r="AA63" s="6">
        <f t="shared" si="9"/>
        <v>2.0906523021494268E-2</v>
      </c>
      <c r="AB63" s="6">
        <f t="shared" si="10"/>
        <v>-0.11171300542134906</v>
      </c>
      <c r="AC63" s="6">
        <f t="shared" si="11"/>
        <v>-4.4357799796960778E-2</v>
      </c>
      <c r="AD63" s="6">
        <f t="shared" si="12"/>
        <v>-0.14085210466203527</v>
      </c>
      <c r="AE63" s="6">
        <f t="shared" si="13"/>
        <v>-0.1299015106501149</v>
      </c>
      <c r="AF63" s="6">
        <f t="shared" si="14"/>
        <v>-2.5533261385845871E-2</v>
      </c>
    </row>
    <row r="64" spans="3:32" x14ac:dyDescent="0.3">
      <c r="C64" s="6">
        <v>2.9020643426697447E-2</v>
      </c>
      <c r="D64" s="6">
        <v>2.5435877441468496E-2</v>
      </c>
      <c r="E64" s="6">
        <v>2.4064113361180705E-2</v>
      </c>
      <c r="F64" s="6">
        <v>4.9468450747471665E-2</v>
      </c>
      <c r="G64" s="6">
        <v>4.6114557105174838E-3</v>
      </c>
      <c r="H64" s="6">
        <v>1.4862269321241012E-2</v>
      </c>
      <c r="I64" s="6">
        <v>8.3616336949048478E-2</v>
      </c>
      <c r="J64" s="6">
        <v>8.2157618578162478E-2</v>
      </c>
      <c r="K64" s="6">
        <v>7.2035078750732548E-2</v>
      </c>
      <c r="L64" s="6">
        <v>9.881966366165168E-2</v>
      </c>
      <c r="M64" s="6">
        <v>3.4430353950878415E-2</v>
      </c>
      <c r="N64" s="6">
        <v>2.9234725108351043E-2</v>
      </c>
      <c r="O64" s="6">
        <v>4.6316846190878287E-2</v>
      </c>
      <c r="P64" s="6">
        <v>-4.3118465905326142E-2</v>
      </c>
      <c r="S64" s="6">
        <f t="shared" si="1"/>
        <v>2.7232625438887513E-2</v>
      </c>
      <c r="T64" s="6">
        <f t="shared" si="2"/>
        <v>1.5606400945023999E-2</v>
      </c>
      <c r="U64" s="6">
        <f t="shared" si="3"/>
        <v>2.1504759214970977E-2</v>
      </c>
      <c r="V64" s="6">
        <f t="shared" si="4"/>
        <v>4.6759102412000556E-2</v>
      </c>
      <c r="W64" s="6">
        <f t="shared" si="5"/>
        <v>3.7546778979066944E-3</v>
      </c>
      <c r="X64" s="6">
        <f t="shared" si="6"/>
        <v>1.3382629600011381E-2</v>
      </c>
      <c r="Y64" s="6">
        <f t="shared" si="7"/>
        <v>7.975074963885255E-2</v>
      </c>
      <c r="Z64" s="6">
        <f t="shared" si="8"/>
        <v>9.0296500113992678E-2</v>
      </c>
      <c r="AA64" s="6">
        <f t="shared" si="9"/>
        <v>6.6766393408199592E-2</v>
      </c>
      <c r="AB64" s="6">
        <f t="shared" si="10"/>
        <v>9.6565540290411228E-2</v>
      </c>
      <c r="AC64" s="6">
        <f t="shared" si="11"/>
        <v>3.0271600191033022E-2</v>
      </c>
      <c r="AD64" s="6">
        <f t="shared" si="12"/>
        <v>1.6957373430909965E-2</v>
      </c>
      <c r="AE64" s="6">
        <f t="shared" si="13"/>
        <v>4.9387912839204545E-2</v>
      </c>
      <c r="AF64" s="6">
        <f t="shared" si="14"/>
        <v>-3.9590764580880587E-2</v>
      </c>
    </row>
    <row r="65" spans="3:32" x14ac:dyDescent="0.3">
      <c r="C65" s="6">
        <v>-1.689353433549598E-2</v>
      </c>
      <c r="D65" s="6">
        <v>-3.9270944636711401E-2</v>
      </c>
      <c r="E65" s="6">
        <v>-2.6595200869813096E-2</v>
      </c>
      <c r="F65" s="6">
        <v>-3.2779144823407325E-2</v>
      </c>
      <c r="G65" s="6">
        <v>-0.13137414354203655</v>
      </c>
      <c r="H65" s="6">
        <v>-4.4935642434344697E-2</v>
      </c>
      <c r="I65" s="6">
        <v>-3.1475347493217565E-2</v>
      </c>
      <c r="J65" s="6">
        <v>-2.9540023075151044E-2</v>
      </c>
      <c r="K65" s="6">
        <v>-5.1443633904575688E-2</v>
      </c>
      <c r="L65" s="6">
        <v>-0.18826072131576013</v>
      </c>
      <c r="M65" s="6">
        <v>-0.10545694302398748</v>
      </c>
      <c r="N65" s="6">
        <v>-0.12516314295400605</v>
      </c>
      <c r="O65" s="6">
        <v>-8.9702645867953901E-2</v>
      </c>
      <c r="P65" s="6">
        <v>-5.3518171504731864E-2</v>
      </c>
      <c r="S65" s="6">
        <f t="shared" si="1"/>
        <v>-1.8681552323305914E-2</v>
      </c>
      <c r="T65" s="6">
        <f t="shared" si="2"/>
        <v>-4.9100421133155894E-2</v>
      </c>
      <c r="U65" s="6">
        <f t="shared" si="3"/>
        <v>-2.9154555016022824E-2</v>
      </c>
      <c r="V65" s="6">
        <f t="shared" si="4"/>
        <v>-3.5488493158878434E-2</v>
      </c>
      <c r="W65" s="6">
        <f t="shared" si="5"/>
        <v>-0.13223092135464734</v>
      </c>
      <c r="X65" s="6">
        <f t="shared" si="6"/>
        <v>-4.6415282155574326E-2</v>
      </c>
      <c r="Y65" s="6">
        <f t="shared" si="7"/>
        <v>-3.5340934803413493E-2</v>
      </c>
      <c r="Z65" s="6">
        <f t="shared" si="8"/>
        <v>-2.1401141539320847E-2</v>
      </c>
      <c r="AA65" s="6">
        <f t="shared" si="9"/>
        <v>-5.6712319247108643E-2</v>
      </c>
      <c r="AB65" s="6">
        <f t="shared" si="10"/>
        <v>-0.19051484468700058</v>
      </c>
      <c r="AC65" s="6">
        <f t="shared" si="11"/>
        <v>-0.10961569678383287</v>
      </c>
      <c r="AD65" s="6">
        <f t="shared" si="12"/>
        <v>-0.13744049463144711</v>
      </c>
      <c r="AE65" s="6">
        <f t="shared" si="13"/>
        <v>-8.663157921962765E-2</v>
      </c>
      <c r="AF65" s="6">
        <f t="shared" si="14"/>
        <v>-4.9990470180286309E-2</v>
      </c>
    </row>
    <row r="66" spans="3:32" x14ac:dyDescent="0.3">
      <c r="C66" s="6">
        <v>4.2840158676492227E-2</v>
      </c>
      <c r="D66" s="6">
        <v>0.11346860959264606</v>
      </c>
      <c r="E66" s="6">
        <v>0.11694686099472941</v>
      </c>
      <c r="F66" s="6">
        <v>0.1144550820988957</v>
      </c>
      <c r="G66" s="6">
        <v>3.7847094184185602E-2</v>
      </c>
      <c r="H66" s="6">
        <v>8.6726608867037175E-2</v>
      </c>
      <c r="I66" s="6">
        <v>8.5891964355289424E-2</v>
      </c>
      <c r="J66" s="6">
        <v>3.4223872387577313E-2</v>
      </c>
      <c r="K66" s="6">
        <v>0.10609529408840038</v>
      </c>
      <c r="L66" s="6">
        <v>0.33866188207937581</v>
      </c>
      <c r="M66" s="6">
        <v>2.1307850199024279E-2</v>
      </c>
      <c r="N66" s="6">
        <v>6.9627590645042564E-2</v>
      </c>
      <c r="O66" s="6">
        <v>6.8448187973504424E-2</v>
      </c>
      <c r="P66" s="6">
        <v>3.0374281351768926E-2</v>
      </c>
      <c r="S66" s="6">
        <f t="shared" si="1"/>
        <v>4.1052140688682293E-2</v>
      </c>
      <c r="T66" s="6">
        <f t="shared" si="2"/>
        <v>0.10363913309620156</v>
      </c>
      <c r="U66" s="6">
        <f t="shared" si="3"/>
        <v>0.11438750684851968</v>
      </c>
      <c r="V66" s="6">
        <f t="shared" si="4"/>
        <v>0.11174573376342459</v>
      </c>
      <c r="W66" s="6">
        <f t="shared" si="5"/>
        <v>3.6990316371574815E-2</v>
      </c>
      <c r="X66" s="6">
        <f t="shared" si="6"/>
        <v>8.5246969145807538E-2</v>
      </c>
      <c r="Y66" s="6">
        <f t="shared" si="7"/>
        <v>8.2026377045093496E-2</v>
      </c>
      <c r="Z66" s="6">
        <f t="shared" si="8"/>
        <v>4.2362753923407506E-2</v>
      </c>
      <c r="AA66" s="6">
        <f t="shared" si="9"/>
        <v>0.10082660874586742</v>
      </c>
      <c r="AB66" s="6">
        <f t="shared" si="10"/>
        <v>0.33640775870813538</v>
      </c>
      <c r="AC66" s="6">
        <f t="shared" si="11"/>
        <v>1.7149096439178887E-2</v>
      </c>
      <c r="AD66" s="6">
        <f t="shared" si="12"/>
        <v>5.7350238967601483E-2</v>
      </c>
      <c r="AE66" s="6">
        <f t="shared" si="13"/>
        <v>7.1519254621830675E-2</v>
      </c>
      <c r="AF66" s="6">
        <f t="shared" si="14"/>
        <v>3.3901982676214477E-2</v>
      </c>
    </row>
    <row r="67" spans="3:32" x14ac:dyDescent="0.3">
      <c r="C67" s="6">
        <v>3.3309978881532858E-2</v>
      </c>
      <c r="D67" s="6">
        <v>3.999771396937378E-2</v>
      </c>
      <c r="E67" s="6">
        <v>4.071434195622484E-3</v>
      </c>
      <c r="F67" s="6">
        <v>3.6901704588611098E-2</v>
      </c>
      <c r="G67" s="6">
        <v>5.5500829551021466E-2</v>
      </c>
      <c r="H67" s="6">
        <v>-8.3215418301725696E-3</v>
      </c>
      <c r="I67" s="6">
        <v>5.1801830262426504E-2</v>
      </c>
      <c r="J67" s="6">
        <v>7.7307121776370988E-2</v>
      </c>
      <c r="K67" s="6">
        <v>-1.193998919969365E-2</v>
      </c>
      <c r="L67" s="6">
        <v>-0.10021683634977792</v>
      </c>
      <c r="M67" s="6">
        <v>-3.2947166856043063E-2</v>
      </c>
      <c r="N67" s="6">
        <v>3.9806250400419574E-2</v>
      </c>
      <c r="O67" s="6">
        <v>-6.8281507416405471E-2</v>
      </c>
      <c r="P67" s="6">
        <v>-2.1702967355470984E-3</v>
      </c>
      <c r="S67" s="6">
        <f t="shared" si="1"/>
        <v>3.1521960893722924E-2</v>
      </c>
      <c r="T67" s="6">
        <f t="shared" si="2"/>
        <v>3.0168237472929283E-2</v>
      </c>
      <c r="U67" s="6">
        <f t="shared" si="3"/>
        <v>1.5120800494127572E-3</v>
      </c>
      <c r="V67" s="6">
        <f t="shared" si="4"/>
        <v>3.4192356253139988E-2</v>
      </c>
      <c r="W67" s="6">
        <f t="shared" si="5"/>
        <v>5.4644051738410679E-2</v>
      </c>
      <c r="X67" s="6">
        <f t="shared" si="6"/>
        <v>-9.8011815514022008E-3</v>
      </c>
      <c r="Y67" s="6">
        <f t="shared" si="7"/>
        <v>4.7936242952230576E-2</v>
      </c>
      <c r="Z67" s="6">
        <f t="shared" si="8"/>
        <v>8.5446003312201188E-2</v>
      </c>
      <c r="AA67" s="6">
        <f t="shared" si="9"/>
        <v>-1.7208674542226604E-2</v>
      </c>
      <c r="AB67" s="6">
        <f t="shared" si="10"/>
        <v>-0.10247095972101837</v>
      </c>
      <c r="AC67" s="6">
        <f t="shared" si="11"/>
        <v>-3.7105920615888459E-2</v>
      </c>
      <c r="AD67" s="6">
        <f t="shared" si="12"/>
        <v>2.7528898722978496E-2</v>
      </c>
      <c r="AE67" s="6">
        <f t="shared" si="13"/>
        <v>-6.521044076807922E-2</v>
      </c>
      <c r="AF67" s="6">
        <f t="shared" si="14"/>
        <v>1.3574045888984534E-3</v>
      </c>
    </row>
    <row r="68" spans="3:32" x14ac:dyDescent="0.3">
      <c r="C68" s="6">
        <v>2.8604133764773904E-2</v>
      </c>
      <c r="D68" s="6">
        <v>3.6660997063171212E-2</v>
      </c>
      <c r="E68" s="6">
        <v>2.7178356447915747E-2</v>
      </c>
      <c r="F68" s="6">
        <v>-1.6350701310460358E-2</v>
      </c>
      <c r="G68" s="6">
        <v>8.5758908017193602E-2</v>
      </c>
      <c r="H68" s="6">
        <v>5.1247435800140018E-2</v>
      </c>
      <c r="I68" s="6">
        <v>2.8378504445995351E-2</v>
      </c>
      <c r="J68" s="6">
        <v>-3.0744626160162832E-2</v>
      </c>
      <c r="K68" s="6">
        <v>4.256594960728359E-2</v>
      </c>
      <c r="L68" s="6">
        <v>-3.8404773939049834E-3</v>
      </c>
      <c r="M68" s="6">
        <v>3.0426686630707935E-2</v>
      </c>
      <c r="N68" s="6">
        <v>3.0032287098875076E-2</v>
      </c>
      <c r="O68" s="6">
        <v>9.2579181293093171E-2</v>
      </c>
      <c r="P68" s="6">
        <v>6.7214543419424247E-2</v>
      </c>
      <c r="S68" s="6">
        <f t="shared" si="1"/>
        <v>2.681611577696397E-2</v>
      </c>
      <c r="T68" s="6">
        <f t="shared" si="2"/>
        <v>2.6831520566726715E-2</v>
      </c>
      <c r="U68" s="6">
        <f t="shared" si="3"/>
        <v>2.4619002301706019E-2</v>
      </c>
      <c r="V68" s="6">
        <f t="shared" si="4"/>
        <v>-1.9060049645931464E-2</v>
      </c>
      <c r="W68" s="6">
        <f t="shared" si="5"/>
        <v>8.4902130204582815E-2</v>
      </c>
      <c r="X68" s="6">
        <f t="shared" si="6"/>
        <v>4.9767796078910388E-2</v>
      </c>
      <c r="Y68" s="6">
        <f t="shared" si="7"/>
        <v>2.4512917135799422E-2</v>
      </c>
      <c r="Z68" s="6">
        <f t="shared" si="8"/>
        <v>-2.2605744624332635E-2</v>
      </c>
      <c r="AA68" s="6">
        <f t="shared" si="9"/>
        <v>3.7297264264750635E-2</v>
      </c>
      <c r="AB68" s="6">
        <f t="shared" si="10"/>
        <v>-6.09460076514543E-3</v>
      </c>
      <c r="AC68" s="6">
        <f t="shared" si="11"/>
        <v>2.6267932870862543E-2</v>
      </c>
      <c r="AD68" s="6">
        <f t="shared" si="12"/>
        <v>1.7754935421433998E-2</v>
      </c>
      <c r="AE68" s="6">
        <f t="shared" si="13"/>
        <v>9.5650247941419422E-2</v>
      </c>
      <c r="AF68" s="6">
        <f t="shared" si="14"/>
        <v>7.0742244743869795E-2</v>
      </c>
    </row>
    <row r="69" spans="3:32" x14ac:dyDescent="0.3">
      <c r="C69" s="6">
        <v>-1.4564876952733591E-3</v>
      </c>
      <c r="D69" s="6">
        <v>-2.6999086151434488E-2</v>
      </c>
      <c r="E69" s="6">
        <v>1.1381395490146532E-2</v>
      </c>
      <c r="F69" s="6">
        <v>4.4221204388455421E-2</v>
      </c>
      <c r="G69" s="6">
        <v>-0.11425845318279786</v>
      </c>
      <c r="H69" s="6">
        <v>-1.1979690382716714E-2</v>
      </c>
      <c r="I69" s="6">
        <v>1.9438047766150261E-2</v>
      </c>
      <c r="J69" s="6">
        <v>-5.9732958805953196E-2</v>
      </c>
      <c r="K69" s="6">
        <v>-7.1253913258352897E-2</v>
      </c>
      <c r="L69" s="6">
        <v>-9.5103008724666482E-2</v>
      </c>
      <c r="M69" s="6">
        <v>-1.653981725360441E-2</v>
      </c>
      <c r="N69" s="6">
        <v>-4.3537710298682107E-2</v>
      </c>
      <c r="O69" s="6">
        <v>-2.6791440755090049E-2</v>
      </c>
      <c r="P69" s="6">
        <v>-2.7319977669562866E-2</v>
      </c>
      <c r="S69" s="6">
        <f t="shared" si="1"/>
        <v>-3.244505683083293E-3</v>
      </c>
      <c r="T69" s="6">
        <f t="shared" si="2"/>
        <v>-3.6828562647878982E-2</v>
      </c>
      <c r="U69" s="6">
        <f t="shared" si="3"/>
        <v>8.8220413439368053E-3</v>
      </c>
      <c r="V69" s="6">
        <f t="shared" si="4"/>
        <v>4.1511856052984311E-2</v>
      </c>
      <c r="W69" s="6">
        <f t="shared" si="5"/>
        <v>-0.11511523099540864</v>
      </c>
      <c r="X69" s="6">
        <f t="shared" si="6"/>
        <v>-1.3459330103946347E-2</v>
      </c>
      <c r="Y69" s="6">
        <f t="shared" si="7"/>
        <v>1.5572460455954331E-2</v>
      </c>
      <c r="Z69" s="6">
        <f t="shared" si="8"/>
        <v>-5.1594077270122995E-2</v>
      </c>
      <c r="AA69" s="6">
        <f t="shared" si="9"/>
        <v>-7.6522598600885852E-2</v>
      </c>
      <c r="AB69" s="6">
        <f t="shared" si="10"/>
        <v>-9.7357132095906934E-2</v>
      </c>
      <c r="AC69" s="6">
        <f t="shared" si="11"/>
        <v>-2.0698571013449803E-2</v>
      </c>
      <c r="AD69" s="6">
        <f t="shared" si="12"/>
        <v>-5.5815061976123181E-2</v>
      </c>
      <c r="AE69" s="6">
        <f t="shared" si="13"/>
        <v>-2.3720374106763791E-2</v>
      </c>
      <c r="AF69" s="6">
        <f t="shared" si="14"/>
        <v>-2.3792276345117314E-2</v>
      </c>
    </row>
    <row r="70" spans="3:32" x14ac:dyDescent="0.3">
      <c r="C70" s="6">
        <v>3.3346500722198176E-3</v>
      </c>
      <c r="D70" s="6">
        <v>-1.0409015914735526E-2</v>
      </c>
      <c r="E70" s="6">
        <v>-1.8901798596315203E-2</v>
      </c>
      <c r="F70" s="6">
        <v>4.1419360608964534E-3</v>
      </c>
      <c r="G70" s="6">
        <v>-3.2427174255940426E-4</v>
      </c>
      <c r="H70" s="6">
        <v>4.3994791594848424E-3</v>
      </c>
      <c r="I70" s="6">
        <v>2.463617822634365E-2</v>
      </c>
      <c r="J70" s="6">
        <v>1.223544675883835E-2</v>
      </c>
      <c r="K70" s="6">
        <v>6.0339253390054304E-2</v>
      </c>
      <c r="L70" s="6">
        <v>0.12914761168447714</v>
      </c>
      <c r="M70" s="6">
        <v>9.5755599195721311E-3</v>
      </c>
      <c r="N70" s="6">
        <v>8.5258708877687939E-2</v>
      </c>
      <c r="O70" s="6">
        <v>-3.7524275265143667E-2</v>
      </c>
      <c r="P70" s="6">
        <v>-3.3253859954287368E-2</v>
      </c>
      <c r="S70" s="6">
        <f t="shared" si="1"/>
        <v>1.5466320844098839E-3</v>
      </c>
      <c r="T70" s="6">
        <f t="shared" si="2"/>
        <v>-2.0238492411180024E-2</v>
      </c>
      <c r="U70" s="6">
        <f t="shared" si="3"/>
        <v>-2.1461152742524931E-2</v>
      </c>
      <c r="V70" s="6">
        <f t="shared" si="4"/>
        <v>1.4325877254253469E-3</v>
      </c>
      <c r="W70" s="6">
        <f t="shared" si="5"/>
        <v>-1.1810495551701937E-3</v>
      </c>
      <c r="X70" s="6">
        <f t="shared" si="6"/>
        <v>2.9198394382552104E-3</v>
      </c>
      <c r="Y70" s="6">
        <f t="shared" si="7"/>
        <v>2.0770590916147722E-2</v>
      </c>
      <c r="Z70" s="6">
        <f t="shared" si="8"/>
        <v>2.0374328294668547E-2</v>
      </c>
      <c r="AA70" s="6">
        <f t="shared" si="9"/>
        <v>5.5070568047521348E-2</v>
      </c>
      <c r="AB70" s="6">
        <f t="shared" si="10"/>
        <v>0.12689348831323669</v>
      </c>
      <c r="AC70" s="6">
        <f t="shared" si="11"/>
        <v>5.4168061597267376E-3</v>
      </c>
      <c r="AD70" s="6">
        <f t="shared" si="12"/>
        <v>7.2981357200246857E-2</v>
      </c>
      <c r="AE70" s="6">
        <f t="shared" si="13"/>
        <v>-3.4453208616817409E-2</v>
      </c>
      <c r="AF70" s="6">
        <f t="shared" si="14"/>
        <v>-2.9726158629841817E-2</v>
      </c>
    </row>
    <row r="71" spans="3:32" x14ac:dyDescent="0.3">
      <c r="C71" s="6">
        <v>-1.1507132663026195E-3</v>
      </c>
      <c r="D71" s="6">
        <v>1.3363227812167158E-2</v>
      </c>
      <c r="E71" s="6">
        <v>-1.328903850053752E-3</v>
      </c>
      <c r="F71" s="6">
        <v>-3.2297001625990855E-2</v>
      </c>
      <c r="G71" s="6">
        <v>-0.11392562019394366</v>
      </c>
      <c r="H71" s="6">
        <v>4.2494577998377372E-2</v>
      </c>
      <c r="I71" s="6">
        <v>-3.9601841351536909E-2</v>
      </c>
      <c r="J71" s="6">
        <v>-6.5724131709824635E-2</v>
      </c>
      <c r="K71" s="6">
        <v>-2.6268206873781192E-2</v>
      </c>
      <c r="L71" s="6">
        <v>-0.16899352023167666</v>
      </c>
      <c r="M71" s="6">
        <v>-2.0864181651143506E-2</v>
      </c>
      <c r="N71" s="6">
        <v>-7.4195289333432543E-2</v>
      </c>
      <c r="O71" s="6">
        <v>-6.1303319351059656E-2</v>
      </c>
      <c r="P71" s="6">
        <v>-8.275621804937458E-2</v>
      </c>
      <c r="S71" s="6">
        <f t="shared" ref="S71:S134" si="15">C71-C$203</f>
        <v>-2.938731254112553E-3</v>
      </c>
      <c r="T71" s="6">
        <f t="shared" ref="T71:T134" si="16">D71-D$203</f>
        <v>3.5337513157226615E-3</v>
      </c>
      <c r="U71" s="6">
        <f t="shared" ref="U71:U134" si="17">E71-E$203</f>
        <v>-3.8882579962634788E-3</v>
      </c>
      <c r="V71" s="6">
        <f t="shared" ref="V71:V134" si="18">F71-F$203</f>
        <v>-3.5006349961461965E-2</v>
      </c>
      <c r="W71" s="6">
        <f t="shared" ref="W71:W134" si="19">G71-G$203</f>
        <v>-0.11478239800655445</v>
      </c>
      <c r="X71" s="6">
        <f t="shared" ref="X71:X134" si="20">H71-H$203</f>
        <v>4.1014938277147743E-2</v>
      </c>
      <c r="Y71" s="6">
        <f t="shared" ref="Y71:Y134" si="21">I71-I$203</f>
        <v>-4.3467428661732838E-2</v>
      </c>
      <c r="Z71" s="6">
        <f t="shared" ref="Z71:Z134" si="22">J71-J$203</f>
        <v>-5.7585250173994434E-2</v>
      </c>
      <c r="AA71" s="6">
        <f t="shared" ref="AA71:AA134" si="23">K71-K$203</f>
        <v>-3.1536892216314144E-2</v>
      </c>
      <c r="AB71" s="6">
        <f t="shared" ref="AB71:AB134" si="24">L71-L$203</f>
        <v>-0.17124764360291711</v>
      </c>
      <c r="AC71" s="6">
        <f t="shared" ref="AC71:AC134" si="25">M71-M$203</f>
        <v>-2.5022935410988899E-2</v>
      </c>
      <c r="AD71" s="6">
        <f t="shared" ref="AD71:AD134" si="26">N71-N$203</f>
        <v>-8.6472641010873624E-2</v>
      </c>
      <c r="AE71" s="6">
        <f t="shared" ref="AE71:AE134" si="27">O71-O$203</f>
        <v>-5.8232252702733397E-2</v>
      </c>
      <c r="AF71" s="6">
        <f t="shared" ref="AF71:AF134" si="28">P71-P$203</f>
        <v>-7.9228516724929032E-2</v>
      </c>
    </row>
    <row r="72" spans="3:32" x14ac:dyDescent="0.3">
      <c r="C72" s="6">
        <v>2.7847631580229827E-2</v>
      </c>
      <c r="D72" s="6">
        <v>2.2964377120248649E-2</v>
      </c>
      <c r="E72" s="6">
        <v>7.2541997014379772E-2</v>
      </c>
      <c r="F72" s="6">
        <v>1.8143858481585135E-2</v>
      </c>
      <c r="G72" s="6">
        <v>-4.6753174206414618E-3</v>
      </c>
      <c r="H72" s="6">
        <v>-1.4218025868904076E-2</v>
      </c>
      <c r="I72" s="6">
        <v>0.1211957681881229</v>
      </c>
      <c r="J72" s="6">
        <v>-0.13911280246271771</v>
      </c>
      <c r="K72" s="6">
        <v>-9.678574807114658E-2</v>
      </c>
      <c r="L72" s="6">
        <v>-9.3127604007065795E-2</v>
      </c>
      <c r="M72" s="6">
        <v>7.1105664814289692E-3</v>
      </c>
      <c r="N72" s="6">
        <v>-5.3999307249400053E-2</v>
      </c>
      <c r="O72" s="6">
        <v>-3.2210031129916841E-2</v>
      </c>
      <c r="P72" s="6">
        <v>-4.0672219345535873E-2</v>
      </c>
      <c r="S72" s="6">
        <f t="shared" si="15"/>
        <v>2.6059613592419893E-2</v>
      </c>
      <c r="T72" s="6">
        <f t="shared" si="16"/>
        <v>1.3134900623804152E-2</v>
      </c>
      <c r="U72" s="6">
        <f t="shared" si="17"/>
        <v>6.9982642868170047E-2</v>
      </c>
      <c r="V72" s="6">
        <f t="shared" si="18"/>
        <v>1.5434510146114029E-2</v>
      </c>
      <c r="W72" s="6">
        <f t="shared" si="19"/>
        <v>-5.5320952332522516E-3</v>
      </c>
      <c r="X72" s="6">
        <f t="shared" si="20"/>
        <v>-1.5697665590133709E-2</v>
      </c>
      <c r="Y72" s="6">
        <f t="shared" si="21"/>
        <v>0.11733018087792697</v>
      </c>
      <c r="Z72" s="6">
        <f t="shared" si="22"/>
        <v>-0.1309739209268875</v>
      </c>
      <c r="AA72" s="6">
        <f t="shared" si="23"/>
        <v>-0.10205443341367954</v>
      </c>
      <c r="AB72" s="6">
        <f t="shared" si="24"/>
        <v>-9.5381727378306247E-2</v>
      </c>
      <c r="AC72" s="6">
        <f t="shared" si="25"/>
        <v>2.9518127215835757E-3</v>
      </c>
      <c r="AD72" s="6">
        <f t="shared" si="26"/>
        <v>-6.6276658926841134E-2</v>
      </c>
      <c r="AE72" s="6">
        <f t="shared" si="27"/>
        <v>-2.9138964481590583E-2</v>
      </c>
      <c r="AF72" s="6">
        <f t="shared" si="28"/>
        <v>-3.7144518021090318E-2</v>
      </c>
    </row>
    <row r="73" spans="3:32" x14ac:dyDescent="0.3">
      <c r="C73" s="6">
        <v>2.2666665976363163E-2</v>
      </c>
      <c r="D73" s="6">
        <v>3.2964175538975973E-2</v>
      </c>
      <c r="E73" s="6">
        <v>1.0972581807188825E-2</v>
      </c>
      <c r="F73" s="6">
        <v>-1.6627126747079463E-2</v>
      </c>
      <c r="G73" s="6">
        <v>3.4396428493906873E-2</v>
      </c>
      <c r="H73" s="6">
        <v>1.8948371372820376E-3</v>
      </c>
      <c r="I73" s="6">
        <v>-3.1877567061939595E-2</v>
      </c>
      <c r="J73" s="6">
        <v>-5.6685776175433022E-2</v>
      </c>
      <c r="K73" s="6">
        <v>1.9794460730914527E-2</v>
      </c>
      <c r="L73" s="6">
        <v>7.9484827603279434E-2</v>
      </c>
      <c r="M73" s="6">
        <v>0.19538666731554599</v>
      </c>
      <c r="N73" s="6">
        <v>-4.4862404057260059E-2</v>
      </c>
      <c r="O73" s="6">
        <v>-2.2307095141414629E-2</v>
      </c>
      <c r="P73" s="6">
        <v>3.1565546267344084E-2</v>
      </c>
      <c r="S73" s="6">
        <f t="shared" si="15"/>
        <v>2.0878647988553229E-2</v>
      </c>
      <c r="T73" s="6">
        <f t="shared" si="16"/>
        <v>2.3134699042531476E-2</v>
      </c>
      <c r="U73" s="6">
        <f t="shared" si="17"/>
        <v>8.4132276609790984E-3</v>
      </c>
      <c r="V73" s="6">
        <f t="shared" si="18"/>
        <v>-1.9336475082550569E-2</v>
      </c>
      <c r="W73" s="6">
        <f t="shared" si="19"/>
        <v>3.3539650681296086E-2</v>
      </c>
      <c r="X73" s="6">
        <f t="shared" si="20"/>
        <v>4.151974160524056E-4</v>
      </c>
      <c r="Y73" s="6">
        <f t="shared" si="21"/>
        <v>-3.5743154372135523E-2</v>
      </c>
      <c r="Z73" s="6">
        <f t="shared" si="22"/>
        <v>-4.8546894639602822E-2</v>
      </c>
      <c r="AA73" s="6">
        <f t="shared" si="23"/>
        <v>1.4525775388381573E-2</v>
      </c>
      <c r="AB73" s="6">
        <f t="shared" si="24"/>
        <v>7.7230704232038982E-2</v>
      </c>
      <c r="AC73" s="6">
        <f t="shared" si="25"/>
        <v>0.1912279135557006</v>
      </c>
      <c r="AD73" s="6">
        <f t="shared" si="26"/>
        <v>-5.7139755734701134E-2</v>
      </c>
      <c r="AE73" s="6">
        <f t="shared" si="27"/>
        <v>-1.9236028493088371E-2</v>
      </c>
      <c r="AF73" s="6">
        <f t="shared" si="28"/>
        <v>3.5093247591789639E-2</v>
      </c>
    </row>
    <row r="74" spans="3:32" x14ac:dyDescent="0.3">
      <c r="C74" s="6">
        <v>-5.778024973302702E-3</v>
      </c>
      <c r="D74" s="6">
        <v>-1.1925781468885179E-2</v>
      </c>
      <c r="E74" s="6">
        <v>-5.4226917038825827E-3</v>
      </c>
      <c r="F74" s="6">
        <v>0.10714919634424622</v>
      </c>
      <c r="G74" s="6">
        <v>-1.2306391260165469E-2</v>
      </c>
      <c r="H74" s="6">
        <v>4.2709469099471785E-2</v>
      </c>
      <c r="I74" s="6">
        <v>4.4150182091166933E-3</v>
      </c>
      <c r="J74" s="6">
        <v>3.8145268259690501E-2</v>
      </c>
      <c r="K74" s="6">
        <v>6.1599334581434996E-2</v>
      </c>
      <c r="L74" s="6">
        <v>-1.5573943433206698E-2</v>
      </c>
      <c r="M74" s="6">
        <v>1.8373220256619322E-2</v>
      </c>
      <c r="N74" s="6">
        <v>0.24846135929849955</v>
      </c>
      <c r="O74" s="6">
        <v>-2.2816077131838974E-2</v>
      </c>
      <c r="P74" s="6">
        <v>4.5637029400941954E-3</v>
      </c>
      <c r="S74" s="6">
        <f t="shared" si="15"/>
        <v>-7.5660429611126359E-3</v>
      </c>
      <c r="T74" s="6">
        <f t="shared" si="16"/>
        <v>-2.1755257965329677E-2</v>
      </c>
      <c r="U74" s="6">
        <f t="shared" si="17"/>
        <v>-7.9820458500923092E-3</v>
      </c>
      <c r="V74" s="6">
        <f t="shared" si="18"/>
        <v>0.10443984800877511</v>
      </c>
      <c r="W74" s="6">
        <f t="shared" si="19"/>
        <v>-1.3163169072776258E-2</v>
      </c>
      <c r="X74" s="6">
        <f t="shared" si="20"/>
        <v>4.1229829378242155E-2</v>
      </c>
      <c r="Y74" s="6">
        <f t="shared" si="21"/>
        <v>5.4943089892076384E-4</v>
      </c>
      <c r="Z74" s="6">
        <f t="shared" si="22"/>
        <v>4.6284149795520702E-2</v>
      </c>
      <c r="AA74" s="6">
        <f t="shared" si="23"/>
        <v>5.6330649238902041E-2</v>
      </c>
      <c r="AB74" s="6">
        <f t="shared" si="24"/>
        <v>-1.7828066804447144E-2</v>
      </c>
      <c r="AC74" s="6">
        <f t="shared" si="25"/>
        <v>1.421446649677393E-2</v>
      </c>
      <c r="AD74" s="6">
        <f t="shared" si="26"/>
        <v>0.23618400762105848</v>
      </c>
      <c r="AE74" s="6">
        <f t="shared" si="27"/>
        <v>-1.9745010483512716E-2</v>
      </c>
      <c r="AF74" s="6">
        <f t="shared" si="28"/>
        <v>8.0914042645397477E-3</v>
      </c>
    </row>
    <row r="75" spans="3:32" x14ac:dyDescent="0.3">
      <c r="C75" s="6">
        <v>1.4896890673710132E-2</v>
      </c>
      <c r="D75" s="6">
        <v>9.8065090730796278E-2</v>
      </c>
      <c r="E75" s="6">
        <v>2.987580919588809E-2</v>
      </c>
      <c r="F75" s="6">
        <v>4.3707793405685848E-2</v>
      </c>
      <c r="G75" s="6">
        <v>6.9889401658115732E-2</v>
      </c>
      <c r="H75" s="6">
        <v>5.2901831305928147E-2</v>
      </c>
      <c r="I75" s="6">
        <v>4.9358229738251366E-2</v>
      </c>
      <c r="J75" s="6">
        <v>0.12825433552367885</v>
      </c>
      <c r="K75" s="6">
        <v>0.1054987231074279</v>
      </c>
      <c r="L75" s="6">
        <v>-9.8143094103986736E-3</v>
      </c>
      <c r="M75" s="6">
        <v>1.8807716564741551E-2</v>
      </c>
      <c r="N75" s="6">
        <v>0.20915137900313091</v>
      </c>
      <c r="O75" s="6">
        <v>-2.1065288998014201E-2</v>
      </c>
      <c r="P75" s="6">
        <v>8.5426933013935558E-2</v>
      </c>
      <c r="S75" s="6">
        <f t="shared" si="15"/>
        <v>1.3108872685900198E-2</v>
      </c>
      <c r="T75" s="6">
        <f t="shared" si="16"/>
        <v>8.8235614234351778E-2</v>
      </c>
      <c r="U75" s="6">
        <f t="shared" si="17"/>
        <v>2.7316455049678362E-2</v>
      </c>
      <c r="V75" s="6">
        <f t="shared" si="18"/>
        <v>4.0998445070214738E-2</v>
      </c>
      <c r="W75" s="6">
        <f t="shared" si="19"/>
        <v>6.9032623845504945E-2</v>
      </c>
      <c r="X75" s="6">
        <f t="shared" si="20"/>
        <v>5.1422191584698518E-2</v>
      </c>
      <c r="Y75" s="6">
        <f t="shared" si="21"/>
        <v>4.5492642428055438E-2</v>
      </c>
      <c r="Z75" s="6">
        <f t="shared" si="22"/>
        <v>0.13639321705950905</v>
      </c>
      <c r="AA75" s="6">
        <f t="shared" si="23"/>
        <v>0.10023003776489495</v>
      </c>
      <c r="AB75" s="6">
        <f t="shared" si="24"/>
        <v>-1.206843278163912E-2</v>
      </c>
      <c r="AC75" s="6">
        <f t="shared" si="25"/>
        <v>1.4648962804896158E-2</v>
      </c>
      <c r="AD75" s="6">
        <f t="shared" si="26"/>
        <v>0.19687402732568984</v>
      </c>
      <c r="AE75" s="6">
        <f t="shared" si="27"/>
        <v>-1.7994222349687942E-2</v>
      </c>
      <c r="AF75" s="6">
        <f t="shared" si="28"/>
        <v>8.8954634338381106E-2</v>
      </c>
    </row>
    <row r="76" spans="3:32" x14ac:dyDescent="0.3">
      <c r="C76" s="6">
        <v>1.5402610078958693E-3</v>
      </c>
      <c r="D76" s="6">
        <v>0.21993944732342677</v>
      </c>
      <c r="E76" s="6">
        <v>4.4692111077323564E-2</v>
      </c>
      <c r="F76" s="6">
        <v>1.4957630203240695E-2</v>
      </c>
      <c r="G76" s="6">
        <v>6.9836303862605156E-2</v>
      </c>
      <c r="H76" s="6">
        <v>3.2664945098933147E-2</v>
      </c>
      <c r="I76" s="6">
        <v>6.4630114402477318E-2</v>
      </c>
      <c r="J76" s="6">
        <v>5.6014641554671306E-2</v>
      </c>
      <c r="K76" s="6">
        <v>6.2930678670917228E-2</v>
      </c>
      <c r="L76" s="6">
        <v>2.4626221768264517E-3</v>
      </c>
      <c r="M76" s="6">
        <v>-1.8807716564741676E-2</v>
      </c>
      <c r="N76" s="6">
        <v>0.15329634402134265</v>
      </c>
      <c r="O76" s="6">
        <v>6.3337933775453104E-2</v>
      </c>
      <c r="P76" s="6">
        <v>-4.5717191297074605E-2</v>
      </c>
      <c r="S76" s="6">
        <f t="shared" si="15"/>
        <v>-2.4775697991406441E-4</v>
      </c>
      <c r="T76" s="6">
        <f t="shared" si="16"/>
        <v>0.21010997082698227</v>
      </c>
      <c r="U76" s="6">
        <f t="shared" si="17"/>
        <v>4.2132756931113839E-2</v>
      </c>
      <c r="V76" s="6">
        <f t="shared" si="18"/>
        <v>1.2248281867769589E-2</v>
      </c>
      <c r="W76" s="6">
        <f t="shared" si="19"/>
        <v>6.8979526049994369E-2</v>
      </c>
      <c r="X76" s="6">
        <f t="shared" si="20"/>
        <v>3.1185305377703514E-2</v>
      </c>
      <c r="Y76" s="6">
        <f t="shared" si="21"/>
        <v>6.076452709228139E-2</v>
      </c>
      <c r="Z76" s="6">
        <f t="shared" si="22"/>
        <v>6.4153523090501499E-2</v>
      </c>
      <c r="AA76" s="6">
        <f t="shared" si="23"/>
        <v>5.7661993328384273E-2</v>
      </c>
      <c r="AB76" s="6">
        <f t="shared" si="24"/>
        <v>2.0849880558600513E-4</v>
      </c>
      <c r="AC76" s="6">
        <f t="shared" si="25"/>
        <v>-2.2966470324587068E-2</v>
      </c>
      <c r="AD76" s="6">
        <f t="shared" si="26"/>
        <v>0.14101899234390158</v>
      </c>
      <c r="AE76" s="6">
        <f t="shared" si="27"/>
        <v>6.6409000423779355E-2</v>
      </c>
      <c r="AF76" s="6">
        <f t="shared" si="28"/>
        <v>-4.218948997262905E-2</v>
      </c>
    </row>
    <row r="77" spans="3:32" x14ac:dyDescent="0.3">
      <c r="C77" s="6">
        <v>3.0980647068657906E-2</v>
      </c>
      <c r="D77" s="6">
        <v>9.7088141269606847E-3</v>
      </c>
      <c r="E77" s="6">
        <v>7.5117443100765355E-3</v>
      </c>
      <c r="F77" s="6">
        <v>4.8138640210735771E-4</v>
      </c>
      <c r="G77" s="6">
        <v>0.10226518806065771</v>
      </c>
      <c r="H77" s="6">
        <v>3.3887675410339151E-2</v>
      </c>
      <c r="I77" s="6">
        <v>3.9545038511689605E-2</v>
      </c>
      <c r="J77" s="6">
        <v>1.2566622599858641E-2</v>
      </c>
      <c r="K77" s="6">
        <v>-1.8334719993128447E-2</v>
      </c>
      <c r="L77" s="6">
        <v>0.12579334407099982</v>
      </c>
      <c r="M77" s="6">
        <v>3.2747873874854519E-2</v>
      </c>
      <c r="N77" s="6">
        <v>6.1787487765681284E-2</v>
      </c>
      <c r="O77" s="6">
        <v>7.0431028042214155E-2</v>
      </c>
      <c r="P77" s="6">
        <v>1.2297695474661375E-2</v>
      </c>
      <c r="S77" s="6">
        <f t="shared" si="15"/>
        <v>2.9192629080847972E-2</v>
      </c>
      <c r="T77" s="6">
        <f t="shared" si="16"/>
        <v>-1.2066236948381215E-4</v>
      </c>
      <c r="U77" s="6">
        <f t="shared" si="17"/>
        <v>4.9523901638668082E-3</v>
      </c>
      <c r="V77" s="6">
        <f t="shared" si="18"/>
        <v>-2.2279619333637488E-3</v>
      </c>
      <c r="W77" s="6">
        <f t="shared" si="19"/>
        <v>0.10140841024804692</v>
      </c>
      <c r="X77" s="6">
        <f t="shared" si="20"/>
        <v>3.2408035689109521E-2</v>
      </c>
      <c r="Y77" s="6">
        <f t="shared" si="21"/>
        <v>3.5679451201493677E-2</v>
      </c>
      <c r="Z77" s="6">
        <f t="shared" si="22"/>
        <v>2.0705504135688838E-2</v>
      </c>
      <c r="AA77" s="6">
        <f t="shared" si="23"/>
        <v>-2.3603405335661402E-2</v>
      </c>
      <c r="AB77" s="6">
        <f t="shared" si="24"/>
        <v>0.12353922069975937</v>
      </c>
      <c r="AC77" s="6">
        <f t="shared" si="25"/>
        <v>2.8589120115009126E-2</v>
      </c>
      <c r="AD77" s="6">
        <f t="shared" si="26"/>
        <v>4.9510136088240203E-2</v>
      </c>
      <c r="AE77" s="6">
        <f t="shared" si="27"/>
        <v>7.3502094690540407E-2</v>
      </c>
      <c r="AF77" s="6">
        <f t="shared" si="28"/>
        <v>1.5825396799106928E-2</v>
      </c>
    </row>
    <row r="78" spans="3:32" x14ac:dyDescent="0.3">
      <c r="C78" s="6">
        <v>5.5262358059044708E-5</v>
      </c>
      <c r="D78" s="6">
        <v>-1.4340834760880323E-2</v>
      </c>
      <c r="E78" s="6">
        <v>-2.6006086626644491E-2</v>
      </c>
      <c r="F78" s="6">
        <v>-1.9765730567712206E-2</v>
      </c>
      <c r="G78" s="6">
        <v>0.13297040901858076</v>
      </c>
      <c r="H78" s="6">
        <v>-6.6214712209007008E-3</v>
      </c>
      <c r="I78" s="6">
        <v>-2.8501073436594363E-2</v>
      </c>
      <c r="J78" s="6">
        <v>-3.1222048261359988E-2</v>
      </c>
      <c r="K78" s="6">
        <v>-1.1899758169076138E-2</v>
      </c>
      <c r="L78" s="6">
        <v>-0.19187909106051773</v>
      </c>
      <c r="M78" s="6">
        <v>3.1221564689738794E-2</v>
      </c>
      <c r="N78" s="6">
        <v>3.3855636939338726E-2</v>
      </c>
      <c r="O78" s="6">
        <v>0.14436376381252131</v>
      </c>
      <c r="P78" s="6">
        <v>7.4498997709222207E-4</v>
      </c>
      <c r="S78" s="6">
        <f t="shared" si="15"/>
        <v>-1.7327556297508889E-3</v>
      </c>
      <c r="T78" s="6">
        <f t="shared" si="16"/>
        <v>-2.4170311257324821E-2</v>
      </c>
      <c r="U78" s="6">
        <f t="shared" si="17"/>
        <v>-2.8565440772854219E-2</v>
      </c>
      <c r="V78" s="6">
        <f t="shared" si="18"/>
        <v>-2.2475078903183312E-2</v>
      </c>
      <c r="W78" s="6">
        <f t="shared" si="19"/>
        <v>0.13211363120596997</v>
      </c>
      <c r="X78" s="6">
        <f t="shared" si="20"/>
        <v>-8.1011109421303337E-3</v>
      </c>
      <c r="Y78" s="6">
        <f t="shared" si="21"/>
        <v>-3.2366660746790295E-2</v>
      </c>
      <c r="Z78" s="6">
        <f t="shared" si="22"/>
        <v>-2.3083166725529791E-2</v>
      </c>
      <c r="AA78" s="6">
        <f t="shared" si="23"/>
        <v>-1.7168443511609094E-2</v>
      </c>
      <c r="AB78" s="6">
        <f t="shared" si="24"/>
        <v>-0.19413321443175818</v>
      </c>
      <c r="AC78" s="6">
        <f t="shared" si="25"/>
        <v>2.7062810929893402E-2</v>
      </c>
      <c r="AD78" s="6">
        <f t="shared" si="26"/>
        <v>2.1578285261897649E-2</v>
      </c>
      <c r="AE78" s="6">
        <f t="shared" si="27"/>
        <v>0.14743483046084757</v>
      </c>
      <c r="AF78" s="6">
        <f t="shared" si="28"/>
        <v>4.2726913015377743E-3</v>
      </c>
    </row>
    <row r="79" spans="3:32" x14ac:dyDescent="0.3">
      <c r="C79" s="6">
        <v>2.1647286752214241E-2</v>
      </c>
      <c r="D79" s="6">
        <v>9.6317949087032798E-2</v>
      </c>
      <c r="E79" s="6">
        <v>4.6457421352234012E-2</v>
      </c>
      <c r="F79" s="6">
        <v>1.0579525759550863E-2</v>
      </c>
      <c r="G79" s="6">
        <v>6.3950172971977845E-2</v>
      </c>
      <c r="H79" s="6">
        <v>1.65518803663794E-2</v>
      </c>
      <c r="I79" s="6">
        <v>5.8813540394974745E-2</v>
      </c>
      <c r="J79" s="6">
        <v>5.6827999166531196E-2</v>
      </c>
      <c r="K79" s="6">
        <v>3.6830893466973054E-2</v>
      </c>
      <c r="L79" s="6">
        <v>4.2442302733244543E-2</v>
      </c>
      <c r="M79" s="6">
        <v>5.9892468031441E-2</v>
      </c>
      <c r="N79" s="6">
        <v>8.1782461476728088E-2</v>
      </c>
      <c r="O79" s="6">
        <v>1.7265178809958363E-2</v>
      </c>
      <c r="P79" s="6">
        <v>4.2572026217452014E-2</v>
      </c>
      <c r="S79" s="6">
        <f t="shared" si="15"/>
        <v>1.9859268764404307E-2</v>
      </c>
      <c r="T79" s="6">
        <f t="shared" si="16"/>
        <v>8.6488472590588297E-2</v>
      </c>
      <c r="U79" s="6">
        <f t="shared" si="17"/>
        <v>4.3898067206024287E-2</v>
      </c>
      <c r="V79" s="6">
        <f t="shared" si="18"/>
        <v>7.8701774240797565E-3</v>
      </c>
      <c r="W79" s="6">
        <f t="shared" si="19"/>
        <v>6.3093395159367058E-2</v>
      </c>
      <c r="X79" s="6">
        <f t="shared" si="20"/>
        <v>1.5072240645149768E-2</v>
      </c>
      <c r="Y79" s="6">
        <f t="shared" si="21"/>
        <v>5.4947953084778817E-2</v>
      </c>
      <c r="Z79" s="6">
        <f t="shared" si="22"/>
        <v>6.4966880702361396E-2</v>
      </c>
      <c r="AA79" s="6">
        <f t="shared" si="23"/>
        <v>3.1562208124440098E-2</v>
      </c>
      <c r="AB79" s="6">
        <f t="shared" si="24"/>
        <v>4.0188179362004098E-2</v>
      </c>
      <c r="AC79" s="6">
        <f t="shared" si="25"/>
        <v>5.5733714271595604E-2</v>
      </c>
      <c r="AD79" s="6">
        <f t="shared" si="26"/>
        <v>6.9505109799287007E-2</v>
      </c>
      <c r="AE79" s="6">
        <f t="shared" si="27"/>
        <v>2.0336245458284621E-2</v>
      </c>
      <c r="AF79" s="6">
        <f t="shared" si="28"/>
        <v>4.6099727541897569E-2</v>
      </c>
    </row>
    <row r="80" spans="3:32" x14ac:dyDescent="0.3">
      <c r="C80" s="6">
        <v>9.4726219615903634E-3</v>
      </c>
      <c r="D80" s="6">
        <v>-1.1307540975463274E-2</v>
      </c>
      <c r="E80" s="6">
        <v>-2.1584952579157442E-2</v>
      </c>
      <c r="F80" s="6">
        <v>-9.679987734303579E-3</v>
      </c>
      <c r="G80" s="6">
        <v>-1.5237948087881963E-2</v>
      </c>
      <c r="H80" s="6">
        <v>3.0141203304936234E-2</v>
      </c>
      <c r="I80" s="6">
        <v>2.713732603412709E-2</v>
      </c>
      <c r="J80" s="6">
        <v>1.3023439886286823E-2</v>
      </c>
      <c r="K80" s="6">
        <v>-7.6948149637426813E-2</v>
      </c>
      <c r="L80" s="6">
        <v>0.10054592195353983</v>
      </c>
      <c r="M80" s="6">
        <v>-4.1446064394742082E-3</v>
      </c>
      <c r="N80" s="6">
        <v>-0.14996721369834717</v>
      </c>
      <c r="O80" s="6">
        <v>-0.12201819017259058</v>
      </c>
      <c r="P80" s="6">
        <v>-5.0347185003807138E-2</v>
      </c>
      <c r="S80" s="6">
        <f t="shared" si="15"/>
        <v>7.6846039737804295E-3</v>
      </c>
      <c r="T80" s="6">
        <f t="shared" si="16"/>
        <v>-2.1137017471907771E-2</v>
      </c>
      <c r="U80" s="6">
        <f t="shared" si="17"/>
        <v>-2.414430672536717E-2</v>
      </c>
      <c r="V80" s="6">
        <f t="shared" si="18"/>
        <v>-1.2389336069774685E-2</v>
      </c>
      <c r="W80" s="6">
        <f t="shared" si="19"/>
        <v>-1.6094725900492754E-2</v>
      </c>
      <c r="X80" s="6">
        <f t="shared" si="20"/>
        <v>2.8661563583706601E-2</v>
      </c>
      <c r="Y80" s="6">
        <f t="shared" si="21"/>
        <v>2.3271738723931162E-2</v>
      </c>
      <c r="Z80" s="6">
        <f t="shared" si="22"/>
        <v>2.116232142211702E-2</v>
      </c>
      <c r="AA80" s="6">
        <f t="shared" si="23"/>
        <v>-8.2216834979959769E-2</v>
      </c>
      <c r="AB80" s="6">
        <f t="shared" si="24"/>
        <v>9.8291798582299375E-2</v>
      </c>
      <c r="AC80" s="6">
        <f t="shared" si="25"/>
        <v>-8.3033601993196017E-3</v>
      </c>
      <c r="AD80" s="6">
        <f t="shared" si="26"/>
        <v>-0.16224456537578824</v>
      </c>
      <c r="AE80" s="6">
        <f t="shared" si="27"/>
        <v>-0.11894712352426433</v>
      </c>
      <c r="AF80" s="6">
        <f t="shared" si="28"/>
        <v>-4.6819483679361583E-2</v>
      </c>
    </row>
    <row r="81" spans="3:32" x14ac:dyDescent="0.3">
      <c r="C81" s="6">
        <v>3.8307586848585352E-2</v>
      </c>
      <c r="D81" s="6">
        <v>2.129926257824849E-3</v>
      </c>
      <c r="E81" s="6">
        <v>1.6342361456957322E-2</v>
      </c>
      <c r="F81" s="6">
        <v>-2.1815441250491396E-2</v>
      </c>
      <c r="G81" s="6">
        <v>1.9947803437117884E-2</v>
      </c>
      <c r="H81" s="6">
        <v>7.9325765422078951E-3</v>
      </c>
      <c r="I81" s="6">
        <v>-6.0794684476122313E-3</v>
      </c>
      <c r="J81" s="6">
        <v>9.0087356037524033E-2</v>
      </c>
      <c r="K81" s="6">
        <v>2.2168056340472551E-2</v>
      </c>
      <c r="L81" s="6">
        <v>0.15184725508354185</v>
      </c>
      <c r="M81" s="6">
        <v>-3.930186540826869E-3</v>
      </c>
      <c r="N81" s="6">
        <v>8.8613798769353214E-2</v>
      </c>
      <c r="O81" s="6">
        <v>2.1971957955481312E-2</v>
      </c>
      <c r="P81" s="6">
        <v>1.8736607600491846E-2</v>
      </c>
      <c r="S81" s="6">
        <f t="shared" si="15"/>
        <v>3.6519568860775418E-2</v>
      </c>
      <c r="T81" s="6">
        <f t="shared" si="16"/>
        <v>-7.6995502386196478E-3</v>
      </c>
      <c r="U81" s="6">
        <f t="shared" si="17"/>
        <v>1.3783007310747596E-2</v>
      </c>
      <c r="V81" s="6">
        <f t="shared" si="18"/>
        <v>-2.4524789585962502E-2</v>
      </c>
      <c r="W81" s="6">
        <f t="shared" si="19"/>
        <v>1.9091025624507093E-2</v>
      </c>
      <c r="X81" s="6">
        <f t="shared" si="20"/>
        <v>6.4529368209782631E-3</v>
      </c>
      <c r="Y81" s="6">
        <f t="shared" si="21"/>
        <v>-9.9450557578081612E-3</v>
      </c>
      <c r="Z81" s="6">
        <f t="shared" si="22"/>
        <v>9.8226237573354233E-2</v>
      </c>
      <c r="AA81" s="6">
        <f t="shared" si="23"/>
        <v>1.6899370997939596E-2</v>
      </c>
      <c r="AB81" s="6">
        <f t="shared" si="24"/>
        <v>0.1495931317123014</v>
      </c>
      <c r="AC81" s="6">
        <f t="shared" si="25"/>
        <v>-8.0889403006722625E-3</v>
      </c>
      <c r="AD81" s="6">
        <f t="shared" si="26"/>
        <v>7.6336447091912132E-2</v>
      </c>
      <c r="AE81" s="6">
        <f t="shared" si="27"/>
        <v>2.504302460380757E-2</v>
      </c>
      <c r="AF81" s="6">
        <f t="shared" si="28"/>
        <v>2.2264308924937398E-2</v>
      </c>
    </row>
    <row r="82" spans="3:32" x14ac:dyDescent="0.3">
      <c r="C82" s="6">
        <v>-1.710687759357539E-2</v>
      </c>
      <c r="D82" s="6">
        <v>4.7169898781388667E-3</v>
      </c>
      <c r="E82" s="6">
        <v>-9.7970566426632717E-3</v>
      </c>
      <c r="F82" s="6">
        <v>-1.8396192160184263E-3</v>
      </c>
      <c r="G82" s="6">
        <v>4.722996370311195E-2</v>
      </c>
      <c r="H82" s="6">
        <v>-4.4591447763385273E-3</v>
      </c>
      <c r="I82" s="6">
        <v>1.2294314263454897E-2</v>
      </c>
      <c r="J82" s="6">
        <v>-1.3605652055778598E-2</v>
      </c>
      <c r="K82" s="6">
        <v>-1.9387380235233551E-2</v>
      </c>
      <c r="L82" s="6">
        <v>9.5500746741538189E-2</v>
      </c>
      <c r="M82" s="6">
        <v>-6.0409105639529772E-3</v>
      </c>
      <c r="N82" s="6">
        <v>6.5210305538742589E-4</v>
      </c>
      <c r="O82" s="6">
        <v>-1.7825221550897906E-2</v>
      </c>
      <c r="P82" s="6">
        <v>-3.309924016314416E-2</v>
      </c>
      <c r="S82" s="6">
        <f t="shared" si="15"/>
        <v>-1.8894895581385324E-2</v>
      </c>
      <c r="T82" s="6">
        <f t="shared" si="16"/>
        <v>-5.1124866183056301E-3</v>
      </c>
      <c r="U82" s="6">
        <f t="shared" si="17"/>
        <v>-1.2356410788872998E-2</v>
      </c>
      <c r="V82" s="6">
        <f t="shared" si="18"/>
        <v>-4.548967551489533E-3</v>
      </c>
      <c r="W82" s="6">
        <f t="shared" si="19"/>
        <v>4.6373185890501163E-2</v>
      </c>
      <c r="X82" s="6">
        <f t="shared" si="20"/>
        <v>-5.9387844975681593E-3</v>
      </c>
      <c r="Y82" s="6">
        <f t="shared" si="21"/>
        <v>8.4287269532589675E-3</v>
      </c>
      <c r="Z82" s="6">
        <f t="shared" si="22"/>
        <v>-5.4667705199484013E-3</v>
      </c>
      <c r="AA82" s="6">
        <f t="shared" si="23"/>
        <v>-2.4656065577766506E-2</v>
      </c>
      <c r="AB82" s="6">
        <f t="shared" si="24"/>
        <v>9.3246623370297738E-2</v>
      </c>
      <c r="AC82" s="6">
        <f t="shared" si="25"/>
        <v>-1.0199664323798371E-2</v>
      </c>
      <c r="AD82" s="6">
        <f t="shared" si="26"/>
        <v>-1.1625248622053651E-2</v>
      </c>
      <c r="AE82" s="6">
        <f t="shared" si="27"/>
        <v>-1.4754154902571648E-2</v>
      </c>
      <c r="AF82" s="6">
        <f t="shared" si="28"/>
        <v>-2.9571538838698608E-2</v>
      </c>
    </row>
    <row r="83" spans="3:32" x14ac:dyDescent="0.3">
      <c r="C83" s="6">
        <v>5.2442509910424225E-5</v>
      </c>
      <c r="D83" s="6">
        <v>6.7548691906548081E-2</v>
      </c>
      <c r="E83" s="6">
        <v>2.3504291001622171E-2</v>
      </c>
      <c r="F83" s="6">
        <v>4.8519111766965606E-2</v>
      </c>
      <c r="G83" s="6">
        <v>2.5009849627301087E-2</v>
      </c>
      <c r="H83" s="6">
        <v>3.7060885099851296E-2</v>
      </c>
      <c r="I83" s="6">
        <v>6.1213635215807645E-2</v>
      </c>
      <c r="J83" s="6">
        <v>0.11854378122369254</v>
      </c>
      <c r="K83" s="6">
        <v>3.6466811168179333E-2</v>
      </c>
      <c r="L83" s="6">
        <v>0.29101112864850792</v>
      </c>
      <c r="M83" s="6">
        <v>4.1986545717431198E-2</v>
      </c>
      <c r="N83" s="6">
        <v>6.6817538891042513E-2</v>
      </c>
      <c r="O83" s="6">
        <v>0.1639026605431543</v>
      </c>
      <c r="P83" s="6">
        <v>7.224629120449956E-2</v>
      </c>
      <c r="S83" s="6">
        <f t="shared" si="15"/>
        <v>-1.7355754778995095E-3</v>
      </c>
      <c r="T83" s="6">
        <f t="shared" si="16"/>
        <v>5.771921541010358E-2</v>
      </c>
      <c r="U83" s="6">
        <f t="shared" si="17"/>
        <v>2.0944936855412443E-2</v>
      </c>
      <c r="V83" s="6">
        <f t="shared" si="18"/>
        <v>4.5809763431494496E-2</v>
      </c>
      <c r="W83" s="6">
        <f t="shared" si="19"/>
        <v>2.4153071814690296E-2</v>
      </c>
      <c r="X83" s="6">
        <f t="shared" si="20"/>
        <v>3.5581245378621666E-2</v>
      </c>
      <c r="Y83" s="6">
        <f t="shared" si="21"/>
        <v>5.7348047905611717E-2</v>
      </c>
      <c r="Z83" s="6">
        <f t="shared" si="22"/>
        <v>0.12668266275952272</v>
      </c>
      <c r="AA83" s="6">
        <f t="shared" si="23"/>
        <v>3.1198125825646378E-2</v>
      </c>
      <c r="AB83" s="6">
        <f t="shared" si="24"/>
        <v>0.2887570052772675</v>
      </c>
      <c r="AC83" s="6">
        <f t="shared" si="25"/>
        <v>3.7827791957585802E-2</v>
      </c>
      <c r="AD83" s="6">
        <f t="shared" si="26"/>
        <v>5.4540187213601432E-2</v>
      </c>
      <c r="AE83" s="6">
        <f t="shared" si="27"/>
        <v>0.16697372719148057</v>
      </c>
      <c r="AF83" s="6">
        <f t="shared" si="28"/>
        <v>7.5773992528945108E-2</v>
      </c>
    </row>
    <row r="84" spans="3:32" x14ac:dyDescent="0.3">
      <c r="C84" s="6">
        <v>6.5337503429461312E-3</v>
      </c>
      <c r="D84" s="6">
        <v>-2.584238262552099E-2</v>
      </c>
      <c r="E84" s="6">
        <v>-4.2669982449904005E-3</v>
      </c>
      <c r="F84" s="6">
        <v>-4.4009709553507997E-2</v>
      </c>
      <c r="G84" s="6">
        <v>-7.894751781504461E-2</v>
      </c>
      <c r="H84" s="6">
        <v>-3.5367143837291358E-2</v>
      </c>
      <c r="I84" s="6">
        <v>-4.8456746129722297E-2</v>
      </c>
      <c r="J84" s="6">
        <v>-3.1675108479756249E-2</v>
      </c>
      <c r="K84" s="6">
        <v>9.9900930750861858E-3</v>
      </c>
      <c r="L84" s="6">
        <v>-4.3571632738021074E-2</v>
      </c>
      <c r="M84" s="6">
        <v>5.3937839187161357E-2</v>
      </c>
      <c r="N84" s="6">
        <v>1.8275972190240858E-3</v>
      </c>
      <c r="O84" s="6">
        <v>-7.0499207392188748E-3</v>
      </c>
      <c r="P84" s="6">
        <v>6.2138316023377911E-3</v>
      </c>
      <c r="S84" s="6">
        <f t="shared" si="15"/>
        <v>4.7457323551361973E-3</v>
      </c>
      <c r="T84" s="6">
        <f t="shared" si="16"/>
        <v>-3.5671859121965487E-2</v>
      </c>
      <c r="U84" s="6">
        <f t="shared" si="17"/>
        <v>-6.8263523912001269E-3</v>
      </c>
      <c r="V84" s="6">
        <f t="shared" si="18"/>
        <v>-4.6719057888979107E-2</v>
      </c>
      <c r="W84" s="6">
        <f t="shared" si="19"/>
        <v>-7.9804295627655397E-2</v>
      </c>
      <c r="X84" s="6">
        <f t="shared" si="20"/>
        <v>-3.6846783558520987E-2</v>
      </c>
      <c r="Y84" s="6">
        <f t="shared" si="21"/>
        <v>-5.2322333439918225E-2</v>
      </c>
      <c r="Z84" s="6">
        <f t="shared" si="22"/>
        <v>-2.3536226943926052E-2</v>
      </c>
      <c r="AA84" s="6">
        <f t="shared" si="23"/>
        <v>4.721407732553232E-3</v>
      </c>
      <c r="AB84" s="6">
        <f t="shared" si="24"/>
        <v>-4.5825756109261519E-2</v>
      </c>
      <c r="AC84" s="6">
        <f t="shared" si="25"/>
        <v>4.9779085427315961E-2</v>
      </c>
      <c r="AD84" s="6">
        <f t="shared" si="26"/>
        <v>-1.0449754458416992E-2</v>
      </c>
      <c r="AE84" s="6">
        <f t="shared" si="27"/>
        <v>-3.9788540908926168E-3</v>
      </c>
      <c r="AF84" s="6">
        <f t="shared" si="28"/>
        <v>9.7415329267833434E-3</v>
      </c>
    </row>
    <row r="85" spans="3:32" x14ac:dyDescent="0.3">
      <c r="C85" s="6">
        <v>2.0064112739263402E-2</v>
      </c>
      <c r="D85" s="6">
        <v>5.360387052329775E-2</v>
      </c>
      <c r="E85" s="6">
        <v>-1.5832857786531325E-2</v>
      </c>
      <c r="F85" s="6">
        <v>9.9527841251878857E-2</v>
      </c>
      <c r="G85" s="6">
        <v>2.4390526410955998E-2</v>
      </c>
      <c r="H85" s="6">
        <v>1.6857117066423025E-2</v>
      </c>
      <c r="I85" s="6">
        <v>0.10083728555865566</v>
      </c>
      <c r="J85" s="6">
        <v>-0.17637381661196858</v>
      </c>
      <c r="K85" s="6">
        <v>3.067124597048786E-2</v>
      </c>
      <c r="L85" s="6">
        <v>-6.1989369363899961E-2</v>
      </c>
      <c r="M85" s="6">
        <v>1.9084148446900207E-2</v>
      </c>
      <c r="N85" s="6">
        <v>8.065116525239345E-2</v>
      </c>
      <c r="O85" s="6">
        <v>0.19818151467733711</v>
      </c>
      <c r="P85" s="6">
        <v>2.8452408500087432E-2</v>
      </c>
      <c r="S85" s="6">
        <f t="shared" si="15"/>
        <v>1.8276094751453469E-2</v>
      </c>
      <c r="T85" s="6">
        <f t="shared" si="16"/>
        <v>4.377439402685325E-2</v>
      </c>
      <c r="U85" s="6">
        <f t="shared" si="17"/>
        <v>-1.8392211932741053E-2</v>
      </c>
      <c r="V85" s="6">
        <f t="shared" si="18"/>
        <v>9.6818492916407747E-2</v>
      </c>
      <c r="W85" s="6">
        <f t="shared" si="19"/>
        <v>2.3533748598345207E-2</v>
      </c>
      <c r="X85" s="6">
        <f t="shared" si="20"/>
        <v>1.5377477345193392E-2</v>
      </c>
      <c r="Y85" s="6">
        <f t="shared" si="21"/>
        <v>9.6971698248459734E-2</v>
      </c>
      <c r="Z85" s="6">
        <f t="shared" si="22"/>
        <v>-0.16823493507613838</v>
      </c>
      <c r="AA85" s="6">
        <f t="shared" si="23"/>
        <v>2.5402560627954908E-2</v>
      </c>
      <c r="AB85" s="6">
        <f t="shared" si="24"/>
        <v>-6.4243492735140406E-2</v>
      </c>
      <c r="AC85" s="6">
        <f t="shared" si="25"/>
        <v>1.4925394687054814E-2</v>
      </c>
      <c r="AD85" s="6">
        <f t="shared" si="26"/>
        <v>6.8373813574952369E-2</v>
      </c>
      <c r="AE85" s="6">
        <f t="shared" si="27"/>
        <v>0.20125258132566337</v>
      </c>
      <c r="AF85" s="6">
        <f t="shared" si="28"/>
        <v>3.1980109824532983E-2</v>
      </c>
    </row>
    <row r="86" spans="3:32" x14ac:dyDescent="0.3">
      <c r="C86" s="6">
        <v>-7.3295195416429509E-2</v>
      </c>
      <c r="D86" s="6">
        <v>-4.528828153369608E-2</v>
      </c>
      <c r="E86" s="6">
        <v>-3.1797319684254005E-2</v>
      </c>
      <c r="F86" s="6">
        <v>-3.4296966944903133E-2</v>
      </c>
      <c r="G86" s="6">
        <v>-4.8366143584947514E-2</v>
      </c>
      <c r="H86" s="6">
        <v>5.4174699998547522E-2</v>
      </c>
      <c r="I86" s="6">
        <v>-4.6376647927199359E-2</v>
      </c>
      <c r="J86" s="6">
        <v>6.5329210416230953E-3</v>
      </c>
      <c r="K86" s="6">
        <v>-3.3391974945663941E-2</v>
      </c>
      <c r="L86" s="6">
        <v>-8.1882375467868432E-2</v>
      </c>
      <c r="M86" s="6">
        <v>-6.3016345516740319E-2</v>
      </c>
      <c r="N86" s="6">
        <v>2.1661496781179467E-2</v>
      </c>
      <c r="O86" s="6">
        <v>-3.705811630344058E-2</v>
      </c>
      <c r="P86" s="6">
        <v>-5.6579039547959675E-2</v>
      </c>
      <c r="S86" s="6">
        <f t="shared" si="15"/>
        <v>-7.5083213404239443E-2</v>
      </c>
      <c r="T86" s="6">
        <f t="shared" si="16"/>
        <v>-5.5117758030140573E-2</v>
      </c>
      <c r="U86" s="6">
        <f t="shared" si="17"/>
        <v>-3.435667383046373E-2</v>
      </c>
      <c r="V86" s="6">
        <f t="shared" si="18"/>
        <v>-3.7006315280374243E-2</v>
      </c>
      <c r="W86" s="6">
        <f t="shared" si="19"/>
        <v>-4.9222921397558302E-2</v>
      </c>
      <c r="X86" s="6">
        <f t="shared" si="20"/>
        <v>5.2695060277317893E-2</v>
      </c>
      <c r="Y86" s="6">
        <f t="shared" si="21"/>
        <v>-5.0242235237395287E-2</v>
      </c>
      <c r="Z86" s="6">
        <f t="shared" si="22"/>
        <v>1.4671802577453291E-2</v>
      </c>
      <c r="AA86" s="6">
        <f t="shared" si="23"/>
        <v>-3.8660660288196896E-2</v>
      </c>
      <c r="AB86" s="6">
        <f t="shared" si="24"/>
        <v>-8.4136498839108884E-2</v>
      </c>
      <c r="AC86" s="6">
        <f t="shared" si="25"/>
        <v>-6.7175099276585715E-2</v>
      </c>
      <c r="AD86" s="6">
        <f t="shared" si="26"/>
        <v>9.3841451037383894E-3</v>
      </c>
      <c r="AE86" s="6">
        <f t="shared" si="27"/>
        <v>-3.3987049655114322E-2</v>
      </c>
      <c r="AF86" s="6">
        <f t="shared" si="28"/>
        <v>-5.305133822351412E-2</v>
      </c>
    </row>
    <row r="87" spans="3:32" x14ac:dyDescent="0.3">
      <c r="C87" s="6">
        <v>-2.3348661983835253E-2</v>
      </c>
      <c r="D87" s="6">
        <v>-8.9619152894988036E-2</v>
      </c>
      <c r="E87" s="6">
        <v>-2.0870376342923932E-2</v>
      </c>
      <c r="F87" s="6">
        <v>1.1254824434786193E-2</v>
      </c>
      <c r="G87" s="6">
        <v>-4.5162858108805951E-2</v>
      </c>
      <c r="H87" s="6">
        <v>-8.3459726119423875E-3</v>
      </c>
      <c r="I87" s="6">
        <v>-2.9690114566811067E-2</v>
      </c>
      <c r="J87" s="6">
        <v>-6.932515259982773E-2</v>
      </c>
      <c r="K87" s="6">
        <v>-1.5198980275414494E-2</v>
      </c>
      <c r="L87" s="6">
        <v>-7.4892399980316382E-2</v>
      </c>
      <c r="M87" s="6">
        <v>-3.3520177962962409E-2</v>
      </c>
      <c r="N87" s="6">
        <v>-0.16640494475072529</v>
      </c>
      <c r="O87" s="6">
        <v>-8.5675216830398498E-2</v>
      </c>
      <c r="P87" s="6">
        <v>-3.6271114415502938E-2</v>
      </c>
      <c r="S87" s="6">
        <f t="shared" si="15"/>
        <v>-2.5136679971645186E-2</v>
      </c>
      <c r="T87" s="6">
        <f t="shared" si="16"/>
        <v>-9.9448629391432536E-2</v>
      </c>
      <c r="U87" s="6">
        <f t="shared" si="17"/>
        <v>-2.342973048913366E-2</v>
      </c>
      <c r="V87" s="6">
        <f t="shared" si="18"/>
        <v>8.5454760993150872E-3</v>
      </c>
      <c r="W87" s="6">
        <f t="shared" si="19"/>
        <v>-4.6019635921416738E-2</v>
      </c>
      <c r="X87" s="6">
        <f t="shared" si="20"/>
        <v>-9.8256123331720187E-3</v>
      </c>
      <c r="Y87" s="6">
        <f t="shared" si="21"/>
        <v>-3.3555701877006995E-2</v>
      </c>
      <c r="Z87" s="6">
        <f t="shared" si="22"/>
        <v>-6.118627106399753E-2</v>
      </c>
      <c r="AA87" s="6">
        <f t="shared" si="23"/>
        <v>-2.0467665617947446E-2</v>
      </c>
      <c r="AB87" s="6">
        <f t="shared" si="24"/>
        <v>-7.7146523351556834E-2</v>
      </c>
      <c r="AC87" s="6">
        <f t="shared" si="25"/>
        <v>-3.7678931722807806E-2</v>
      </c>
      <c r="AD87" s="6">
        <f t="shared" si="26"/>
        <v>-0.17868229642816635</v>
      </c>
      <c r="AE87" s="6">
        <f t="shared" si="27"/>
        <v>-8.2604150182072247E-2</v>
      </c>
      <c r="AF87" s="6">
        <f t="shared" si="28"/>
        <v>-3.2743413091057383E-2</v>
      </c>
    </row>
    <row r="88" spans="3:32" x14ac:dyDescent="0.3">
      <c r="C88" s="6">
        <v>-1.8735645118341585E-2</v>
      </c>
      <c r="D88" s="6">
        <v>5.8245813702432141E-2</v>
      </c>
      <c r="E88" s="6">
        <v>-1.4212226858409897E-2</v>
      </c>
      <c r="F88" s="6">
        <v>-1.6341504416980582E-2</v>
      </c>
      <c r="G88" s="6">
        <v>-0.1187055710964053</v>
      </c>
      <c r="H88" s="6">
        <v>-3.8218397923577153E-2</v>
      </c>
      <c r="I88" s="6">
        <v>-6.2904353426330481E-2</v>
      </c>
      <c r="J88" s="6">
        <v>-8.8553397341445059E-2</v>
      </c>
      <c r="K88" s="6">
        <v>-9.6265403427975328E-3</v>
      </c>
      <c r="L88" s="6">
        <v>-0.10151380422926422</v>
      </c>
      <c r="M88" s="6">
        <v>2.2172854070136985E-2</v>
      </c>
      <c r="N88" s="6">
        <v>-6.7788442750069441E-2</v>
      </c>
      <c r="O88" s="6">
        <v>5.0454087851321567E-4</v>
      </c>
      <c r="P88" s="6">
        <v>-4.6655212930430375E-3</v>
      </c>
      <c r="S88" s="6">
        <f t="shared" si="15"/>
        <v>-2.0523663106151519E-2</v>
      </c>
      <c r="T88" s="6">
        <f t="shared" si="16"/>
        <v>4.8416337205987647E-2</v>
      </c>
      <c r="U88" s="6">
        <f t="shared" si="17"/>
        <v>-1.6771581004619625E-2</v>
      </c>
      <c r="V88" s="6">
        <f t="shared" si="18"/>
        <v>-1.9050852752451688E-2</v>
      </c>
      <c r="W88" s="6">
        <f t="shared" si="19"/>
        <v>-0.11956234890901608</v>
      </c>
      <c r="X88" s="6">
        <f t="shared" si="20"/>
        <v>-3.9698037644806783E-2</v>
      </c>
      <c r="Y88" s="6">
        <f t="shared" si="21"/>
        <v>-6.6769940736526409E-2</v>
      </c>
      <c r="Z88" s="6">
        <f t="shared" si="22"/>
        <v>-8.0414515805614858E-2</v>
      </c>
      <c r="AA88" s="6">
        <f t="shared" si="23"/>
        <v>-1.4895225685330487E-2</v>
      </c>
      <c r="AB88" s="6">
        <f t="shared" si="24"/>
        <v>-0.10376792760050467</v>
      </c>
      <c r="AC88" s="6">
        <f t="shared" si="25"/>
        <v>1.8014100310291593E-2</v>
      </c>
      <c r="AD88" s="6">
        <f t="shared" si="26"/>
        <v>-8.0065794427510523E-2</v>
      </c>
      <c r="AE88" s="6">
        <f t="shared" si="27"/>
        <v>3.5756075268394733E-3</v>
      </c>
      <c r="AF88" s="6">
        <f t="shared" si="28"/>
        <v>-1.1378199685974856E-3</v>
      </c>
    </row>
    <row r="89" spans="3:32" x14ac:dyDescent="0.3">
      <c r="C89" s="6">
        <v>2.3337224506253518E-2</v>
      </c>
      <c r="D89" s="6">
        <v>6.0923449598775867E-2</v>
      </c>
      <c r="E89" s="6">
        <v>2.0330353366573593E-2</v>
      </c>
      <c r="F89" s="6">
        <v>1.8808357348497045E-2</v>
      </c>
      <c r="G89" s="6">
        <v>0.10183209288233351</v>
      </c>
      <c r="H89" s="6">
        <v>3.002101493577514E-4</v>
      </c>
      <c r="I89" s="6">
        <v>7.9121291879492277E-3</v>
      </c>
      <c r="J89" s="6">
        <v>7.5963468919347764E-3</v>
      </c>
      <c r="K89" s="6">
        <v>1.8760250583106229E-2</v>
      </c>
      <c r="L89" s="6">
        <v>1.4513649135798371E-2</v>
      </c>
      <c r="M89" s="6">
        <v>-1.6469633409939403E-2</v>
      </c>
      <c r="N89" s="6">
        <v>8.9872710002364582E-3</v>
      </c>
      <c r="O89" s="6">
        <v>-3.0082268355914016E-2</v>
      </c>
      <c r="P89" s="6">
        <v>2.1047123664929088E-2</v>
      </c>
      <c r="S89" s="6">
        <f t="shared" si="15"/>
        <v>2.1549206518443585E-2</v>
      </c>
      <c r="T89" s="6">
        <f t="shared" si="16"/>
        <v>5.1093973102331366E-2</v>
      </c>
      <c r="U89" s="6">
        <f t="shared" si="17"/>
        <v>1.7770999220363865E-2</v>
      </c>
      <c r="V89" s="6">
        <f t="shared" si="18"/>
        <v>1.6099009013025939E-2</v>
      </c>
      <c r="W89" s="6">
        <f t="shared" si="19"/>
        <v>0.10097531506972272</v>
      </c>
      <c r="X89" s="6">
        <f t="shared" si="20"/>
        <v>-1.1794295718718806E-3</v>
      </c>
      <c r="Y89" s="6">
        <f t="shared" si="21"/>
        <v>4.0465418777532979E-3</v>
      </c>
      <c r="Z89" s="6">
        <f t="shared" si="22"/>
        <v>1.5735228427764973E-2</v>
      </c>
      <c r="AA89" s="6">
        <f t="shared" si="23"/>
        <v>1.3491565240573275E-2</v>
      </c>
      <c r="AB89" s="6">
        <f t="shared" si="24"/>
        <v>1.2259525764557924E-2</v>
      </c>
      <c r="AC89" s="6">
        <f t="shared" si="25"/>
        <v>-2.0628387169784795E-2</v>
      </c>
      <c r="AD89" s="6">
        <f t="shared" si="26"/>
        <v>-3.2900806772046196E-3</v>
      </c>
      <c r="AE89" s="6">
        <f t="shared" si="27"/>
        <v>-2.7011201707587758E-2</v>
      </c>
      <c r="AF89" s="6">
        <f t="shared" si="28"/>
        <v>2.457482498937464E-2</v>
      </c>
    </row>
    <row r="90" spans="3:32" x14ac:dyDescent="0.3">
      <c r="C90" s="6">
        <v>5.8973262530996114E-2</v>
      </c>
      <c r="D90" s="6">
        <v>5.269387764990531E-2</v>
      </c>
      <c r="E90" s="6">
        <v>1.7433379952222997E-2</v>
      </c>
      <c r="F90" s="6">
        <v>4.3540808283288185E-2</v>
      </c>
      <c r="G90" s="6">
        <v>2.6552428401140398E-2</v>
      </c>
      <c r="H90" s="6">
        <v>3.5820765387400672E-2</v>
      </c>
      <c r="I90" s="6">
        <v>3.7400385665967532E-2</v>
      </c>
      <c r="J90" s="6">
        <v>0.12102103093015885</v>
      </c>
      <c r="K90" s="6">
        <v>7.5000550212126676E-2</v>
      </c>
      <c r="L90" s="6">
        <v>4.9008164593472528E-2</v>
      </c>
      <c r="M90" s="6">
        <v>6.7718174054950855E-2</v>
      </c>
      <c r="N90" s="6">
        <v>4.3763294385292265E-2</v>
      </c>
      <c r="O90" s="6">
        <v>6.0142909664532979E-2</v>
      </c>
      <c r="P90" s="6">
        <v>5.7683468818702843E-2</v>
      </c>
      <c r="S90" s="6">
        <f t="shared" si="15"/>
        <v>5.718524454318618E-2</v>
      </c>
      <c r="T90" s="6">
        <f t="shared" si="16"/>
        <v>4.286440115346081E-2</v>
      </c>
      <c r="U90" s="6">
        <f t="shared" si="17"/>
        <v>1.4874025806013271E-2</v>
      </c>
      <c r="V90" s="6">
        <f t="shared" si="18"/>
        <v>4.0831459947817075E-2</v>
      </c>
      <c r="W90" s="6">
        <f t="shared" si="19"/>
        <v>2.5695650588529607E-2</v>
      </c>
      <c r="X90" s="6">
        <f t="shared" si="20"/>
        <v>3.4341125666171042E-2</v>
      </c>
      <c r="Y90" s="6">
        <f t="shared" si="21"/>
        <v>3.3534798355771604E-2</v>
      </c>
      <c r="Z90" s="6">
        <f t="shared" si="22"/>
        <v>0.12915991246598904</v>
      </c>
      <c r="AA90" s="6">
        <f t="shared" si="23"/>
        <v>6.9731864869593721E-2</v>
      </c>
      <c r="AB90" s="6">
        <f t="shared" si="24"/>
        <v>4.6754041222232083E-2</v>
      </c>
      <c r="AC90" s="6">
        <f t="shared" si="25"/>
        <v>6.3559420295105459E-2</v>
      </c>
      <c r="AD90" s="6">
        <f t="shared" si="26"/>
        <v>3.1485942707851183E-2</v>
      </c>
      <c r="AE90" s="6">
        <f t="shared" si="27"/>
        <v>6.321397631285923E-2</v>
      </c>
      <c r="AF90" s="6">
        <f t="shared" si="28"/>
        <v>6.1211170143148398E-2</v>
      </c>
    </row>
    <row r="91" spans="3:32" x14ac:dyDescent="0.3">
      <c r="C91" s="6">
        <v>-6.1383645154890747E-2</v>
      </c>
      <c r="D91" s="6">
        <v>-6.252035698133393E-2</v>
      </c>
      <c r="E91" s="6">
        <v>1.692526789134478E-2</v>
      </c>
      <c r="F91" s="6">
        <v>5.2933515745732952E-3</v>
      </c>
      <c r="G91" s="6">
        <v>1.414381949838937E-2</v>
      </c>
      <c r="H91" s="6">
        <v>7.9609195447424852E-4</v>
      </c>
      <c r="I91" s="6">
        <v>5.0818760822618813E-3</v>
      </c>
      <c r="J91" s="6">
        <v>-0.10599928923432095</v>
      </c>
      <c r="K91" s="6">
        <v>4.1667633269654503E-2</v>
      </c>
      <c r="L91" s="6">
        <v>5.1235593017768331E-2</v>
      </c>
      <c r="M91" s="6">
        <v>4.2426877387902184E-3</v>
      </c>
      <c r="N91" s="6">
        <v>-3.2992441672192608E-3</v>
      </c>
      <c r="O91" s="6">
        <v>2.1188515913223911E-2</v>
      </c>
      <c r="P91" s="6">
        <v>4.7294565830150173E-3</v>
      </c>
      <c r="S91" s="6">
        <f t="shared" si="15"/>
        <v>-6.3171663142700674E-2</v>
      </c>
      <c r="T91" s="6">
        <f t="shared" si="16"/>
        <v>-7.234983347777843E-2</v>
      </c>
      <c r="U91" s="6">
        <f t="shared" si="17"/>
        <v>1.4365913745135054E-2</v>
      </c>
      <c r="V91" s="6">
        <f t="shared" si="18"/>
        <v>2.5840032391021887E-3</v>
      </c>
      <c r="W91" s="6">
        <f t="shared" si="19"/>
        <v>1.3287041685778581E-2</v>
      </c>
      <c r="X91" s="6">
        <f t="shared" si="20"/>
        <v>-6.8354776675538353E-4</v>
      </c>
      <c r="Y91" s="6">
        <f t="shared" si="21"/>
        <v>1.2162887720659518E-3</v>
      </c>
      <c r="Z91" s="6">
        <f t="shared" si="22"/>
        <v>-9.7860407698490748E-2</v>
      </c>
      <c r="AA91" s="6">
        <f t="shared" si="23"/>
        <v>3.6398947927121547E-2</v>
      </c>
      <c r="AB91" s="6">
        <f t="shared" si="24"/>
        <v>4.8981469646527886E-2</v>
      </c>
      <c r="AC91" s="6">
        <f t="shared" si="25"/>
        <v>8.3933978944824954E-5</v>
      </c>
      <c r="AD91" s="6">
        <f t="shared" si="26"/>
        <v>-1.5576595844660339E-2</v>
      </c>
      <c r="AE91" s="6">
        <f t="shared" si="27"/>
        <v>2.4259582561550169E-2</v>
      </c>
      <c r="AF91" s="6">
        <f t="shared" si="28"/>
        <v>8.2571579074605696E-3</v>
      </c>
    </row>
    <row r="92" spans="3:32" x14ac:dyDescent="0.3">
      <c r="C92" s="6">
        <v>-1.7951160144431801E-2</v>
      </c>
      <c r="D92" s="6">
        <v>-3.7335285194665543E-2</v>
      </c>
      <c r="E92" s="6">
        <v>-1.2189950640802258E-2</v>
      </c>
      <c r="F92" s="6">
        <v>7.4512726957422807E-3</v>
      </c>
      <c r="G92" s="6">
        <v>9.9107606502291057E-2</v>
      </c>
      <c r="H92" s="6">
        <v>1.5505299507593953E-2</v>
      </c>
      <c r="I92" s="6">
        <v>8.0909836238566187E-3</v>
      </c>
      <c r="J92" s="6">
        <v>-2.47991145341327E-2</v>
      </c>
      <c r="K92" s="6">
        <v>-1.5830515877681729E-2</v>
      </c>
      <c r="L92" s="6">
        <v>7.3063812310228296E-4</v>
      </c>
      <c r="M92" s="6">
        <v>5.9096837252280007E-3</v>
      </c>
      <c r="N92" s="6">
        <v>1.3132165083458252E-2</v>
      </c>
      <c r="O92" s="6">
        <v>-9.0338731433227473E-2</v>
      </c>
      <c r="P92" s="6">
        <v>-1.3271131424520688E-2</v>
      </c>
      <c r="S92" s="6">
        <f t="shared" si="15"/>
        <v>-1.9739178132241735E-2</v>
      </c>
      <c r="T92" s="6">
        <f t="shared" si="16"/>
        <v>-4.7164761691110044E-2</v>
      </c>
      <c r="U92" s="6">
        <f t="shared" si="17"/>
        <v>-1.4749304787011985E-2</v>
      </c>
      <c r="V92" s="6">
        <f t="shared" si="18"/>
        <v>4.7419243602711738E-3</v>
      </c>
      <c r="W92" s="6">
        <f t="shared" si="19"/>
        <v>9.825082868968027E-2</v>
      </c>
      <c r="X92" s="6">
        <f t="shared" si="20"/>
        <v>1.402565978636432E-2</v>
      </c>
      <c r="Y92" s="6">
        <f t="shared" si="21"/>
        <v>4.2253963136606888E-3</v>
      </c>
      <c r="Z92" s="6">
        <f t="shared" si="22"/>
        <v>-1.6660232998302504E-2</v>
      </c>
      <c r="AA92" s="6">
        <f t="shared" si="23"/>
        <v>-2.1099201220214685E-2</v>
      </c>
      <c r="AB92" s="6">
        <f t="shared" si="24"/>
        <v>-1.5234852481381636E-3</v>
      </c>
      <c r="AC92" s="6">
        <f t="shared" si="25"/>
        <v>1.7509299653826072E-3</v>
      </c>
      <c r="AD92" s="6">
        <f t="shared" si="26"/>
        <v>8.5481340601717415E-4</v>
      </c>
      <c r="AE92" s="6">
        <f t="shared" si="27"/>
        <v>-8.7267664784901222E-2</v>
      </c>
      <c r="AF92" s="6">
        <f t="shared" si="28"/>
        <v>-9.7434301000751365E-3</v>
      </c>
    </row>
    <row r="93" spans="3:32" x14ac:dyDescent="0.3">
      <c r="C93" s="6">
        <v>-1.2578618010708929E-3</v>
      </c>
      <c r="D93" s="6">
        <v>-5.3573797086275778E-2</v>
      </c>
      <c r="E93" s="6">
        <v>-4.0825779882637463E-2</v>
      </c>
      <c r="F93" s="6">
        <v>-5.3440699154772724E-2</v>
      </c>
      <c r="G93" s="6">
        <v>-0.11378215740181732</v>
      </c>
      <c r="H93" s="6">
        <v>-8.3682059462221001E-2</v>
      </c>
      <c r="I93" s="6">
        <v>-4.1041783364361272E-3</v>
      </c>
      <c r="J93" s="6">
        <v>-5.2673239408738269E-2</v>
      </c>
      <c r="K93" s="6">
        <v>-1.7560356121488568E-2</v>
      </c>
      <c r="L93" s="6">
        <v>-0.14643050648195322</v>
      </c>
      <c r="M93" s="6">
        <v>-6.7686005750378669E-2</v>
      </c>
      <c r="N93" s="6">
        <v>-8.1511496187286675E-2</v>
      </c>
      <c r="O93" s="6">
        <v>-9.6136642394904145E-2</v>
      </c>
      <c r="P93" s="6">
        <v>-3.2297748720762749E-2</v>
      </c>
      <c r="S93" s="6">
        <f t="shared" si="15"/>
        <v>-3.0458797888808266E-3</v>
      </c>
      <c r="T93" s="6">
        <f t="shared" si="16"/>
        <v>-6.3403273582720271E-2</v>
      </c>
      <c r="U93" s="6">
        <f t="shared" si="17"/>
        <v>-4.3385134028847187E-2</v>
      </c>
      <c r="V93" s="6">
        <f t="shared" si="18"/>
        <v>-5.6150047490243833E-2</v>
      </c>
      <c r="W93" s="6">
        <f t="shared" si="19"/>
        <v>-0.11463893521442811</v>
      </c>
      <c r="X93" s="6">
        <f t="shared" si="20"/>
        <v>-8.5161699183450637E-2</v>
      </c>
      <c r="Y93" s="6">
        <f t="shared" si="21"/>
        <v>-7.9697656466320571E-3</v>
      </c>
      <c r="Z93" s="6">
        <f t="shared" si="22"/>
        <v>-4.4534357872908076E-2</v>
      </c>
      <c r="AA93" s="6">
        <f t="shared" si="23"/>
        <v>-2.2829041464021524E-2</v>
      </c>
      <c r="AB93" s="6">
        <f t="shared" si="24"/>
        <v>-0.14868462985319367</v>
      </c>
      <c r="AC93" s="6">
        <f t="shared" si="25"/>
        <v>-7.1844759510224065E-2</v>
      </c>
      <c r="AD93" s="6">
        <f t="shared" si="26"/>
        <v>-9.3788847864727756E-2</v>
      </c>
      <c r="AE93" s="6">
        <f t="shared" si="27"/>
        <v>-9.3065575746577894E-2</v>
      </c>
      <c r="AF93" s="6">
        <f t="shared" si="28"/>
        <v>-2.8770047396317198E-2</v>
      </c>
    </row>
    <row r="94" spans="3:32" x14ac:dyDescent="0.3">
      <c r="C94" s="6">
        <v>-2.069438013026861E-2</v>
      </c>
      <c r="D94" s="6">
        <v>4.442041509978855E-2</v>
      </c>
      <c r="E94" s="6">
        <v>-3.9825578904485945E-3</v>
      </c>
      <c r="F94" s="6">
        <v>4.6723688081164233E-3</v>
      </c>
      <c r="G94" s="6">
        <v>2.1572236252096959E-2</v>
      </c>
      <c r="H94" s="6">
        <v>-1.5610682293178083E-2</v>
      </c>
      <c r="I94" s="6">
        <v>3.7711336387596136E-3</v>
      </c>
      <c r="J94" s="6">
        <v>2.5001302205417401E-2</v>
      </c>
      <c r="K94" s="6">
        <v>2.9157998358595401E-2</v>
      </c>
      <c r="L94" s="6">
        <v>5.6437873716984166E-2</v>
      </c>
      <c r="M94" s="6">
        <v>3.4959312247821686E-2</v>
      </c>
      <c r="N94" s="6">
        <v>0.1242885255433452</v>
      </c>
      <c r="O94" s="6">
        <v>1.8876579372867221E-2</v>
      </c>
      <c r="P94" s="6">
        <v>1.5707506460565901E-2</v>
      </c>
      <c r="S94" s="6">
        <f t="shared" si="15"/>
        <v>-2.2482398118078544E-2</v>
      </c>
      <c r="T94" s="6">
        <f t="shared" si="16"/>
        <v>3.4590938603344057E-2</v>
      </c>
      <c r="U94" s="6">
        <f t="shared" si="17"/>
        <v>-6.5419120366583209E-3</v>
      </c>
      <c r="V94" s="6">
        <f t="shared" si="18"/>
        <v>1.9630204726453168E-3</v>
      </c>
      <c r="W94" s="6">
        <f t="shared" si="19"/>
        <v>2.0715458439486169E-2</v>
      </c>
      <c r="X94" s="6">
        <f t="shared" si="20"/>
        <v>-1.7090322014407716E-2</v>
      </c>
      <c r="Y94" s="6">
        <f t="shared" si="21"/>
        <v>-9.445367143631582E-5</v>
      </c>
      <c r="Z94" s="6">
        <f t="shared" si="22"/>
        <v>3.3140183741247595E-2</v>
      </c>
      <c r="AA94" s="6">
        <f t="shared" si="23"/>
        <v>2.3889313016062445E-2</v>
      </c>
      <c r="AB94" s="6">
        <f t="shared" si="24"/>
        <v>5.4183750345743721E-2</v>
      </c>
      <c r="AC94" s="6">
        <f t="shared" si="25"/>
        <v>3.0800558487976294E-2</v>
      </c>
      <c r="AD94" s="6">
        <f t="shared" si="26"/>
        <v>0.11201117386590412</v>
      </c>
      <c r="AE94" s="6">
        <f t="shared" si="27"/>
        <v>2.1947646021193479E-2</v>
      </c>
      <c r="AF94" s="6">
        <f t="shared" si="28"/>
        <v>1.9235207785011452E-2</v>
      </c>
    </row>
    <row r="95" spans="3:32" x14ac:dyDescent="0.3">
      <c r="C95" s="6">
        <v>3.6023396083528773E-2</v>
      </c>
      <c r="D95" s="6">
        <v>5.0649408976903912E-2</v>
      </c>
      <c r="E95" s="6">
        <v>3.5804200770149001E-2</v>
      </c>
      <c r="F95" s="6">
        <v>5.0077516656275363E-2</v>
      </c>
      <c r="G95" s="6">
        <v>4.0377486821194013E-2</v>
      </c>
      <c r="H95" s="6">
        <v>6.5861928528566554E-3</v>
      </c>
      <c r="I95" s="6">
        <v>4.9454557546449833E-2</v>
      </c>
      <c r="J95" s="6">
        <v>-3.1929736387381329E-2</v>
      </c>
      <c r="K95" s="6">
        <v>5.4130108023830753E-2</v>
      </c>
      <c r="L95" s="6">
        <v>4.4034729063098466E-2</v>
      </c>
      <c r="M95" s="6">
        <v>-4.5766670274118666E-3</v>
      </c>
      <c r="N95" s="6">
        <v>3.7416201385422232E-2</v>
      </c>
      <c r="O95" s="6">
        <v>1.7413724679329456E-2</v>
      </c>
      <c r="P95" s="6">
        <v>-6.5892979132295595E-2</v>
      </c>
      <c r="S95" s="6">
        <f t="shared" si="15"/>
        <v>3.4235378095718839E-2</v>
      </c>
      <c r="T95" s="6">
        <f t="shared" si="16"/>
        <v>4.0819932480459412E-2</v>
      </c>
      <c r="U95" s="6">
        <f t="shared" si="17"/>
        <v>3.3244846623939277E-2</v>
      </c>
      <c r="V95" s="6">
        <f t="shared" si="18"/>
        <v>4.7368168320804253E-2</v>
      </c>
      <c r="W95" s="6">
        <f t="shared" si="19"/>
        <v>3.9520709008583225E-2</v>
      </c>
      <c r="X95" s="6">
        <f t="shared" si="20"/>
        <v>5.1065531316270233E-3</v>
      </c>
      <c r="Y95" s="6">
        <f t="shared" si="21"/>
        <v>4.5588970236253905E-2</v>
      </c>
      <c r="Z95" s="6">
        <f t="shared" si="22"/>
        <v>-2.3790854851551132E-2</v>
      </c>
      <c r="AA95" s="6">
        <f t="shared" si="23"/>
        <v>4.8861422681297798E-2</v>
      </c>
      <c r="AB95" s="6">
        <f t="shared" si="24"/>
        <v>4.1780605691858021E-2</v>
      </c>
      <c r="AC95" s="6">
        <f t="shared" si="25"/>
        <v>-8.7354207872572601E-3</v>
      </c>
      <c r="AD95" s="6">
        <f t="shared" si="26"/>
        <v>2.5138849707981154E-2</v>
      </c>
      <c r="AE95" s="6">
        <f t="shared" si="27"/>
        <v>2.0484791327655714E-2</v>
      </c>
      <c r="AF95" s="6">
        <f t="shared" si="28"/>
        <v>-6.2365277807850041E-2</v>
      </c>
    </row>
    <row r="96" spans="3:32" x14ac:dyDescent="0.3">
      <c r="C96" s="6">
        <v>7.6331964047714846E-3</v>
      </c>
      <c r="D96" s="6">
        <v>-6.5775286471452081E-3</v>
      </c>
      <c r="E96" s="6">
        <v>1.4351366606158004E-3</v>
      </c>
      <c r="F96" s="6">
        <v>-1.6003495086480092E-3</v>
      </c>
      <c r="G96" s="6">
        <v>-3.6787105176749851E-2</v>
      </c>
      <c r="H96" s="6">
        <v>1.4200044618350225E-2</v>
      </c>
      <c r="I96" s="6">
        <v>-2.3487600463240189E-3</v>
      </c>
      <c r="J96" s="6">
        <v>5.7770235769220796E-3</v>
      </c>
      <c r="K96" s="6">
        <v>4.9843378523162257E-2</v>
      </c>
      <c r="L96" s="6">
        <v>-6.6256369317887254E-2</v>
      </c>
      <c r="M96" s="6">
        <v>-5.1546252271412053E-2</v>
      </c>
      <c r="N96" s="6">
        <v>4.416378560700069E-2</v>
      </c>
      <c r="O96" s="6">
        <v>-8.3587430044916006E-2</v>
      </c>
      <c r="P96" s="6">
        <v>-4.2586174491040921E-2</v>
      </c>
      <c r="S96" s="6">
        <f t="shared" si="15"/>
        <v>5.8451784169615507E-3</v>
      </c>
      <c r="T96" s="6">
        <f t="shared" si="16"/>
        <v>-1.6407005143589705E-2</v>
      </c>
      <c r="U96" s="6">
        <f t="shared" si="17"/>
        <v>-1.1242174855939265E-3</v>
      </c>
      <c r="V96" s="6">
        <f t="shared" si="18"/>
        <v>-4.3096978441191161E-3</v>
      </c>
      <c r="W96" s="6">
        <f t="shared" si="19"/>
        <v>-3.7643882989360639E-2</v>
      </c>
      <c r="X96" s="6">
        <f t="shared" si="20"/>
        <v>1.2720404897120594E-2</v>
      </c>
      <c r="Y96" s="6">
        <f t="shared" si="21"/>
        <v>-6.2143473565199484E-3</v>
      </c>
      <c r="Z96" s="6">
        <f t="shared" si="22"/>
        <v>1.3915905112752276E-2</v>
      </c>
      <c r="AA96" s="6">
        <f t="shared" si="23"/>
        <v>4.4574693180629302E-2</v>
      </c>
      <c r="AB96" s="6">
        <f t="shared" si="24"/>
        <v>-6.8510492689127706E-2</v>
      </c>
      <c r="AC96" s="6">
        <f t="shared" si="25"/>
        <v>-5.5705006031257449E-2</v>
      </c>
      <c r="AD96" s="6">
        <f t="shared" si="26"/>
        <v>3.1886433929559616E-2</v>
      </c>
      <c r="AE96" s="6">
        <f t="shared" si="27"/>
        <v>-8.0516363396589755E-2</v>
      </c>
      <c r="AF96" s="6">
        <f t="shared" si="28"/>
        <v>-3.9058473166595366E-2</v>
      </c>
    </row>
    <row r="97" spans="3:32" x14ac:dyDescent="0.3">
      <c r="C97" s="6">
        <v>-3.3949753506396223E-2</v>
      </c>
      <c r="D97" s="6">
        <v>-9.3793512663756087E-2</v>
      </c>
      <c r="E97" s="6">
        <v>-3.23961163528597E-3</v>
      </c>
      <c r="F97" s="6">
        <v>-1.2895841082924995E-2</v>
      </c>
      <c r="G97" s="6">
        <v>-0.16939180878553697</v>
      </c>
      <c r="H97" s="6">
        <v>-3.6244946359735367E-2</v>
      </c>
      <c r="I97" s="6">
        <v>-1.9380078430695145E-2</v>
      </c>
      <c r="J97" s="6">
        <v>8.3934451485150482E-2</v>
      </c>
      <c r="K97" s="6">
        <v>-3.81960390864702E-2</v>
      </c>
      <c r="L97" s="6">
        <v>1.6611902022918641E-2</v>
      </c>
      <c r="M97" s="6">
        <v>-1.2031612052399372E-2</v>
      </c>
      <c r="N97" s="6">
        <v>-7.4728512043321052E-2</v>
      </c>
      <c r="O97" s="6">
        <v>-9.9709125085208183E-2</v>
      </c>
      <c r="P97" s="6">
        <v>-1.6712585678917712E-2</v>
      </c>
      <c r="S97" s="6">
        <f t="shared" si="15"/>
        <v>-3.5737771494206157E-2</v>
      </c>
      <c r="T97" s="6">
        <f t="shared" si="16"/>
        <v>-0.10362298916020059</v>
      </c>
      <c r="U97" s="6">
        <f t="shared" si="17"/>
        <v>-5.7989657814956968E-3</v>
      </c>
      <c r="V97" s="6">
        <f t="shared" si="18"/>
        <v>-1.5605189418396101E-2</v>
      </c>
      <c r="W97" s="6">
        <f t="shared" si="19"/>
        <v>-0.17024858659814776</v>
      </c>
      <c r="X97" s="6">
        <f t="shared" si="20"/>
        <v>-3.7724586080964996E-2</v>
      </c>
      <c r="Y97" s="6">
        <f t="shared" si="21"/>
        <v>-2.3245665740891073E-2</v>
      </c>
      <c r="Z97" s="6">
        <f t="shared" si="22"/>
        <v>9.2073333020980683E-2</v>
      </c>
      <c r="AA97" s="6">
        <f t="shared" si="23"/>
        <v>-4.3464724429003156E-2</v>
      </c>
      <c r="AB97" s="6">
        <f t="shared" si="24"/>
        <v>1.4357778651678194E-2</v>
      </c>
      <c r="AC97" s="6">
        <f t="shared" si="25"/>
        <v>-1.6190365812244766E-2</v>
      </c>
      <c r="AD97" s="6">
        <f t="shared" si="26"/>
        <v>-8.7005863720762133E-2</v>
      </c>
      <c r="AE97" s="6">
        <f t="shared" si="27"/>
        <v>-9.6638058436881932E-2</v>
      </c>
      <c r="AF97" s="6">
        <f t="shared" si="28"/>
        <v>-1.3184884354472161E-2</v>
      </c>
    </row>
    <row r="98" spans="3:32" x14ac:dyDescent="0.3">
      <c r="C98" s="6">
        <v>-2.7325065664339326E-2</v>
      </c>
      <c r="D98" s="6">
        <v>-2.1737331648147572E-2</v>
      </c>
      <c r="E98" s="6">
        <v>9.5662440466480134E-3</v>
      </c>
      <c r="F98" s="6">
        <v>-0.10429585809032665</v>
      </c>
      <c r="G98" s="6">
        <v>-2.2372084306427301E-2</v>
      </c>
      <c r="H98" s="6">
        <v>2.0324134793510817E-2</v>
      </c>
      <c r="I98" s="6">
        <v>-3.9385314420045676E-2</v>
      </c>
      <c r="J98" s="6">
        <v>-1.4941579998198914E-2</v>
      </c>
      <c r="K98" s="6">
        <v>-3.3793533651997471E-2</v>
      </c>
      <c r="L98" s="6">
        <v>-5.3367998569120424E-2</v>
      </c>
      <c r="M98" s="6">
        <v>-4.110330348180067E-2</v>
      </c>
      <c r="N98" s="6">
        <v>-6.6734184550478845E-2</v>
      </c>
      <c r="O98" s="6">
        <v>-5.9423420470800646E-2</v>
      </c>
      <c r="P98" s="6">
        <v>-4.000533461369913E-2</v>
      </c>
      <c r="S98" s="6">
        <f t="shared" si="15"/>
        <v>-2.911308365214926E-2</v>
      </c>
      <c r="T98" s="6">
        <f t="shared" si="16"/>
        <v>-3.1566808144592069E-2</v>
      </c>
      <c r="U98" s="6">
        <f t="shared" si="17"/>
        <v>7.006889900438287E-3</v>
      </c>
      <c r="V98" s="6">
        <f t="shared" si="18"/>
        <v>-0.10700520642579776</v>
      </c>
      <c r="W98" s="6">
        <f t="shared" si="19"/>
        <v>-2.3228862119038091E-2</v>
      </c>
      <c r="X98" s="6">
        <f t="shared" si="20"/>
        <v>1.8844495072281184E-2</v>
      </c>
      <c r="Y98" s="6">
        <f t="shared" si="21"/>
        <v>-4.3250901730241605E-2</v>
      </c>
      <c r="Z98" s="6">
        <f t="shared" si="22"/>
        <v>-6.8026984623687173E-3</v>
      </c>
      <c r="AA98" s="6">
        <f t="shared" si="23"/>
        <v>-3.9062218994530426E-2</v>
      </c>
      <c r="AB98" s="6">
        <f t="shared" si="24"/>
        <v>-5.5622121940360869E-2</v>
      </c>
      <c r="AC98" s="6">
        <f t="shared" si="25"/>
        <v>-4.5262057241646066E-2</v>
      </c>
      <c r="AD98" s="6">
        <f t="shared" si="26"/>
        <v>-7.9011536227919926E-2</v>
      </c>
      <c r="AE98" s="6">
        <f t="shared" si="27"/>
        <v>-5.6352353822474388E-2</v>
      </c>
      <c r="AF98" s="6">
        <f t="shared" si="28"/>
        <v>-3.6477633289253575E-2</v>
      </c>
    </row>
    <row r="99" spans="3:32" x14ac:dyDescent="0.3">
      <c r="C99" s="6">
        <v>4.8897727270863091E-2</v>
      </c>
      <c r="D99" s="6">
        <v>0.10558271319234777</v>
      </c>
      <c r="E99" s="6">
        <v>6.7384593059909056E-2</v>
      </c>
      <c r="F99" s="6">
        <v>5.5173780436628281E-2</v>
      </c>
      <c r="G99" s="6">
        <v>5.9278692197879977E-2</v>
      </c>
      <c r="H99" s="6">
        <v>8.1595138622359717E-2</v>
      </c>
      <c r="I99" s="6">
        <v>5.8479356204318433E-2</v>
      </c>
      <c r="J99" s="6">
        <v>0.14209675548344561</v>
      </c>
      <c r="K99" s="6">
        <v>8.5467154005853849E-2</v>
      </c>
      <c r="L99" s="6">
        <v>0.19244253157659924</v>
      </c>
      <c r="M99" s="6">
        <v>0.14681292020793077</v>
      </c>
      <c r="N99" s="6">
        <v>0.22592666887501417</v>
      </c>
      <c r="O99" s="6">
        <v>0.40812350577477435</v>
      </c>
      <c r="P99" s="6">
        <v>6.0535325914561462E-2</v>
      </c>
      <c r="S99" s="6">
        <f t="shared" si="15"/>
        <v>4.7109709283053157E-2</v>
      </c>
      <c r="T99" s="6">
        <f t="shared" si="16"/>
        <v>9.5753236695903271E-2</v>
      </c>
      <c r="U99" s="6">
        <f t="shared" si="17"/>
        <v>6.4825238913699332E-2</v>
      </c>
      <c r="V99" s="6">
        <f t="shared" si="18"/>
        <v>5.2464432101157171E-2</v>
      </c>
      <c r="W99" s="6">
        <f t="shared" si="19"/>
        <v>5.842191438526919E-2</v>
      </c>
      <c r="X99" s="6">
        <f t="shared" si="20"/>
        <v>8.0115498901130081E-2</v>
      </c>
      <c r="Y99" s="6">
        <f t="shared" si="21"/>
        <v>5.4613768894122505E-2</v>
      </c>
      <c r="Z99" s="6">
        <f t="shared" si="22"/>
        <v>0.15023563701927581</v>
      </c>
      <c r="AA99" s="6">
        <f t="shared" si="23"/>
        <v>8.0198468663320893E-2</v>
      </c>
      <c r="AB99" s="6">
        <f t="shared" si="24"/>
        <v>0.19018840820535879</v>
      </c>
      <c r="AC99" s="6">
        <f t="shared" si="25"/>
        <v>0.14265416644808537</v>
      </c>
      <c r="AD99" s="6">
        <f t="shared" si="26"/>
        <v>0.2136493171975731</v>
      </c>
      <c r="AE99" s="6">
        <f t="shared" si="27"/>
        <v>0.41119457242310059</v>
      </c>
      <c r="AF99" s="6">
        <f t="shared" si="28"/>
        <v>6.4063027239007017E-2</v>
      </c>
    </row>
    <row r="100" spans="3:32" x14ac:dyDescent="0.3">
      <c r="C100" s="6">
        <v>5.3724528446336531E-2</v>
      </c>
      <c r="D100" s="6">
        <v>7.1167798552151482E-2</v>
      </c>
      <c r="E100" s="6">
        <v>4.670939164151891E-2</v>
      </c>
      <c r="F100" s="6">
        <v>2.6674362274030573E-2</v>
      </c>
      <c r="G100" s="6">
        <v>-2.443691696904441E-2</v>
      </c>
      <c r="H100" s="6">
        <v>3.5160979523603787E-2</v>
      </c>
      <c r="I100" s="6">
        <v>4.4056427519233041E-2</v>
      </c>
      <c r="J100" s="6">
        <v>5.4459917132380839E-2</v>
      </c>
      <c r="K100" s="6">
        <v>4.1977298000834912E-2</v>
      </c>
      <c r="L100" s="6">
        <v>7.9719901408291785E-2</v>
      </c>
      <c r="M100" s="6">
        <v>7.7154933526459468E-2</v>
      </c>
      <c r="N100" s="6">
        <v>4.0461950887549572E-2</v>
      </c>
      <c r="O100" s="6">
        <v>-4.14367360408135E-2</v>
      </c>
      <c r="P100" s="6">
        <v>-1.4874324613603454E-2</v>
      </c>
      <c r="S100" s="6">
        <f t="shared" si="15"/>
        <v>5.1936510458526597E-2</v>
      </c>
      <c r="T100" s="6">
        <f t="shared" si="16"/>
        <v>6.1338322055706981E-2</v>
      </c>
      <c r="U100" s="6">
        <f t="shared" si="17"/>
        <v>4.4150037495309186E-2</v>
      </c>
      <c r="V100" s="6">
        <f t="shared" si="18"/>
        <v>2.3965013938559467E-2</v>
      </c>
      <c r="W100" s="6">
        <f t="shared" si="19"/>
        <v>-2.5293694781655201E-2</v>
      </c>
      <c r="X100" s="6">
        <f t="shared" si="20"/>
        <v>3.3681339802374158E-2</v>
      </c>
      <c r="Y100" s="6">
        <f t="shared" si="21"/>
        <v>4.0190840209037113E-2</v>
      </c>
      <c r="Z100" s="6">
        <f t="shared" si="22"/>
        <v>6.2598798668211039E-2</v>
      </c>
      <c r="AA100" s="6">
        <f t="shared" si="23"/>
        <v>3.6708612658301956E-2</v>
      </c>
      <c r="AB100" s="6">
        <f t="shared" si="24"/>
        <v>7.7465778037051333E-2</v>
      </c>
      <c r="AC100" s="6">
        <f t="shared" si="25"/>
        <v>7.2996179766614072E-2</v>
      </c>
      <c r="AD100" s="6">
        <f t="shared" si="26"/>
        <v>2.8184599210108494E-2</v>
      </c>
      <c r="AE100" s="6">
        <f t="shared" si="27"/>
        <v>-3.8365669392487242E-2</v>
      </c>
      <c r="AF100" s="6">
        <f t="shared" si="28"/>
        <v>-1.1346623289157903E-2</v>
      </c>
    </row>
    <row r="101" spans="3:32" x14ac:dyDescent="0.3">
      <c r="C101" s="6">
        <v>1.7496258487140603E-2</v>
      </c>
      <c r="D101" s="6">
        <v>1.9871595191651718E-2</v>
      </c>
      <c r="E101" s="6">
        <v>4.8680225972156472E-4</v>
      </c>
      <c r="F101" s="6">
        <v>2.0306782148925388E-2</v>
      </c>
      <c r="G101" s="6">
        <v>8.7593550843180365E-2</v>
      </c>
      <c r="H101" s="6">
        <v>1.1221285577288173E-2</v>
      </c>
      <c r="I101" s="6">
        <v>1.8891509538761633E-2</v>
      </c>
      <c r="J101" s="6">
        <v>4.9126637927653503E-2</v>
      </c>
      <c r="K101" s="6">
        <v>5.3458438963551971E-2</v>
      </c>
      <c r="L101" s="6">
        <v>6.3885865242351583E-2</v>
      </c>
      <c r="M101" s="6">
        <v>5.3965177330066609E-2</v>
      </c>
      <c r="N101" s="6">
        <v>4.0842329849840431E-2</v>
      </c>
      <c r="O101" s="6">
        <v>0.13400785024802031</v>
      </c>
      <c r="P101" s="6">
        <v>3.2654668721118184E-2</v>
      </c>
      <c r="S101" s="6">
        <f t="shared" si="15"/>
        <v>1.5708240499330669E-2</v>
      </c>
      <c r="T101" s="6">
        <f t="shared" si="16"/>
        <v>1.0042118695207221E-2</v>
      </c>
      <c r="U101" s="6">
        <f t="shared" si="17"/>
        <v>-2.0725518864881621E-3</v>
      </c>
      <c r="V101" s="6">
        <f t="shared" si="18"/>
        <v>1.7597433813454282E-2</v>
      </c>
      <c r="W101" s="6">
        <f t="shared" si="19"/>
        <v>8.6736773030569578E-2</v>
      </c>
      <c r="X101" s="6">
        <f t="shared" si="20"/>
        <v>9.7416458560585402E-3</v>
      </c>
      <c r="Y101" s="6">
        <f t="shared" si="21"/>
        <v>1.5025922228565703E-2</v>
      </c>
      <c r="Z101" s="6">
        <f t="shared" si="22"/>
        <v>5.7265519463483697E-2</v>
      </c>
      <c r="AA101" s="6">
        <f t="shared" si="23"/>
        <v>4.8189753621019016E-2</v>
      </c>
      <c r="AB101" s="6">
        <f t="shared" si="24"/>
        <v>6.1631741871111138E-2</v>
      </c>
      <c r="AC101" s="6">
        <f t="shared" si="25"/>
        <v>4.9806423570221213E-2</v>
      </c>
      <c r="AD101" s="6">
        <f t="shared" si="26"/>
        <v>2.8564978172399353E-2</v>
      </c>
      <c r="AE101" s="6">
        <f t="shared" si="27"/>
        <v>0.13707891689634658</v>
      </c>
      <c r="AF101" s="6">
        <f t="shared" si="28"/>
        <v>3.6182370045563739E-2</v>
      </c>
    </row>
    <row r="102" spans="3:32" x14ac:dyDescent="0.3">
      <c r="C102" s="6">
        <v>1.4750042183263009E-3</v>
      </c>
      <c r="D102" s="6">
        <v>-3.1316939150980889E-2</v>
      </c>
      <c r="E102" s="6">
        <v>2.0287602997272555E-2</v>
      </c>
      <c r="F102" s="6">
        <v>1.0147145889008648E-2</v>
      </c>
      <c r="G102" s="6">
        <v>4.8962311758135937E-3</v>
      </c>
      <c r="H102" s="6">
        <v>1.0687961429153601E-2</v>
      </c>
      <c r="I102" s="6">
        <v>9.4762097565984759E-3</v>
      </c>
      <c r="J102" s="6">
        <v>5.1629654969261973E-2</v>
      </c>
      <c r="K102" s="6">
        <v>1.7091978024901908E-2</v>
      </c>
      <c r="L102" s="6">
        <v>0.15399201720855962</v>
      </c>
      <c r="M102" s="6">
        <v>1.6035329013292177E-2</v>
      </c>
      <c r="N102" s="6">
        <v>-6.5026683217072501E-2</v>
      </c>
      <c r="O102" s="6">
        <v>2.0862917425940718E-2</v>
      </c>
      <c r="P102" s="6">
        <v>6.3739042063961481E-3</v>
      </c>
      <c r="S102" s="6">
        <f t="shared" si="15"/>
        <v>-3.1301376948363285E-4</v>
      </c>
      <c r="T102" s="6">
        <f t="shared" si="16"/>
        <v>-4.1146415647425383E-2</v>
      </c>
      <c r="U102" s="6">
        <f t="shared" si="17"/>
        <v>1.7728248851062826E-2</v>
      </c>
      <c r="V102" s="6">
        <f t="shared" si="18"/>
        <v>7.4377975535375417E-3</v>
      </c>
      <c r="W102" s="6">
        <f t="shared" si="19"/>
        <v>4.0394533632028039E-3</v>
      </c>
      <c r="X102" s="6">
        <f t="shared" si="20"/>
        <v>9.2083217079239679E-3</v>
      </c>
      <c r="Y102" s="6">
        <f t="shared" si="21"/>
        <v>5.610622446402546E-3</v>
      </c>
      <c r="Z102" s="6">
        <f t="shared" si="22"/>
        <v>5.9768536505092174E-2</v>
      </c>
      <c r="AA102" s="6">
        <f t="shared" si="23"/>
        <v>1.1823292682368954E-2</v>
      </c>
      <c r="AB102" s="6">
        <f t="shared" si="24"/>
        <v>0.15173789383731917</v>
      </c>
      <c r="AC102" s="6">
        <f t="shared" si="25"/>
        <v>1.1876575253446785E-2</v>
      </c>
      <c r="AD102" s="6">
        <f t="shared" si="26"/>
        <v>-7.7304034894513582E-2</v>
      </c>
      <c r="AE102" s="6">
        <f t="shared" si="27"/>
        <v>2.3933984074266976E-2</v>
      </c>
      <c r="AF102" s="6">
        <f t="shared" si="28"/>
        <v>9.9016055308416995E-3</v>
      </c>
    </row>
    <row r="103" spans="3:32" x14ac:dyDescent="0.3">
      <c r="C103" s="6">
        <v>6.6630188009449099E-3</v>
      </c>
      <c r="D103" s="6">
        <v>-2.1579005293795861E-2</v>
      </c>
      <c r="E103" s="6">
        <v>-7.7666161606814608E-3</v>
      </c>
      <c r="F103" s="6">
        <v>-3.5974834479407879E-2</v>
      </c>
      <c r="G103" s="6">
        <v>1.4253425079032949E-2</v>
      </c>
      <c r="H103" s="6">
        <v>1.9743343037176078E-3</v>
      </c>
      <c r="I103" s="6">
        <v>-4.0454954692313756E-2</v>
      </c>
      <c r="J103" s="6">
        <v>0.1216802947964743</v>
      </c>
      <c r="K103" s="6">
        <v>0.10946770616244107</v>
      </c>
      <c r="L103" s="6">
        <v>0.14643035898327184</v>
      </c>
      <c r="M103" s="6">
        <v>3.6038336778822323E-2</v>
      </c>
      <c r="N103" s="6">
        <v>5.4231681430172748E-2</v>
      </c>
      <c r="O103" s="6">
        <v>8.681823358004824E-2</v>
      </c>
      <c r="P103" s="6">
        <v>8.5499309240065616E-2</v>
      </c>
      <c r="S103" s="6">
        <f t="shared" si="15"/>
        <v>4.875000813134976E-3</v>
      </c>
      <c r="T103" s="6">
        <f t="shared" si="16"/>
        <v>-3.1408481790240361E-2</v>
      </c>
      <c r="U103" s="6">
        <f t="shared" si="17"/>
        <v>-1.0325970306891188E-2</v>
      </c>
      <c r="V103" s="6">
        <f t="shared" si="18"/>
        <v>-3.8684182814878988E-2</v>
      </c>
      <c r="W103" s="6">
        <f t="shared" si="19"/>
        <v>1.339664726642216E-2</v>
      </c>
      <c r="X103" s="6">
        <f t="shared" si="20"/>
        <v>4.9469458248797577E-4</v>
      </c>
      <c r="Y103" s="6">
        <f t="shared" si="21"/>
        <v>-4.4320542002509684E-2</v>
      </c>
      <c r="Z103" s="6">
        <f t="shared" si="22"/>
        <v>0.1298191763323045</v>
      </c>
      <c r="AA103" s="6">
        <f t="shared" si="23"/>
        <v>0.10419902081990812</v>
      </c>
      <c r="AB103" s="6">
        <f t="shared" si="24"/>
        <v>0.14417623561203138</v>
      </c>
      <c r="AC103" s="6">
        <f t="shared" si="25"/>
        <v>3.1879583018976927E-2</v>
      </c>
      <c r="AD103" s="6">
        <f t="shared" si="26"/>
        <v>4.1954329752731667E-2</v>
      </c>
      <c r="AE103" s="6">
        <f t="shared" si="27"/>
        <v>8.9889300228374491E-2</v>
      </c>
      <c r="AF103" s="6">
        <f t="shared" si="28"/>
        <v>8.9027010564511164E-2</v>
      </c>
    </row>
    <row r="104" spans="3:32" x14ac:dyDescent="0.3">
      <c r="C104" s="6">
        <v>2.3104787958975123E-2</v>
      </c>
      <c r="D104" s="6">
        <v>1.5912078594962187E-2</v>
      </c>
      <c r="E104" s="6">
        <v>-7.4792321247003099E-4</v>
      </c>
      <c r="F104" s="6">
        <v>2.3459947935582023E-2</v>
      </c>
      <c r="G104" s="6">
        <v>2.076027072968498E-2</v>
      </c>
      <c r="H104" s="6">
        <v>2.6490081715768625E-3</v>
      </c>
      <c r="I104" s="6">
        <v>2.4120274528764332E-2</v>
      </c>
      <c r="J104" s="6">
        <v>6.5024612311330776E-2</v>
      </c>
      <c r="K104" s="6">
        <v>3.1494709120388681E-2</v>
      </c>
      <c r="L104" s="6">
        <v>9.1797056459049092E-2</v>
      </c>
      <c r="M104" s="6">
        <v>7.3111087335962471E-2</v>
      </c>
      <c r="N104" s="6">
        <v>-0.13163031829734875</v>
      </c>
      <c r="O104" s="6">
        <v>-1.7399714394636823E-3</v>
      </c>
      <c r="P104" s="6">
        <v>3.8651480179322469E-2</v>
      </c>
      <c r="S104" s="6">
        <f t="shared" si="15"/>
        <v>2.1316769971165189E-2</v>
      </c>
      <c r="T104" s="6">
        <f t="shared" si="16"/>
        <v>6.08260209851769E-3</v>
      </c>
      <c r="U104" s="6">
        <f t="shared" si="17"/>
        <v>-3.3072773586797577E-3</v>
      </c>
      <c r="V104" s="6">
        <f t="shared" si="18"/>
        <v>2.0750599600110917E-2</v>
      </c>
      <c r="W104" s="6">
        <f t="shared" si="19"/>
        <v>1.9903492917074189E-2</v>
      </c>
      <c r="X104" s="6">
        <f t="shared" si="20"/>
        <v>1.1693684503472305E-3</v>
      </c>
      <c r="Y104" s="6">
        <f t="shared" si="21"/>
        <v>2.0254687218568403E-2</v>
      </c>
      <c r="Z104" s="6">
        <f t="shared" si="22"/>
        <v>7.3163493847160976E-2</v>
      </c>
      <c r="AA104" s="6">
        <f t="shared" si="23"/>
        <v>2.6226023777855725E-2</v>
      </c>
      <c r="AB104" s="6">
        <f t="shared" si="24"/>
        <v>8.954293308780864E-2</v>
      </c>
      <c r="AC104" s="6">
        <f t="shared" si="25"/>
        <v>6.8952333576117075E-2</v>
      </c>
      <c r="AD104" s="6">
        <f t="shared" si="26"/>
        <v>-0.14390766997478982</v>
      </c>
      <c r="AE104" s="6">
        <f t="shared" si="27"/>
        <v>1.3310952088625753E-3</v>
      </c>
      <c r="AF104" s="6">
        <f t="shared" si="28"/>
        <v>4.2179181503768023E-2</v>
      </c>
    </row>
    <row r="105" spans="3:32" x14ac:dyDescent="0.3">
      <c r="C105" s="6">
        <v>9.4589802084357553E-3</v>
      </c>
      <c r="D105" s="6">
        <v>2.863266139172423E-2</v>
      </c>
      <c r="E105" s="6">
        <v>-9.3965468016999343E-3</v>
      </c>
      <c r="F105" s="6">
        <v>-1.7863623868973614E-2</v>
      </c>
      <c r="G105" s="6">
        <v>3.8851550532956497E-2</v>
      </c>
      <c r="H105" s="6">
        <v>1.7149618332446021E-2</v>
      </c>
      <c r="I105" s="6">
        <v>6.5002400610102082E-3</v>
      </c>
      <c r="J105" s="6">
        <v>0.11446408139831979</v>
      </c>
      <c r="K105" s="6">
        <v>6.9781401304424354E-2</v>
      </c>
      <c r="L105" s="6">
        <v>8.6921639213135751E-3</v>
      </c>
      <c r="M105" s="6">
        <v>2.5898363455813247E-3</v>
      </c>
      <c r="N105" s="6">
        <v>2.3909951916189685E-2</v>
      </c>
      <c r="O105" s="6">
        <v>-7.4599281204435416E-2</v>
      </c>
      <c r="P105" s="6">
        <v>-2.0605029616630476E-2</v>
      </c>
      <c r="S105" s="6">
        <f t="shared" si="15"/>
        <v>7.6709622206258214E-3</v>
      </c>
      <c r="T105" s="6">
        <f t="shared" si="16"/>
        <v>1.8803184895279733E-2</v>
      </c>
      <c r="U105" s="6">
        <f t="shared" si="17"/>
        <v>-1.1955900947909661E-2</v>
      </c>
      <c r="V105" s="6">
        <f t="shared" si="18"/>
        <v>-2.057297220444472E-2</v>
      </c>
      <c r="W105" s="6">
        <f t="shared" si="19"/>
        <v>3.799477272034571E-2</v>
      </c>
      <c r="X105" s="6">
        <f t="shared" si="20"/>
        <v>1.5669978611216388E-2</v>
      </c>
      <c r="Y105" s="6">
        <f t="shared" si="21"/>
        <v>2.6346527508142787E-3</v>
      </c>
      <c r="Z105" s="6">
        <f t="shared" si="22"/>
        <v>0.12260296293414999</v>
      </c>
      <c r="AA105" s="6">
        <f t="shared" si="23"/>
        <v>6.4512715961891398E-2</v>
      </c>
      <c r="AB105" s="6">
        <f t="shared" si="24"/>
        <v>6.4380405500731284E-3</v>
      </c>
      <c r="AC105" s="6">
        <f t="shared" si="25"/>
        <v>-1.5689174142640688E-3</v>
      </c>
      <c r="AD105" s="6">
        <f t="shared" si="26"/>
        <v>1.1632600238748608E-2</v>
      </c>
      <c r="AE105" s="6">
        <f t="shared" si="27"/>
        <v>-7.1528214556109165E-2</v>
      </c>
      <c r="AF105" s="6">
        <f t="shared" si="28"/>
        <v>-1.7077328292184925E-2</v>
      </c>
    </row>
    <row r="106" spans="3:32" x14ac:dyDescent="0.3">
      <c r="C106" s="6">
        <v>-2.0298777082837102E-2</v>
      </c>
      <c r="D106" s="6">
        <v>-1.2279985169852885E-3</v>
      </c>
      <c r="E106" s="6">
        <v>1.0331363445409891E-2</v>
      </c>
      <c r="F106" s="6">
        <v>6.4891965456099002E-2</v>
      </c>
      <c r="G106" s="6">
        <v>-3.7941710207035784E-3</v>
      </c>
      <c r="H106" s="6">
        <v>2.2743984437561395E-2</v>
      </c>
      <c r="I106" s="6">
        <v>5.3680565601188897E-2</v>
      </c>
      <c r="J106" s="6">
        <v>7.653849551448615E-3</v>
      </c>
      <c r="K106" s="6">
        <v>-1.7258189487675532E-2</v>
      </c>
      <c r="L106" s="6">
        <v>0.17098870658125895</v>
      </c>
      <c r="M106" s="6">
        <v>-2.4277749239480701E-3</v>
      </c>
      <c r="N106" s="6">
        <v>-4.4376840302651946E-2</v>
      </c>
      <c r="O106" s="6">
        <v>-4.9029951073003362E-2</v>
      </c>
      <c r="P106" s="6">
        <v>1.2910570110123146E-2</v>
      </c>
      <c r="S106" s="6">
        <f t="shared" si="15"/>
        <v>-2.2086795070647036E-2</v>
      </c>
      <c r="T106" s="6">
        <f t="shared" si="16"/>
        <v>-1.1057475013429786E-2</v>
      </c>
      <c r="U106" s="6">
        <f t="shared" si="17"/>
        <v>7.7720092992001645E-3</v>
      </c>
      <c r="V106" s="6">
        <f t="shared" si="18"/>
        <v>6.2182617120627892E-2</v>
      </c>
      <c r="W106" s="6">
        <f t="shared" si="19"/>
        <v>-4.6509488333143683E-3</v>
      </c>
      <c r="X106" s="6">
        <f t="shared" si="20"/>
        <v>2.1264344716331762E-2</v>
      </c>
      <c r="Y106" s="6">
        <f t="shared" si="21"/>
        <v>4.9814978290992969E-2</v>
      </c>
      <c r="Z106" s="6">
        <f t="shared" si="22"/>
        <v>1.5792731087278813E-2</v>
      </c>
      <c r="AA106" s="6">
        <f t="shared" si="23"/>
        <v>-2.2526874830208488E-2</v>
      </c>
      <c r="AB106" s="6">
        <f t="shared" si="24"/>
        <v>0.1687345832100185</v>
      </c>
      <c r="AC106" s="6">
        <f t="shared" si="25"/>
        <v>-6.586528683793464E-3</v>
      </c>
      <c r="AD106" s="6">
        <f t="shared" si="26"/>
        <v>-5.6654191980093027E-2</v>
      </c>
      <c r="AE106" s="6">
        <f t="shared" si="27"/>
        <v>-4.5958884424677104E-2</v>
      </c>
      <c r="AF106" s="6">
        <f t="shared" si="28"/>
        <v>1.6438271434568698E-2</v>
      </c>
    </row>
    <row r="107" spans="3:32" x14ac:dyDescent="0.3">
      <c r="C107" s="6">
        <v>-5.5421891012324906E-3</v>
      </c>
      <c r="D107" s="6">
        <v>1.4031750302771918E-2</v>
      </c>
      <c r="E107" s="6">
        <v>3.8901224086424326E-3</v>
      </c>
      <c r="F107" s="6">
        <v>-1.2803361468401506E-2</v>
      </c>
      <c r="G107" s="6">
        <v>-1.620729261015735E-2</v>
      </c>
      <c r="H107" s="6">
        <v>-9.6935524560746184E-3</v>
      </c>
      <c r="I107" s="6">
        <v>1.6116494617294135E-3</v>
      </c>
      <c r="J107" s="6">
        <v>-7.0630075844818879E-3</v>
      </c>
      <c r="K107" s="6">
        <v>-1.2134261201177407E-3</v>
      </c>
      <c r="L107" s="6">
        <v>-8.9296529251139331E-3</v>
      </c>
      <c r="M107" s="6">
        <v>-2.2712534098567648E-3</v>
      </c>
      <c r="N107" s="6">
        <v>-1.3881078870713427E-2</v>
      </c>
      <c r="O107" s="6">
        <v>3.497271324125052E-3</v>
      </c>
      <c r="P107" s="6">
        <v>-8.1712247462264447E-3</v>
      </c>
      <c r="S107" s="6">
        <f t="shared" si="15"/>
        <v>-7.3302070890424245E-3</v>
      </c>
      <c r="T107" s="6">
        <f t="shared" si="16"/>
        <v>4.2022738063274209E-3</v>
      </c>
      <c r="U107" s="6">
        <f t="shared" si="17"/>
        <v>1.3307682624327057E-3</v>
      </c>
      <c r="V107" s="6">
        <f t="shared" si="18"/>
        <v>-1.5512709803872612E-2</v>
      </c>
      <c r="W107" s="6">
        <f t="shared" si="19"/>
        <v>-1.7064070422768141E-2</v>
      </c>
      <c r="X107" s="6">
        <f t="shared" si="20"/>
        <v>-1.117319217730425E-2</v>
      </c>
      <c r="Y107" s="6">
        <f t="shared" si="21"/>
        <v>-2.2539378484665159E-3</v>
      </c>
      <c r="Z107" s="6">
        <f t="shared" si="22"/>
        <v>1.0758739513483089E-3</v>
      </c>
      <c r="AA107" s="6">
        <f t="shared" si="23"/>
        <v>-6.4821114626506943E-3</v>
      </c>
      <c r="AB107" s="6">
        <f t="shared" si="24"/>
        <v>-1.118377629635438E-2</v>
      </c>
      <c r="AC107" s="6">
        <f t="shared" si="25"/>
        <v>-6.4300071697021583E-3</v>
      </c>
      <c r="AD107" s="6">
        <f t="shared" si="26"/>
        <v>-2.6158430548154504E-2</v>
      </c>
      <c r="AE107" s="6">
        <f t="shared" si="27"/>
        <v>6.5683379724513092E-3</v>
      </c>
      <c r="AF107" s="6">
        <f t="shared" si="28"/>
        <v>-4.6435234217808933E-3</v>
      </c>
    </row>
    <row r="108" spans="3:32" x14ac:dyDescent="0.3">
      <c r="C108" s="6">
        <v>-6.0760973500102351E-2</v>
      </c>
      <c r="D108" s="6">
        <v>-8.5175935758657704E-3</v>
      </c>
      <c r="E108" s="6">
        <v>-2.2292161228803235E-2</v>
      </c>
      <c r="F108" s="6">
        <v>-2.8758063429585895E-2</v>
      </c>
      <c r="G108" s="6">
        <v>-4.523684207529037E-2</v>
      </c>
      <c r="H108" s="6">
        <v>-4.5098159528940425E-2</v>
      </c>
      <c r="I108" s="6">
        <v>-5.6947923450087739E-3</v>
      </c>
      <c r="J108" s="6">
        <v>-2.2701094321971989E-2</v>
      </c>
      <c r="K108" s="6">
        <v>-3.1268707602026782E-2</v>
      </c>
      <c r="L108" s="6">
        <v>-0.12177269952299583</v>
      </c>
      <c r="M108" s="6">
        <v>-6.6999453739088985E-2</v>
      </c>
      <c r="N108" s="6">
        <v>-7.1825734571255614E-2</v>
      </c>
      <c r="O108" s="6">
        <v>-2.6196579551852794E-2</v>
      </c>
      <c r="P108" s="6">
        <v>-7.1319910933182865E-2</v>
      </c>
      <c r="S108" s="6">
        <f t="shared" si="15"/>
        <v>-6.2548991487912278E-2</v>
      </c>
      <c r="T108" s="6">
        <f t="shared" si="16"/>
        <v>-1.8347070072310269E-2</v>
      </c>
      <c r="U108" s="6">
        <f t="shared" si="17"/>
        <v>-2.4851515375012963E-2</v>
      </c>
      <c r="V108" s="6">
        <f t="shared" si="18"/>
        <v>-3.1467411765057005E-2</v>
      </c>
      <c r="W108" s="6">
        <f t="shared" si="19"/>
        <v>-4.6093619887901158E-2</v>
      </c>
      <c r="X108" s="6">
        <f t="shared" si="20"/>
        <v>-4.6577799250170054E-2</v>
      </c>
      <c r="Y108" s="6">
        <f t="shared" si="21"/>
        <v>-9.5603796552047038E-3</v>
      </c>
      <c r="Z108" s="6">
        <f t="shared" si="22"/>
        <v>-1.4562212786141792E-2</v>
      </c>
      <c r="AA108" s="6">
        <f t="shared" si="23"/>
        <v>-3.6537392944559738E-2</v>
      </c>
      <c r="AB108" s="6">
        <f t="shared" si="24"/>
        <v>-0.12402682289423628</v>
      </c>
      <c r="AC108" s="6">
        <f t="shared" si="25"/>
        <v>-7.1158207498934381E-2</v>
      </c>
      <c r="AD108" s="6">
        <f t="shared" si="26"/>
        <v>-8.4103086248696696E-2</v>
      </c>
      <c r="AE108" s="6">
        <f t="shared" si="27"/>
        <v>-2.3125512903526536E-2</v>
      </c>
      <c r="AF108" s="6">
        <f t="shared" si="28"/>
        <v>-6.7792209608737317E-2</v>
      </c>
    </row>
    <row r="109" spans="3:32" x14ac:dyDescent="0.3">
      <c r="C109" s="6">
        <v>2.5825461422404484E-2</v>
      </c>
      <c r="D109" s="6">
        <v>0.10818747327525964</v>
      </c>
      <c r="E109" s="6">
        <v>5.4812587267311572E-2</v>
      </c>
      <c r="F109" s="6">
        <v>4.972645934963528E-2</v>
      </c>
      <c r="G109" s="6">
        <v>-8.1556196800023448E-2</v>
      </c>
      <c r="H109" s="6">
        <v>6.2582947346193671E-2</v>
      </c>
      <c r="I109" s="6">
        <v>6.2075980276928733E-2</v>
      </c>
      <c r="J109" s="6">
        <v>-7.277169773895269E-3</v>
      </c>
      <c r="K109" s="6">
        <v>0.13543392982979865</v>
      </c>
      <c r="L109" s="6">
        <v>-0.16330620171677354</v>
      </c>
      <c r="M109" s="6">
        <v>9.312901596878205E-2</v>
      </c>
      <c r="N109" s="6">
        <v>4.7657154715808447E-2</v>
      </c>
      <c r="O109" s="6">
        <v>-3.6960976871576727E-2</v>
      </c>
      <c r="P109" s="6">
        <v>5.0949746731871699E-2</v>
      </c>
      <c r="S109" s="6">
        <f t="shared" si="15"/>
        <v>2.403744343459455E-2</v>
      </c>
      <c r="T109" s="6">
        <f t="shared" si="16"/>
        <v>9.835799677881514E-2</v>
      </c>
      <c r="U109" s="6">
        <f t="shared" si="17"/>
        <v>5.2253233121101847E-2</v>
      </c>
      <c r="V109" s="6">
        <f t="shared" si="18"/>
        <v>4.701711101416417E-2</v>
      </c>
      <c r="W109" s="6">
        <f t="shared" si="19"/>
        <v>-8.2412974612634235E-2</v>
      </c>
      <c r="X109" s="6">
        <f t="shared" si="20"/>
        <v>6.1103307624964041E-2</v>
      </c>
      <c r="Y109" s="6">
        <f t="shared" si="21"/>
        <v>5.8210392966732805E-2</v>
      </c>
      <c r="Z109" s="6">
        <f t="shared" si="22"/>
        <v>8.6171176193492773E-4</v>
      </c>
      <c r="AA109" s="6">
        <f t="shared" si="23"/>
        <v>0.13016524448726571</v>
      </c>
      <c r="AB109" s="6">
        <f t="shared" si="24"/>
        <v>-0.16556032508801399</v>
      </c>
      <c r="AC109" s="6">
        <f t="shared" si="25"/>
        <v>8.8970262208936654E-2</v>
      </c>
      <c r="AD109" s="6">
        <f t="shared" si="26"/>
        <v>3.5379803038367366E-2</v>
      </c>
      <c r="AE109" s="6">
        <f t="shared" si="27"/>
        <v>-3.3889910223250469E-2</v>
      </c>
      <c r="AF109" s="6">
        <f t="shared" si="28"/>
        <v>5.4477448056317254E-2</v>
      </c>
    </row>
    <row r="110" spans="3:32" x14ac:dyDescent="0.3">
      <c r="C110" s="6">
        <v>2.9884601810862204E-2</v>
      </c>
      <c r="D110" s="6">
        <v>8.3761723124079729E-2</v>
      </c>
      <c r="E110" s="6">
        <v>2.5918060262667547E-2</v>
      </c>
      <c r="F110" s="6">
        <v>2.5811902513572058E-2</v>
      </c>
      <c r="G110" s="6">
        <v>-3.108722080905495E-2</v>
      </c>
      <c r="H110" s="6">
        <v>4.6457690991725895E-3</v>
      </c>
      <c r="I110" s="6">
        <v>2.3644133879798954E-2</v>
      </c>
      <c r="J110" s="6">
        <v>-6.0882802489447727E-4</v>
      </c>
      <c r="K110" s="6">
        <v>2.5058377829109142E-2</v>
      </c>
      <c r="L110" s="6">
        <v>-4.7204787501501894E-2</v>
      </c>
      <c r="M110" s="6">
        <v>2.9773846095959011E-2</v>
      </c>
      <c r="N110" s="6">
        <v>1.1926059851231061E-3</v>
      </c>
      <c r="O110" s="6">
        <v>1.1783870182975734E-2</v>
      </c>
      <c r="P110" s="6">
        <v>-2.0359126137918931E-2</v>
      </c>
      <c r="S110" s="6">
        <f t="shared" si="15"/>
        <v>2.809658382305227E-2</v>
      </c>
      <c r="T110" s="6">
        <f t="shared" si="16"/>
        <v>7.3932246627635229E-2</v>
      </c>
      <c r="U110" s="6">
        <f t="shared" si="17"/>
        <v>2.3358706116457819E-2</v>
      </c>
      <c r="V110" s="6">
        <f t="shared" si="18"/>
        <v>2.3102554178100951E-2</v>
      </c>
      <c r="W110" s="6">
        <f t="shared" si="19"/>
        <v>-3.1943998621665741E-2</v>
      </c>
      <c r="X110" s="6">
        <f t="shared" si="20"/>
        <v>3.1661293779429575E-3</v>
      </c>
      <c r="Y110" s="6">
        <f t="shared" si="21"/>
        <v>1.9778546569603025E-2</v>
      </c>
      <c r="Z110" s="6">
        <f t="shared" si="22"/>
        <v>7.5300535109357192E-3</v>
      </c>
      <c r="AA110" s="6">
        <f t="shared" si="23"/>
        <v>1.9789692486576187E-2</v>
      </c>
      <c r="AB110" s="6">
        <f t="shared" si="24"/>
        <v>-4.9458910872742338E-2</v>
      </c>
      <c r="AC110" s="6">
        <f t="shared" si="25"/>
        <v>2.5615092336113619E-2</v>
      </c>
      <c r="AD110" s="6">
        <f t="shared" si="26"/>
        <v>-1.1084745692317972E-2</v>
      </c>
      <c r="AE110" s="6">
        <f t="shared" si="27"/>
        <v>1.4854936831301992E-2</v>
      </c>
      <c r="AF110" s="6">
        <f t="shared" si="28"/>
        <v>-1.683142481347338E-2</v>
      </c>
    </row>
    <row r="111" spans="3:32" x14ac:dyDescent="0.3">
      <c r="C111" s="6">
        <v>4.4794074587097945E-3</v>
      </c>
      <c r="D111" s="6">
        <v>2.5557315356589172E-2</v>
      </c>
      <c r="E111" s="6">
        <v>1.3107588610373996E-2</v>
      </c>
      <c r="F111" s="6">
        <v>3.8858050575295656E-2</v>
      </c>
      <c r="G111" s="6">
        <v>-0.14663075894924732</v>
      </c>
      <c r="H111" s="6">
        <v>2.4042371554215545E-2</v>
      </c>
      <c r="I111" s="6">
        <v>2.7496941921568419E-2</v>
      </c>
      <c r="J111" s="6">
        <v>-1.040719524853582E-2</v>
      </c>
      <c r="K111" s="6">
        <v>-7.9194288377664899E-4</v>
      </c>
      <c r="L111" s="6">
        <v>3.6007240343700867E-3</v>
      </c>
      <c r="M111" s="6">
        <v>6.2772922960432674E-3</v>
      </c>
      <c r="N111" s="6">
        <v>-2.5959803695797756E-2</v>
      </c>
      <c r="O111" s="6">
        <v>2.1923976891615592E-2</v>
      </c>
      <c r="P111" s="6">
        <v>-1.9009199385546998E-2</v>
      </c>
      <c r="S111" s="6">
        <f t="shared" si="15"/>
        <v>2.6913894708998605E-3</v>
      </c>
      <c r="T111" s="6">
        <f t="shared" si="16"/>
        <v>1.5727838860144675E-2</v>
      </c>
      <c r="U111" s="6">
        <f t="shared" si="17"/>
        <v>1.054823446416427E-2</v>
      </c>
      <c r="V111" s="6">
        <f t="shared" si="18"/>
        <v>3.6148702239824547E-2</v>
      </c>
      <c r="W111" s="6">
        <f t="shared" si="19"/>
        <v>-0.14748753676185811</v>
      </c>
      <c r="X111" s="6">
        <f t="shared" si="20"/>
        <v>2.2562731832985912E-2</v>
      </c>
      <c r="Y111" s="6">
        <f t="shared" si="21"/>
        <v>2.3631354611372491E-2</v>
      </c>
      <c r="Z111" s="6">
        <f t="shared" si="22"/>
        <v>-2.2683137127056229E-3</v>
      </c>
      <c r="AA111" s="6">
        <f t="shared" si="23"/>
        <v>-6.0606282263096032E-3</v>
      </c>
      <c r="AB111" s="6">
        <f t="shared" si="24"/>
        <v>1.3466006631296401E-3</v>
      </c>
      <c r="AC111" s="6">
        <f t="shared" si="25"/>
        <v>2.118538536197874E-3</v>
      </c>
      <c r="AD111" s="6">
        <f t="shared" si="26"/>
        <v>-3.8237155373238838E-2</v>
      </c>
      <c r="AE111" s="6">
        <f t="shared" si="27"/>
        <v>2.499504353994185E-2</v>
      </c>
      <c r="AF111" s="6">
        <f t="shared" si="28"/>
        <v>-1.5481498061101447E-2</v>
      </c>
    </row>
    <row r="112" spans="3:32" x14ac:dyDescent="0.3">
      <c r="C112" s="6">
        <v>-3.4740586189857377E-2</v>
      </c>
      <c r="D112" s="6">
        <v>8.0710504159032262E-2</v>
      </c>
      <c r="E112" s="6">
        <v>1.7886755468555521E-2</v>
      </c>
      <c r="F112" s="6">
        <v>-6.656449107264957E-2</v>
      </c>
      <c r="G112" s="6">
        <v>2.5111784034300273E-2</v>
      </c>
      <c r="H112" s="6">
        <v>7.6730580528158815E-2</v>
      </c>
      <c r="I112" s="6">
        <v>0.18658757504901588</v>
      </c>
      <c r="J112" s="6">
        <v>4.8057294953779264E-2</v>
      </c>
      <c r="K112" s="6">
        <v>4.4662908848817399E-2</v>
      </c>
      <c r="L112" s="6">
        <v>3.1603919464021156E-2</v>
      </c>
      <c r="M112" s="6">
        <v>3.8181147915045933E-2</v>
      </c>
      <c r="N112" s="6">
        <v>4.0161225801965558E-2</v>
      </c>
      <c r="O112" s="6">
        <v>2.255275278505766E-2</v>
      </c>
      <c r="P112" s="6">
        <v>-5.258388800643083E-2</v>
      </c>
      <c r="S112" s="6">
        <f t="shared" si="15"/>
        <v>-3.6528604177667311E-2</v>
      </c>
      <c r="T112" s="6">
        <f t="shared" si="16"/>
        <v>7.0881027662587762E-2</v>
      </c>
      <c r="U112" s="6">
        <f t="shared" si="17"/>
        <v>1.5327401322345795E-2</v>
      </c>
      <c r="V112" s="6">
        <f t="shared" si="18"/>
        <v>-6.927383940812068E-2</v>
      </c>
      <c r="W112" s="6">
        <f t="shared" si="19"/>
        <v>2.4255006221689482E-2</v>
      </c>
      <c r="X112" s="6">
        <f t="shared" si="20"/>
        <v>7.5250940806929179E-2</v>
      </c>
      <c r="Y112" s="6">
        <f t="shared" si="21"/>
        <v>0.18272198773881995</v>
      </c>
      <c r="Z112" s="6">
        <f t="shared" si="22"/>
        <v>5.6196176489609465E-2</v>
      </c>
      <c r="AA112" s="6">
        <f t="shared" si="23"/>
        <v>3.9394223506284444E-2</v>
      </c>
      <c r="AB112" s="6">
        <f t="shared" si="24"/>
        <v>2.9349796092780711E-2</v>
      </c>
      <c r="AC112" s="6">
        <f t="shared" si="25"/>
        <v>3.4022394155200537E-2</v>
      </c>
      <c r="AD112" s="6">
        <f t="shared" si="26"/>
        <v>2.788387412452448E-2</v>
      </c>
      <c r="AE112" s="6">
        <f t="shared" si="27"/>
        <v>2.5623819433383918E-2</v>
      </c>
      <c r="AF112" s="6">
        <f t="shared" si="28"/>
        <v>-4.9056186681985275E-2</v>
      </c>
    </row>
    <row r="113" spans="3:32" x14ac:dyDescent="0.3">
      <c r="C113" s="6">
        <v>1.6013152415204665E-2</v>
      </c>
      <c r="D113" s="6">
        <v>8.6393995800145409E-2</v>
      </c>
      <c r="E113" s="6">
        <v>2.2435027317990786E-2</v>
      </c>
      <c r="F113" s="6">
        <v>4.5446766269731931E-2</v>
      </c>
      <c r="G113" s="6">
        <v>2.9676079356393058E-2</v>
      </c>
      <c r="H113" s="6">
        <v>1.524895255890734E-2</v>
      </c>
      <c r="I113" s="6">
        <v>-1.4590440146979074E-2</v>
      </c>
      <c r="J113" s="6">
        <v>-0.42830460007798732</v>
      </c>
      <c r="K113" s="6">
        <v>8.1478425380074479E-2</v>
      </c>
      <c r="L113" s="6">
        <v>9.4240254456246939E-2</v>
      </c>
      <c r="M113" s="6">
        <v>4.0874879856045418E-2</v>
      </c>
      <c r="N113" s="6">
        <v>0.3593740009078974</v>
      </c>
      <c r="O113" s="6">
        <v>5.1073562459617423E-2</v>
      </c>
      <c r="P113" s="6">
        <v>2.200596610737009E-2</v>
      </c>
      <c r="S113" s="6">
        <f t="shared" si="15"/>
        <v>1.4225134427394731E-2</v>
      </c>
      <c r="T113" s="6">
        <f t="shared" si="16"/>
        <v>7.6564519303700909E-2</v>
      </c>
      <c r="U113" s="6">
        <f t="shared" si="17"/>
        <v>1.9875673171781058E-2</v>
      </c>
      <c r="V113" s="6">
        <f t="shared" si="18"/>
        <v>4.2737417934260821E-2</v>
      </c>
      <c r="W113" s="6">
        <f t="shared" si="19"/>
        <v>2.8819301543782268E-2</v>
      </c>
      <c r="X113" s="6">
        <f t="shared" si="20"/>
        <v>1.3769312837677707E-2</v>
      </c>
      <c r="Y113" s="6">
        <f t="shared" si="21"/>
        <v>-1.8456027457175003E-2</v>
      </c>
      <c r="Z113" s="6">
        <f t="shared" si="22"/>
        <v>-0.42016571854215712</v>
      </c>
      <c r="AA113" s="6">
        <f t="shared" si="23"/>
        <v>7.6209740037541523E-2</v>
      </c>
      <c r="AB113" s="6">
        <f t="shared" si="24"/>
        <v>9.1986131085006487E-2</v>
      </c>
      <c r="AC113" s="6">
        <f t="shared" si="25"/>
        <v>3.6716126096200022E-2</v>
      </c>
      <c r="AD113" s="6">
        <f t="shared" si="26"/>
        <v>0.3470966492304563</v>
      </c>
      <c r="AE113" s="6">
        <f t="shared" si="27"/>
        <v>5.4144629107943681E-2</v>
      </c>
      <c r="AF113" s="6">
        <f t="shared" si="28"/>
        <v>2.5533667431815642E-2</v>
      </c>
    </row>
    <row r="114" spans="3:32" x14ac:dyDescent="0.3">
      <c r="C114" s="6">
        <v>-3.5244514343092226E-2</v>
      </c>
      <c r="D114" s="6">
        <v>6.6326068765742326E-3</v>
      </c>
      <c r="E114" s="6">
        <v>-3.9999996623049844E-2</v>
      </c>
      <c r="F114" s="6">
        <v>-5.8596478547832759E-2</v>
      </c>
      <c r="G114" s="6">
        <v>3.2428131135373017E-2</v>
      </c>
      <c r="H114" s="6">
        <v>-2.8726245502388146E-2</v>
      </c>
      <c r="I114" s="6">
        <v>1.1068381481884614E-2</v>
      </c>
      <c r="J114" s="6">
        <v>5.3860094295706783E-3</v>
      </c>
      <c r="K114" s="6">
        <v>-3.0368368540945864E-4</v>
      </c>
      <c r="L114" s="6">
        <v>0.23892095920201067</v>
      </c>
      <c r="M114" s="6">
        <v>0.10054000292692536</v>
      </c>
      <c r="N114" s="6">
        <v>2.4580102502691934E-3</v>
      </c>
      <c r="O114" s="6">
        <v>-0.28559656596075955</v>
      </c>
      <c r="P114" s="6">
        <v>-5.6030927210078608E-2</v>
      </c>
      <c r="S114" s="6">
        <f t="shared" si="15"/>
        <v>-3.703253233090216E-2</v>
      </c>
      <c r="T114" s="6">
        <f t="shared" si="16"/>
        <v>-3.1968696198702642E-3</v>
      </c>
      <c r="U114" s="6">
        <f t="shared" si="17"/>
        <v>-4.2559350769259569E-2</v>
      </c>
      <c r="V114" s="6">
        <f t="shared" si="18"/>
        <v>-6.1305826883303868E-2</v>
      </c>
      <c r="W114" s="6">
        <f t="shared" si="19"/>
        <v>3.157135332276223E-2</v>
      </c>
      <c r="X114" s="6">
        <f t="shared" si="20"/>
        <v>-3.0205885223617779E-2</v>
      </c>
      <c r="Y114" s="6">
        <f t="shared" si="21"/>
        <v>7.2027941716886843E-3</v>
      </c>
      <c r="Z114" s="6">
        <f t="shared" si="22"/>
        <v>1.3524890965400875E-2</v>
      </c>
      <c r="AA114" s="6">
        <f t="shared" si="23"/>
        <v>-5.572369027942412E-3</v>
      </c>
      <c r="AB114" s="6">
        <f t="shared" si="24"/>
        <v>0.23666683583077022</v>
      </c>
      <c r="AC114" s="6">
        <f t="shared" si="25"/>
        <v>9.6381249167079963E-2</v>
      </c>
      <c r="AD114" s="6">
        <f t="shared" si="26"/>
        <v>-9.8193414271718835E-3</v>
      </c>
      <c r="AE114" s="6">
        <f t="shared" si="27"/>
        <v>-0.28252549931243331</v>
      </c>
      <c r="AF114" s="6">
        <f t="shared" si="28"/>
        <v>-5.2503225885633054E-2</v>
      </c>
    </row>
    <row r="115" spans="3:32" x14ac:dyDescent="0.3">
      <c r="C115" s="6">
        <v>1.1512212438281955E-3</v>
      </c>
      <c r="D115" s="6">
        <v>8.2064118374702191E-2</v>
      </c>
      <c r="E115" s="6">
        <v>1.5422702552663236E-2</v>
      </c>
      <c r="F115" s="6">
        <v>2.4185655813203602E-2</v>
      </c>
      <c r="G115" s="6">
        <v>-4.0728225473348714E-2</v>
      </c>
      <c r="H115" s="6">
        <v>3.1816907303261074E-2</v>
      </c>
      <c r="I115" s="6">
        <v>2.2375195750451961E-2</v>
      </c>
      <c r="J115" s="6">
        <v>-3.3685478950935301E-2</v>
      </c>
      <c r="K115" s="6">
        <v>-5.5419733120970947E-2</v>
      </c>
      <c r="L115" s="6">
        <v>-8.2810292617975054E-2</v>
      </c>
      <c r="M115" s="6">
        <v>-2.6818226915650998E-3</v>
      </c>
      <c r="N115" s="6">
        <v>-6.2032117602387839E-2</v>
      </c>
      <c r="O115" s="6">
        <v>-0.11031102081768235</v>
      </c>
      <c r="P115" s="6">
        <v>2.0395863162693834E-2</v>
      </c>
      <c r="S115" s="6">
        <f t="shared" si="15"/>
        <v>-6.3679674398173822E-4</v>
      </c>
      <c r="T115" s="6">
        <f t="shared" si="16"/>
        <v>7.2234641878257691E-2</v>
      </c>
      <c r="U115" s="6">
        <f t="shared" si="17"/>
        <v>1.286334840645351E-2</v>
      </c>
      <c r="V115" s="6">
        <f t="shared" si="18"/>
        <v>2.1476307477732496E-2</v>
      </c>
      <c r="W115" s="6">
        <f t="shared" si="19"/>
        <v>-4.1585003285959501E-2</v>
      </c>
      <c r="X115" s="6">
        <f t="shared" si="20"/>
        <v>3.0337267582031441E-2</v>
      </c>
      <c r="Y115" s="6">
        <f t="shared" si="21"/>
        <v>1.8509608440256033E-2</v>
      </c>
      <c r="Z115" s="6">
        <f t="shared" si="22"/>
        <v>-2.5546597415105104E-2</v>
      </c>
      <c r="AA115" s="6">
        <f t="shared" si="23"/>
        <v>-6.0688418463503903E-2</v>
      </c>
      <c r="AB115" s="6">
        <f t="shared" si="24"/>
        <v>-8.5064415989215506E-2</v>
      </c>
      <c r="AC115" s="6">
        <f t="shared" si="25"/>
        <v>-6.8405764514104933E-3</v>
      </c>
      <c r="AD115" s="6">
        <f t="shared" si="26"/>
        <v>-7.4309469279828913E-2</v>
      </c>
      <c r="AE115" s="6">
        <f t="shared" si="27"/>
        <v>-0.1072399541693561</v>
      </c>
      <c r="AF115" s="6">
        <f t="shared" si="28"/>
        <v>2.3923564487139386E-2</v>
      </c>
    </row>
    <row r="116" spans="3:32" x14ac:dyDescent="0.3">
      <c r="C116" s="6">
        <v>-1.5793580258141243E-2</v>
      </c>
      <c r="D116" s="6">
        <v>4.2961293017898861E-2</v>
      </c>
      <c r="E116" s="6">
        <v>1.2496529957443176E-2</v>
      </c>
      <c r="F116" s="6">
        <v>-4.8533181354611668E-2</v>
      </c>
      <c r="G116" s="6">
        <v>5.409189587394108E-2</v>
      </c>
      <c r="H116" s="6">
        <v>1.8289912750917837E-2</v>
      </c>
      <c r="I116" s="6">
        <v>3.7050662489188979E-2</v>
      </c>
      <c r="J116" s="6">
        <v>4.0821994520254985E-2</v>
      </c>
      <c r="K116" s="6">
        <v>9.9347556407051799E-3</v>
      </c>
      <c r="L116" s="6">
        <v>0.21489174100903799</v>
      </c>
      <c r="M116" s="6">
        <v>3.5549808921368505E-2</v>
      </c>
      <c r="N116" s="6">
        <v>8.1882880834459729E-2</v>
      </c>
      <c r="O116" s="6">
        <v>-1.76801914312248E-2</v>
      </c>
      <c r="P116" s="6">
        <v>0.11194760587272498</v>
      </c>
      <c r="S116" s="6">
        <f t="shared" si="15"/>
        <v>-1.7581598245951176E-2</v>
      </c>
      <c r="T116" s="6">
        <f t="shared" si="16"/>
        <v>3.313181652145436E-2</v>
      </c>
      <c r="U116" s="6">
        <f t="shared" si="17"/>
        <v>9.9371758112334497E-3</v>
      </c>
      <c r="V116" s="6">
        <f t="shared" si="18"/>
        <v>-5.1242529690082778E-2</v>
      </c>
      <c r="W116" s="6">
        <f t="shared" si="19"/>
        <v>5.3235118061330293E-2</v>
      </c>
      <c r="X116" s="6">
        <f t="shared" si="20"/>
        <v>1.6810273029688204E-2</v>
      </c>
      <c r="Y116" s="6">
        <f t="shared" si="21"/>
        <v>3.3185075178993051E-2</v>
      </c>
      <c r="Z116" s="6">
        <f t="shared" si="22"/>
        <v>4.8960876056085179E-2</v>
      </c>
      <c r="AA116" s="6">
        <f t="shared" si="23"/>
        <v>4.6660702981722261E-3</v>
      </c>
      <c r="AB116" s="6">
        <f t="shared" si="24"/>
        <v>0.21263761763779754</v>
      </c>
      <c r="AC116" s="6">
        <f t="shared" si="25"/>
        <v>3.1391055161523108E-2</v>
      </c>
      <c r="AD116" s="6">
        <f t="shared" si="26"/>
        <v>6.9605529157018647E-2</v>
      </c>
      <c r="AE116" s="6">
        <f t="shared" si="27"/>
        <v>-1.4609124782898542E-2</v>
      </c>
      <c r="AF116" s="6">
        <f t="shared" si="28"/>
        <v>0.11547530719717053</v>
      </c>
    </row>
    <row r="117" spans="3:32" x14ac:dyDescent="0.3">
      <c r="C117" s="6">
        <v>-5.0982814517918404E-2</v>
      </c>
      <c r="D117" s="6">
        <v>6.1853526959590122E-2</v>
      </c>
      <c r="E117" s="6">
        <v>-2.2587729532163141E-2</v>
      </c>
      <c r="F117" s="6">
        <v>-1.2695088861485588E-2</v>
      </c>
      <c r="G117" s="6">
        <v>-0.14470405953298013</v>
      </c>
      <c r="H117" s="6">
        <v>-1.6234765598386627E-2</v>
      </c>
      <c r="I117" s="6">
        <v>7.2402994197698599E-3</v>
      </c>
      <c r="J117" s="6">
        <v>9.6521566990621893E-2</v>
      </c>
      <c r="K117" s="6">
        <v>2.5885828448298575E-2</v>
      </c>
      <c r="L117" s="6">
        <v>0.22083735128753243</v>
      </c>
      <c r="M117" s="6">
        <v>-2.9176301049276359E-2</v>
      </c>
      <c r="N117" s="6">
        <v>4.3561919804902018E-2</v>
      </c>
      <c r="O117" s="6">
        <v>1.7990317034578655E-2</v>
      </c>
      <c r="P117" s="6">
        <v>-5.4333635106565303E-2</v>
      </c>
      <c r="S117" s="6">
        <f t="shared" si="15"/>
        <v>-5.2770832505728338E-2</v>
      </c>
      <c r="T117" s="6">
        <f t="shared" si="16"/>
        <v>5.2024050463145621E-2</v>
      </c>
      <c r="U117" s="6">
        <f t="shared" si="17"/>
        <v>-2.5147083678372869E-2</v>
      </c>
      <c r="V117" s="6">
        <f t="shared" si="18"/>
        <v>-1.5404437196956694E-2</v>
      </c>
      <c r="W117" s="6">
        <f t="shared" si="19"/>
        <v>-0.14556083734559092</v>
      </c>
      <c r="X117" s="6">
        <f t="shared" si="20"/>
        <v>-1.771440531961626E-2</v>
      </c>
      <c r="Y117" s="6">
        <f t="shared" si="21"/>
        <v>3.3747121095739304E-3</v>
      </c>
      <c r="Z117" s="6">
        <f t="shared" si="22"/>
        <v>0.10466044852645209</v>
      </c>
      <c r="AA117" s="6">
        <f t="shared" si="23"/>
        <v>2.0617143105765623E-2</v>
      </c>
      <c r="AB117" s="6">
        <f t="shared" si="24"/>
        <v>0.21858322791629198</v>
      </c>
      <c r="AC117" s="6">
        <f t="shared" si="25"/>
        <v>-3.3335054809121752E-2</v>
      </c>
      <c r="AD117" s="6">
        <f t="shared" si="26"/>
        <v>3.1284568127460943E-2</v>
      </c>
      <c r="AE117" s="6">
        <f t="shared" si="27"/>
        <v>2.1061383682904913E-2</v>
      </c>
      <c r="AF117" s="6">
        <f t="shared" si="28"/>
        <v>-5.0805933782119748E-2</v>
      </c>
    </row>
    <row r="118" spans="3:32" x14ac:dyDescent="0.3">
      <c r="C118" s="6">
        <v>1.1009285508369396E-2</v>
      </c>
      <c r="D118" s="6">
        <v>3.5353860168739954E-3</v>
      </c>
      <c r="E118" s="6">
        <v>2.4799481563708568E-2</v>
      </c>
      <c r="F118" s="6">
        <v>4.1728458972593474E-2</v>
      </c>
      <c r="G118" s="6">
        <v>-6.9485912890005289E-2</v>
      </c>
      <c r="H118" s="6">
        <v>-5.3177927873475994E-3</v>
      </c>
      <c r="I118" s="6">
        <v>-4.4146353230120158E-2</v>
      </c>
      <c r="J118" s="6">
        <v>-0.10186917331721736</v>
      </c>
      <c r="K118" s="6">
        <v>-2.2553814258841488E-2</v>
      </c>
      <c r="L118" s="6">
        <v>-5.7172167390083885E-2</v>
      </c>
      <c r="M118" s="6">
        <v>-3.3989186414147825E-2</v>
      </c>
      <c r="N118" s="6">
        <v>-0.10305901866954706</v>
      </c>
      <c r="O118" s="6">
        <v>-7.9384026503579227E-3</v>
      </c>
      <c r="P118" s="6">
        <v>-1.8029334517941913E-2</v>
      </c>
      <c r="S118" s="6">
        <f t="shared" si="15"/>
        <v>9.2212675205594619E-3</v>
      </c>
      <c r="T118" s="6">
        <f t="shared" si="16"/>
        <v>-6.2940904795705018E-3</v>
      </c>
      <c r="U118" s="6">
        <f t="shared" si="17"/>
        <v>2.2240127417498839E-2</v>
      </c>
      <c r="V118" s="6">
        <f t="shared" si="18"/>
        <v>3.9019110637122364E-2</v>
      </c>
      <c r="W118" s="6">
        <f t="shared" si="19"/>
        <v>-7.0342690702616076E-2</v>
      </c>
      <c r="X118" s="6">
        <f t="shared" si="20"/>
        <v>-6.7974325085772315E-3</v>
      </c>
      <c r="Y118" s="6">
        <f t="shared" si="21"/>
        <v>-4.8011940540316086E-2</v>
      </c>
      <c r="Z118" s="6">
        <f t="shared" si="22"/>
        <v>-9.3730291781387157E-2</v>
      </c>
      <c r="AA118" s="6">
        <f t="shared" si="23"/>
        <v>-2.7822499601374444E-2</v>
      </c>
      <c r="AB118" s="6">
        <f t="shared" si="24"/>
        <v>-5.942629076132433E-2</v>
      </c>
      <c r="AC118" s="6">
        <f t="shared" si="25"/>
        <v>-3.8147940173993221E-2</v>
      </c>
      <c r="AD118" s="6">
        <f t="shared" si="26"/>
        <v>-0.11533637034698814</v>
      </c>
      <c r="AE118" s="6">
        <f t="shared" si="27"/>
        <v>-4.8673360020316647E-3</v>
      </c>
      <c r="AF118" s="6">
        <f t="shared" si="28"/>
        <v>-1.4501633193496361E-2</v>
      </c>
    </row>
    <row r="119" spans="3:32" x14ac:dyDescent="0.3">
      <c r="C119" s="6">
        <v>-1.9715866056017857E-3</v>
      </c>
      <c r="D119" s="6">
        <v>7.0858161716365428E-2</v>
      </c>
      <c r="E119" s="6">
        <v>2.9156308265941368E-2</v>
      </c>
      <c r="F119" s="6">
        <v>6.5719824823501027E-2</v>
      </c>
      <c r="G119" s="6">
        <v>4.3427876688532131E-2</v>
      </c>
      <c r="H119" s="6">
        <v>2.5193101206314891E-2</v>
      </c>
      <c r="I119" s="6">
        <v>5.1295360074324253E-2</v>
      </c>
      <c r="J119" s="6">
        <v>1.8592833076615925E-2</v>
      </c>
      <c r="K119" s="6">
        <v>3.7098295240598822E-2</v>
      </c>
      <c r="L119" s="6">
        <v>5.2837323744310723E-2</v>
      </c>
      <c r="M119" s="6">
        <v>5.324354075635504E-2</v>
      </c>
      <c r="N119" s="6">
        <v>2.8951046515825286E-2</v>
      </c>
      <c r="O119" s="6">
        <v>-6.4278656687122831E-3</v>
      </c>
      <c r="P119" s="6">
        <v>0</v>
      </c>
      <c r="S119" s="6">
        <f t="shared" si="15"/>
        <v>-3.7596045934117197E-3</v>
      </c>
      <c r="T119" s="6">
        <f t="shared" si="16"/>
        <v>6.1028685219920928E-2</v>
      </c>
      <c r="U119" s="6">
        <f t="shared" si="17"/>
        <v>2.659695411973164E-2</v>
      </c>
      <c r="V119" s="6">
        <f t="shared" si="18"/>
        <v>6.3010476488029918E-2</v>
      </c>
      <c r="W119" s="6">
        <f t="shared" si="19"/>
        <v>4.2571098875921344E-2</v>
      </c>
      <c r="X119" s="6">
        <f t="shared" si="20"/>
        <v>2.3713461485085258E-2</v>
      </c>
      <c r="Y119" s="6">
        <f t="shared" si="21"/>
        <v>4.7429772764128325E-2</v>
      </c>
      <c r="Z119" s="6">
        <f t="shared" si="22"/>
        <v>2.6731714612446122E-2</v>
      </c>
      <c r="AA119" s="6">
        <f t="shared" si="23"/>
        <v>3.1829609898065866E-2</v>
      </c>
      <c r="AB119" s="6">
        <f t="shared" si="24"/>
        <v>5.0583200373070278E-2</v>
      </c>
      <c r="AC119" s="6">
        <f t="shared" si="25"/>
        <v>4.9084786996509644E-2</v>
      </c>
      <c r="AD119" s="6">
        <f t="shared" si="26"/>
        <v>1.6673694838384209E-2</v>
      </c>
      <c r="AE119" s="6">
        <f t="shared" si="27"/>
        <v>-3.3567990203860255E-3</v>
      </c>
      <c r="AF119" s="6">
        <f t="shared" si="28"/>
        <v>3.5277013244455519E-3</v>
      </c>
    </row>
    <row r="120" spans="3:32" x14ac:dyDescent="0.3">
      <c r="C120" s="6">
        <v>-4.6544184561335133E-3</v>
      </c>
      <c r="D120" s="6">
        <v>-4.2573447877783492E-2</v>
      </c>
      <c r="E120" s="6">
        <v>-1.8883145311900763E-2</v>
      </c>
      <c r="F120" s="6">
        <v>1.0606563805097477E-3</v>
      </c>
      <c r="G120" s="6">
        <v>2.8621190852833298E-2</v>
      </c>
      <c r="H120" s="6">
        <v>8.4064517324076004E-3</v>
      </c>
      <c r="I120" s="6">
        <v>-4.8242804284307411E-2</v>
      </c>
      <c r="J120" s="6">
        <v>6.9930354909706043E-3</v>
      </c>
      <c r="K120" s="6">
        <v>-2.1569251881154057E-2</v>
      </c>
      <c r="L120" s="6">
        <v>3.6921005857153605E-2</v>
      </c>
      <c r="M120" s="6">
        <v>-4.1221966475606581E-2</v>
      </c>
      <c r="N120" s="6">
        <v>-4.9596941139372061E-2</v>
      </c>
      <c r="O120" s="6">
        <v>2.4700284861632331E-2</v>
      </c>
      <c r="P120" s="6">
        <v>-8.9850600667598108E-3</v>
      </c>
      <c r="S120" s="6">
        <f t="shared" si="15"/>
        <v>-6.4424364439434473E-3</v>
      </c>
      <c r="T120" s="6">
        <f t="shared" si="16"/>
        <v>-5.2402924374227985E-2</v>
      </c>
      <c r="U120" s="6">
        <f t="shared" si="17"/>
        <v>-2.1442499458110491E-2</v>
      </c>
      <c r="V120" s="6">
        <f t="shared" si="18"/>
        <v>-1.6486919549613588E-3</v>
      </c>
      <c r="W120" s="6">
        <f t="shared" si="19"/>
        <v>2.7764413040222508E-2</v>
      </c>
      <c r="X120" s="6">
        <f t="shared" si="20"/>
        <v>6.9268120111779683E-3</v>
      </c>
      <c r="Y120" s="6">
        <f t="shared" si="21"/>
        <v>-5.2108391594503339E-2</v>
      </c>
      <c r="Z120" s="6">
        <f t="shared" si="22"/>
        <v>1.5131917026800801E-2</v>
      </c>
      <c r="AA120" s="6">
        <f t="shared" si="23"/>
        <v>-2.6837937223687013E-2</v>
      </c>
      <c r="AB120" s="6">
        <f t="shared" si="24"/>
        <v>3.466688248591316E-2</v>
      </c>
      <c r="AC120" s="6">
        <f t="shared" si="25"/>
        <v>-4.5380720235451977E-2</v>
      </c>
      <c r="AD120" s="6">
        <f t="shared" si="26"/>
        <v>-6.1874292816813142E-2</v>
      </c>
      <c r="AE120" s="6">
        <f t="shared" si="27"/>
        <v>2.7771351509958589E-2</v>
      </c>
      <c r="AF120" s="6">
        <f t="shared" si="28"/>
        <v>-5.4573587423142594E-3</v>
      </c>
    </row>
    <row r="121" spans="3:32" x14ac:dyDescent="0.3">
      <c r="C121" s="6">
        <v>-1.1141849853919217E-2</v>
      </c>
      <c r="D121" s="6">
        <v>-2.6351247214082097E-2</v>
      </c>
      <c r="E121" s="6">
        <v>1.1344421152973322E-2</v>
      </c>
      <c r="F121" s="6">
        <v>1.0348442876129316E-2</v>
      </c>
      <c r="G121" s="6">
        <v>-6.3950871246246321E-2</v>
      </c>
      <c r="H121" s="6">
        <v>2.5668395152094889E-2</v>
      </c>
      <c r="I121" s="6">
        <v>8.2501449068943439E-2</v>
      </c>
      <c r="J121" s="6">
        <v>-4.2711118093049803E-2</v>
      </c>
      <c r="K121" s="6">
        <v>-1.6004366191811528E-2</v>
      </c>
      <c r="L121" s="6">
        <v>-9.5800644057427067E-2</v>
      </c>
      <c r="M121" s="6">
        <v>2.2056447475702111E-3</v>
      </c>
      <c r="N121" s="6">
        <v>-2.1753325959088295E-3</v>
      </c>
      <c r="O121" s="6">
        <v>-8.5492032942348681E-2</v>
      </c>
      <c r="P121" s="6">
        <v>-3.7881545988377507E-2</v>
      </c>
      <c r="S121" s="6">
        <f t="shared" si="15"/>
        <v>-1.2929867841729151E-2</v>
      </c>
      <c r="T121" s="6">
        <f t="shared" si="16"/>
        <v>-3.6180723710526594E-2</v>
      </c>
      <c r="U121" s="6">
        <f t="shared" si="17"/>
        <v>8.7850670067635955E-3</v>
      </c>
      <c r="V121" s="6">
        <f t="shared" si="18"/>
        <v>7.63909454065821E-3</v>
      </c>
      <c r="W121" s="6">
        <f t="shared" si="19"/>
        <v>-6.4807649058857109E-2</v>
      </c>
      <c r="X121" s="6">
        <f t="shared" si="20"/>
        <v>2.4188755430865256E-2</v>
      </c>
      <c r="Y121" s="6">
        <f t="shared" si="21"/>
        <v>7.8635861758747511E-2</v>
      </c>
      <c r="Z121" s="6">
        <f t="shared" si="22"/>
        <v>-3.457223655721961E-2</v>
      </c>
      <c r="AA121" s="6">
        <f t="shared" si="23"/>
        <v>-2.127305153434448E-2</v>
      </c>
      <c r="AB121" s="6">
        <f t="shared" si="24"/>
        <v>-9.8054767428667519E-2</v>
      </c>
      <c r="AC121" s="6">
        <f t="shared" si="25"/>
        <v>-1.9531090122751824E-3</v>
      </c>
      <c r="AD121" s="6">
        <f t="shared" si="26"/>
        <v>-1.4452684273349907E-2</v>
      </c>
      <c r="AE121" s="6">
        <f t="shared" si="27"/>
        <v>-8.242096629402243E-2</v>
      </c>
      <c r="AF121" s="6">
        <f t="shared" si="28"/>
        <v>-3.4353844663931953E-2</v>
      </c>
    </row>
    <row r="122" spans="3:32" x14ac:dyDescent="0.3">
      <c r="C122" s="6">
        <v>4.027933049853856E-2</v>
      </c>
      <c r="D122" s="6">
        <v>2.0431335143689111E-3</v>
      </c>
      <c r="E122" s="6">
        <v>-8.54363130376911E-3</v>
      </c>
      <c r="F122" s="6">
        <v>3.3720114451916236E-2</v>
      </c>
      <c r="G122" s="6">
        <v>3.6616681858060551E-2</v>
      </c>
      <c r="H122" s="6">
        <v>5.711222420584864E-3</v>
      </c>
      <c r="I122" s="6">
        <v>-2.9716208341071429E-2</v>
      </c>
      <c r="J122" s="6">
        <v>-1.373019281190202E-2</v>
      </c>
      <c r="K122" s="6">
        <v>-2.0655605875985451E-2</v>
      </c>
      <c r="L122" s="6">
        <v>1.9932849406450258E-2</v>
      </c>
      <c r="M122" s="6">
        <v>-2.4666692760404115E-2</v>
      </c>
      <c r="N122" s="6">
        <v>-1.2711106931928022E-2</v>
      </c>
      <c r="O122" s="6">
        <v>1.1692977194633178E-3</v>
      </c>
      <c r="P122" s="6">
        <v>-2.1033126662108909E-2</v>
      </c>
      <c r="S122" s="6">
        <f t="shared" si="15"/>
        <v>3.8491312510728626E-2</v>
      </c>
      <c r="T122" s="6">
        <f t="shared" si="16"/>
        <v>-7.7863429820755857E-3</v>
      </c>
      <c r="U122" s="6">
        <f t="shared" si="17"/>
        <v>-1.1102985449978836E-2</v>
      </c>
      <c r="V122" s="6">
        <f t="shared" si="18"/>
        <v>3.101076611644513E-2</v>
      </c>
      <c r="W122" s="6">
        <f t="shared" si="19"/>
        <v>3.5759904045449764E-2</v>
      </c>
      <c r="X122" s="6">
        <f t="shared" si="20"/>
        <v>4.2315826993552319E-3</v>
      </c>
      <c r="Y122" s="6">
        <f t="shared" si="21"/>
        <v>-3.3581795651267357E-2</v>
      </c>
      <c r="Z122" s="6">
        <f t="shared" si="22"/>
        <v>-5.5913112760718232E-3</v>
      </c>
      <c r="AA122" s="6">
        <f t="shared" si="23"/>
        <v>-2.5924291218518407E-2</v>
      </c>
      <c r="AB122" s="6">
        <f t="shared" si="24"/>
        <v>1.7678726035209813E-2</v>
      </c>
      <c r="AC122" s="6">
        <f t="shared" si="25"/>
        <v>-2.8825446520249508E-2</v>
      </c>
      <c r="AD122" s="6">
        <f t="shared" si="26"/>
        <v>-2.4988458609369102E-2</v>
      </c>
      <c r="AE122" s="6">
        <f t="shared" si="27"/>
        <v>4.2403643677895756E-3</v>
      </c>
      <c r="AF122" s="6">
        <f t="shared" si="28"/>
        <v>-1.7505425337663357E-2</v>
      </c>
    </row>
    <row r="123" spans="3:32" x14ac:dyDescent="0.3">
      <c r="C123" s="6">
        <v>-6.7658648473814809E-2</v>
      </c>
      <c r="D123" s="6">
        <v>-0.14613211520748876</v>
      </c>
      <c r="E123" s="6">
        <v>-5.5506195577511006E-2</v>
      </c>
      <c r="F123" s="6">
        <v>-2.3347863205620559E-2</v>
      </c>
      <c r="G123" s="6">
        <v>-0.15118324642360967</v>
      </c>
      <c r="H123" s="6">
        <v>-6.3775904358487887E-2</v>
      </c>
      <c r="I123" s="6">
        <v>-6.2116503800730548E-2</v>
      </c>
      <c r="J123" s="6">
        <v>2.8170876966696439E-2</v>
      </c>
      <c r="K123" s="6">
        <v>-8.9329073054392638E-2</v>
      </c>
      <c r="L123" s="6">
        <v>-0.15240923330931064</v>
      </c>
      <c r="M123" s="6">
        <v>-8.4213632653500292E-2</v>
      </c>
      <c r="N123" s="6">
        <v>-0.10208206484623954</v>
      </c>
      <c r="O123" s="6">
        <v>-5.1381163989118447E-2</v>
      </c>
      <c r="P123" s="6">
        <v>-3.6013141837360964E-2</v>
      </c>
      <c r="S123" s="6">
        <f t="shared" si="15"/>
        <v>-6.9446666461624743E-2</v>
      </c>
      <c r="T123" s="6">
        <f t="shared" si="16"/>
        <v>-0.15596159170393326</v>
      </c>
      <c r="U123" s="6">
        <f t="shared" si="17"/>
        <v>-5.806554972372073E-2</v>
      </c>
      <c r="V123" s="6">
        <f t="shared" si="18"/>
        <v>-2.6057211541091665E-2</v>
      </c>
      <c r="W123" s="6">
        <f t="shared" si="19"/>
        <v>-0.15204002423622046</v>
      </c>
      <c r="X123" s="6">
        <f t="shared" si="20"/>
        <v>-6.5255544079717523E-2</v>
      </c>
      <c r="Y123" s="6">
        <f t="shared" si="21"/>
        <v>-6.5982091110926483E-2</v>
      </c>
      <c r="Z123" s="6">
        <f t="shared" si="22"/>
        <v>3.6309758502526636E-2</v>
      </c>
      <c r="AA123" s="6">
        <f t="shared" si="23"/>
        <v>-9.4597758396925594E-2</v>
      </c>
      <c r="AB123" s="6">
        <f t="shared" si="24"/>
        <v>-0.15466335668055109</v>
      </c>
      <c r="AC123" s="6">
        <f t="shared" si="25"/>
        <v>-8.8372386413345688E-2</v>
      </c>
      <c r="AD123" s="6">
        <f t="shared" si="26"/>
        <v>-0.11435941652368062</v>
      </c>
      <c r="AE123" s="6">
        <f t="shared" si="27"/>
        <v>-4.8310097340792189E-2</v>
      </c>
      <c r="AF123" s="6">
        <f t="shared" si="28"/>
        <v>-3.2485440512915409E-2</v>
      </c>
    </row>
    <row r="124" spans="3:32" x14ac:dyDescent="0.3">
      <c r="C124" s="6">
        <v>2.5726815238509077E-2</v>
      </c>
      <c r="D124" s="6">
        <v>0.14101643304546724</v>
      </c>
      <c r="E124" s="6">
        <v>1.7878902940207546E-2</v>
      </c>
      <c r="F124" s="6">
        <v>0.10966688958451309</v>
      </c>
      <c r="G124" s="6">
        <v>0.13491601672497774</v>
      </c>
      <c r="H124" s="6">
        <v>2.8174058291049908E-2</v>
      </c>
      <c r="I124" s="6">
        <v>-8.1788606253310775E-2</v>
      </c>
      <c r="J124" s="6">
        <v>0.26525503666433659</v>
      </c>
      <c r="K124" s="6">
        <v>7.3083935006734657E-2</v>
      </c>
      <c r="L124" s="6">
        <v>0.11328129306510434</v>
      </c>
      <c r="M124" s="6">
        <v>-2.1699827683228042E-3</v>
      </c>
      <c r="N124" s="6">
        <v>9.5443403598291551E-2</v>
      </c>
      <c r="O124" s="6">
        <v>-9.7131006464999149E-3</v>
      </c>
      <c r="P124" s="6">
        <v>4.1998761908300646E-2</v>
      </c>
      <c r="S124" s="6">
        <f t="shared" si="15"/>
        <v>2.3938797250699143E-2</v>
      </c>
      <c r="T124" s="6">
        <f t="shared" si="16"/>
        <v>0.13118695654902274</v>
      </c>
      <c r="U124" s="6">
        <f t="shared" si="17"/>
        <v>1.5319548793997819E-2</v>
      </c>
      <c r="V124" s="6">
        <f t="shared" si="18"/>
        <v>0.10695754124904198</v>
      </c>
      <c r="W124" s="6">
        <f t="shared" si="19"/>
        <v>0.13405923891236696</v>
      </c>
      <c r="X124" s="6">
        <f t="shared" si="20"/>
        <v>2.6694418569820275E-2</v>
      </c>
      <c r="Y124" s="6">
        <f t="shared" si="21"/>
        <v>-8.5654193563506703E-2</v>
      </c>
      <c r="Z124" s="6">
        <f t="shared" si="22"/>
        <v>0.27339391820016679</v>
      </c>
      <c r="AA124" s="6">
        <f t="shared" si="23"/>
        <v>6.7815249664201702E-2</v>
      </c>
      <c r="AB124" s="6">
        <f t="shared" si="24"/>
        <v>0.11102716969386389</v>
      </c>
      <c r="AC124" s="6">
        <f t="shared" si="25"/>
        <v>-6.3287365281681981E-3</v>
      </c>
      <c r="AD124" s="6">
        <f t="shared" si="26"/>
        <v>8.316605192085047E-2</v>
      </c>
      <c r="AE124" s="6">
        <f t="shared" si="27"/>
        <v>-6.6420339981736569E-3</v>
      </c>
      <c r="AF124" s="6">
        <f t="shared" si="28"/>
        <v>4.55264632327462E-2</v>
      </c>
    </row>
    <row r="125" spans="3:32" x14ac:dyDescent="0.3">
      <c r="C125" s="6">
        <v>7.9888213482665074E-2</v>
      </c>
      <c r="D125" s="6">
        <v>1.1896135306167751E-2</v>
      </c>
      <c r="E125" s="6">
        <v>8.3642898920621776E-4</v>
      </c>
      <c r="F125" s="6">
        <v>-2.7773830389910867E-2</v>
      </c>
      <c r="G125" s="6">
        <v>7.3857522723034294E-2</v>
      </c>
      <c r="H125" s="6">
        <v>3.6031560850867478E-2</v>
      </c>
      <c r="I125" s="6">
        <v>1.9369496931549331E-2</v>
      </c>
      <c r="J125" s="6">
        <v>0.11050191515824499</v>
      </c>
      <c r="K125" s="6">
        <v>1.9991549431484287E-2</v>
      </c>
      <c r="L125" s="6">
        <v>-5.6894599026461219E-2</v>
      </c>
      <c r="M125" s="6">
        <v>2.6034148346331127E-3</v>
      </c>
      <c r="N125" s="6">
        <v>3.533628276184881E-2</v>
      </c>
      <c r="O125" s="6">
        <v>4.7817874350492735E-2</v>
      </c>
      <c r="P125" s="6">
        <v>-2.9074483411213291E-3</v>
      </c>
      <c r="S125" s="6">
        <f t="shared" si="15"/>
        <v>7.810019549485514E-2</v>
      </c>
      <c r="T125" s="6">
        <f t="shared" si="16"/>
        <v>2.0666588097232545E-3</v>
      </c>
      <c r="U125" s="6">
        <f t="shared" si="17"/>
        <v>-1.7229251570035091E-3</v>
      </c>
      <c r="V125" s="6">
        <f t="shared" si="18"/>
        <v>-3.0483178725381973E-2</v>
      </c>
      <c r="W125" s="6">
        <f t="shared" si="19"/>
        <v>7.3000744910423507E-2</v>
      </c>
      <c r="X125" s="6">
        <f t="shared" si="20"/>
        <v>3.4551921129637848E-2</v>
      </c>
      <c r="Y125" s="6">
        <f t="shared" si="21"/>
        <v>1.5503909621353401E-2</v>
      </c>
      <c r="Z125" s="6">
        <f t="shared" si="22"/>
        <v>0.11864079669407519</v>
      </c>
      <c r="AA125" s="6">
        <f t="shared" si="23"/>
        <v>1.4722864088951333E-2</v>
      </c>
      <c r="AB125" s="6">
        <f t="shared" si="24"/>
        <v>-5.9148722397701664E-2</v>
      </c>
      <c r="AC125" s="6">
        <f t="shared" si="25"/>
        <v>-1.5553389252122808E-3</v>
      </c>
      <c r="AD125" s="6">
        <f t="shared" si="26"/>
        <v>2.3058931084407732E-2</v>
      </c>
      <c r="AE125" s="6">
        <f t="shared" si="27"/>
        <v>5.0888940998818993E-2</v>
      </c>
      <c r="AF125" s="6">
        <f t="shared" si="28"/>
        <v>6.2025298332422278E-4</v>
      </c>
    </row>
    <row r="126" spans="3:32" x14ac:dyDescent="0.3">
      <c r="C126" s="6">
        <v>-1.8011630555094299E-3</v>
      </c>
      <c r="D126" s="6">
        <v>1.2201416272892873E-2</v>
      </c>
      <c r="E126" s="6">
        <v>1.9674362387498746E-2</v>
      </c>
      <c r="F126" s="6">
        <v>8.3956550192949182E-3</v>
      </c>
      <c r="G126" s="6">
        <v>-7.278851204990347E-2</v>
      </c>
      <c r="H126" s="6">
        <v>6.7971039608342694E-3</v>
      </c>
      <c r="I126" s="6">
        <v>5.2244253711716974E-2</v>
      </c>
      <c r="J126" s="6">
        <v>-1.4879381767123048E-2</v>
      </c>
      <c r="K126" s="6">
        <v>3.3443692449719301E-2</v>
      </c>
      <c r="L126" s="6">
        <v>-0.10538540087476453</v>
      </c>
      <c r="M126" s="6">
        <v>-3.2890940169758014E-2</v>
      </c>
      <c r="N126" s="6">
        <v>-0.12444901023780305</v>
      </c>
      <c r="O126" s="6">
        <v>-2.0510033598579721E-2</v>
      </c>
      <c r="P126" s="6">
        <v>2.4234602700458725E-3</v>
      </c>
      <c r="S126" s="6">
        <f t="shared" si="15"/>
        <v>-3.5891810433193636E-3</v>
      </c>
      <c r="T126" s="6">
        <f t="shared" si="16"/>
        <v>2.3719397764483761E-3</v>
      </c>
      <c r="U126" s="6">
        <f t="shared" si="17"/>
        <v>1.7115008241289018E-2</v>
      </c>
      <c r="V126" s="6">
        <f t="shared" si="18"/>
        <v>5.6863066838238122E-3</v>
      </c>
      <c r="W126" s="6">
        <f t="shared" si="19"/>
        <v>-7.3645289862514257E-2</v>
      </c>
      <c r="X126" s="6">
        <f t="shared" si="20"/>
        <v>5.3174642396046374E-3</v>
      </c>
      <c r="Y126" s="6">
        <f t="shared" si="21"/>
        <v>4.8378666401521046E-2</v>
      </c>
      <c r="Z126" s="6">
        <f t="shared" si="22"/>
        <v>-6.7405002312928512E-3</v>
      </c>
      <c r="AA126" s="6">
        <f t="shared" si="23"/>
        <v>2.8175007107186345E-2</v>
      </c>
      <c r="AB126" s="6">
        <f t="shared" si="24"/>
        <v>-0.10763952424600498</v>
      </c>
      <c r="AC126" s="6">
        <f t="shared" si="25"/>
        <v>-3.704969392960341E-2</v>
      </c>
      <c r="AD126" s="6">
        <f t="shared" si="26"/>
        <v>-0.13672636191524412</v>
      </c>
      <c r="AE126" s="6">
        <f t="shared" si="27"/>
        <v>-1.7438966950253463E-2</v>
      </c>
      <c r="AF126" s="6">
        <f t="shared" si="28"/>
        <v>5.9511615944914248E-3</v>
      </c>
    </row>
    <row r="127" spans="3:32" x14ac:dyDescent="0.3">
      <c r="C127" s="6">
        <v>3.6580287889078397E-2</v>
      </c>
      <c r="D127" s="6">
        <v>2.8516957606938967E-2</v>
      </c>
      <c r="E127" s="6">
        <v>1.3102768449370703E-2</v>
      </c>
      <c r="F127" s="6">
        <v>4.2999284525100746E-2</v>
      </c>
      <c r="G127" s="6">
        <v>5.1987539009079139E-2</v>
      </c>
      <c r="H127" s="6">
        <v>-1.493928584931113E-2</v>
      </c>
      <c r="I127" s="6">
        <v>-9.049644614663262E-3</v>
      </c>
      <c r="J127" s="6">
        <v>2.4953225674015705E-3</v>
      </c>
      <c r="K127" s="6">
        <v>7.5543262512306655E-2</v>
      </c>
      <c r="L127" s="6">
        <v>3.2706332409889662E-2</v>
      </c>
      <c r="M127" s="6">
        <v>-1.9901154317294799E-2</v>
      </c>
      <c r="N127" s="6">
        <v>5.4782346192206587E-2</v>
      </c>
      <c r="O127" s="6">
        <v>5.9171007601718402E-2</v>
      </c>
      <c r="P127" s="6">
        <v>3.47295665842429E-2</v>
      </c>
      <c r="S127" s="6">
        <f t="shared" si="15"/>
        <v>3.4792269901268463E-2</v>
      </c>
      <c r="T127" s="6">
        <f t="shared" si="16"/>
        <v>1.868748111049447E-2</v>
      </c>
      <c r="U127" s="6">
        <f t="shared" si="17"/>
        <v>1.0543414303160976E-2</v>
      </c>
      <c r="V127" s="6">
        <f t="shared" si="18"/>
        <v>4.0289936189629637E-2</v>
      </c>
      <c r="W127" s="6">
        <f t="shared" si="19"/>
        <v>5.1130761196468352E-2</v>
      </c>
      <c r="X127" s="6">
        <f t="shared" si="20"/>
        <v>-1.6418925570540761E-2</v>
      </c>
      <c r="Y127" s="6">
        <f t="shared" si="21"/>
        <v>-1.2915231924859192E-2</v>
      </c>
      <c r="Z127" s="6">
        <f t="shared" si="22"/>
        <v>1.0634204103231768E-2</v>
      </c>
      <c r="AA127" s="6">
        <f t="shared" si="23"/>
        <v>7.02745771697737E-2</v>
      </c>
      <c r="AB127" s="6">
        <f t="shared" si="24"/>
        <v>3.0452209038649217E-2</v>
      </c>
      <c r="AC127" s="6">
        <f t="shared" si="25"/>
        <v>-2.4059908077140191E-2</v>
      </c>
      <c r="AD127" s="6">
        <f t="shared" si="26"/>
        <v>4.2504994514765512E-2</v>
      </c>
      <c r="AE127" s="6">
        <f t="shared" si="27"/>
        <v>6.224207425004466E-2</v>
      </c>
      <c r="AF127" s="6">
        <f t="shared" si="28"/>
        <v>3.8257267908688455E-2</v>
      </c>
    </row>
    <row r="128" spans="3:32" x14ac:dyDescent="0.3">
      <c r="C128" s="6">
        <v>5.7917600671257921E-4</v>
      </c>
      <c r="D128" s="6">
        <v>0.14087085040244743</v>
      </c>
      <c r="E128" s="6">
        <v>2.3402646182357739E-2</v>
      </c>
      <c r="F128" s="6">
        <v>-6.0960165991040391E-3</v>
      </c>
      <c r="G128" s="6">
        <v>9.9804585107504656E-3</v>
      </c>
      <c r="H128" s="6">
        <v>-2.1618026166320158E-2</v>
      </c>
      <c r="I128" s="6">
        <v>1.3282588216356563E-2</v>
      </c>
      <c r="J128" s="6">
        <v>-5.3098497142485122E-2</v>
      </c>
      <c r="K128" s="6">
        <v>1.5887916650792883E-2</v>
      </c>
      <c r="L128" s="6">
        <v>0.13518585176828488</v>
      </c>
      <c r="M128" s="6">
        <v>-2.1704846515168866E-2</v>
      </c>
      <c r="N128" s="6">
        <v>-3.5074907130832791E-2</v>
      </c>
      <c r="O128" s="6">
        <v>-7.9229236547574813E-2</v>
      </c>
      <c r="P128" s="6">
        <v>-1.8086519604294946E-2</v>
      </c>
      <c r="S128" s="6">
        <f t="shared" si="15"/>
        <v>-1.2088419810973544E-3</v>
      </c>
      <c r="T128" s="6">
        <f t="shared" si="16"/>
        <v>0.13104137390600293</v>
      </c>
      <c r="U128" s="6">
        <f t="shared" si="17"/>
        <v>2.0843292036148011E-2</v>
      </c>
      <c r="V128" s="6">
        <f t="shared" si="18"/>
        <v>-8.805364934575146E-3</v>
      </c>
      <c r="W128" s="6">
        <f t="shared" si="19"/>
        <v>9.1236806981396766E-3</v>
      </c>
      <c r="X128" s="6">
        <f t="shared" si="20"/>
        <v>-2.309766588754979E-2</v>
      </c>
      <c r="Y128" s="6">
        <f t="shared" si="21"/>
        <v>9.4170009061606327E-3</v>
      </c>
      <c r="Z128" s="6">
        <f t="shared" si="22"/>
        <v>-4.4959615606654929E-2</v>
      </c>
      <c r="AA128" s="6">
        <f t="shared" si="23"/>
        <v>1.061923130825993E-2</v>
      </c>
      <c r="AB128" s="6">
        <f t="shared" si="24"/>
        <v>0.13293172839704442</v>
      </c>
      <c r="AC128" s="6">
        <f t="shared" si="25"/>
        <v>-2.5863600275014258E-2</v>
      </c>
      <c r="AD128" s="6">
        <f t="shared" si="26"/>
        <v>-4.7352258808273873E-2</v>
      </c>
      <c r="AE128" s="6">
        <f t="shared" si="27"/>
        <v>-7.6158169899248562E-2</v>
      </c>
      <c r="AF128" s="6">
        <f t="shared" si="28"/>
        <v>-1.4558818279849395E-2</v>
      </c>
    </row>
    <row r="129" spans="3:32" x14ac:dyDescent="0.3">
      <c r="C129" s="6">
        <v>1.1877804923716925E-2</v>
      </c>
      <c r="D129" s="6">
        <v>2.9247804359933877E-2</v>
      </c>
      <c r="E129" s="6">
        <v>-3.5565508312157212E-2</v>
      </c>
      <c r="F129" s="6">
        <v>-1.433159296224149E-2</v>
      </c>
      <c r="G129" s="6">
        <v>-6.492802390707565E-3</v>
      </c>
      <c r="H129" s="6">
        <v>-2.4133985802135136E-2</v>
      </c>
      <c r="I129" s="6">
        <v>-2.4105711954927507E-2</v>
      </c>
      <c r="J129" s="6">
        <v>-1.3227706097551202E-2</v>
      </c>
      <c r="K129" s="6">
        <v>-0.11378288124856251</v>
      </c>
      <c r="L129" s="6">
        <v>-5.0618048755141316E-2</v>
      </c>
      <c r="M129" s="6">
        <v>4.6576702739809404E-3</v>
      </c>
      <c r="N129" s="6">
        <v>3.1391661714536251E-2</v>
      </c>
      <c r="O129" s="6">
        <v>1.1212451033678805E-2</v>
      </c>
      <c r="P129" s="6">
        <v>-2.6861285267858508E-2</v>
      </c>
      <c r="S129" s="6">
        <f t="shared" si="15"/>
        <v>1.0089786935906991E-2</v>
      </c>
      <c r="T129" s="6">
        <f t="shared" si="16"/>
        <v>1.941832786348938E-2</v>
      </c>
      <c r="U129" s="6">
        <f t="shared" si="17"/>
        <v>-3.8124862458366937E-2</v>
      </c>
      <c r="V129" s="6">
        <f t="shared" si="18"/>
        <v>-1.7040941297712598E-2</v>
      </c>
      <c r="W129" s="6">
        <f t="shared" si="19"/>
        <v>-7.3495802033183549E-3</v>
      </c>
      <c r="X129" s="6">
        <f t="shared" si="20"/>
        <v>-2.5613625523364769E-2</v>
      </c>
      <c r="Y129" s="6">
        <f t="shared" si="21"/>
        <v>-2.7971299265123435E-2</v>
      </c>
      <c r="Z129" s="6">
        <f t="shared" si="22"/>
        <v>-5.0888245617210053E-3</v>
      </c>
      <c r="AA129" s="6">
        <f t="shared" si="23"/>
        <v>-0.11905156659109546</v>
      </c>
      <c r="AB129" s="6">
        <f t="shared" si="24"/>
        <v>-5.2872172126381761E-2</v>
      </c>
      <c r="AC129" s="6">
        <f t="shared" si="25"/>
        <v>4.9891651413554693E-4</v>
      </c>
      <c r="AD129" s="6">
        <f t="shared" si="26"/>
        <v>1.9114310037095173E-2</v>
      </c>
      <c r="AE129" s="6">
        <f t="shared" si="27"/>
        <v>1.4283517682005063E-2</v>
      </c>
      <c r="AF129" s="6">
        <f t="shared" si="28"/>
        <v>-2.3333583943412957E-2</v>
      </c>
    </row>
    <row r="130" spans="3:32" x14ac:dyDescent="0.3">
      <c r="C130" s="6">
        <v>2.3848588767987604E-2</v>
      </c>
      <c r="D130" s="6">
        <v>9.7769981527452005E-2</v>
      </c>
      <c r="E130" s="6">
        <v>2.0787894865149141E-2</v>
      </c>
      <c r="F130" s="6">
        <v>1.1298252533658121E-2</v>
      </c>
      <c r="G130" s="6">
        <v>-3.3749610165260458E-3</v>
      </c>
      <c r="H130" s="6">
        <v>4.3583989439038649E-2</v>
      </c>
      <c r="I130" s="6">
        <v>5.4462869148829529E-2</v>
      </c>
      <c r="J130" s="6">
        <v>3.7247036733696434E-2</v>
      </c>
      <c r="K130" s="6">
        <v>0.10707422479134097</v>
      </c>
      <c r="L130" s="6">
        <v>7.7642793791215067E-2</v>
      </c>
      <c r="M130" s="6">
        <v>7.0994171968199932E-2</v>
      </c>
      <c r="N130" s="6">
        <v>7.249227647622021E-2</v>
      </c>
      <c r="O130" s="6">
        <v>-8.7145975014097483E-4</v>
      </c>
      <c r="P130" s="6">
        <v>2.4159654701314995E-2</v>
      </c>
      <c r="S130" s="6">
        <f t="shared" si="15"/>
        <v>2.2060570780177671E-2</v>
      </c>
      <c r="T130" s="6">
        <f t="shared" si="16"/>
        <v>8.7940505031007504E-2</v>
      </c>
      <c r="U130" s="6">
        <f t="shared" si="17"/>
        <v>1.8228540718939413E-2</v>
      </c>
      <c r="V130" s="6">
        <f t="shared" si="18"/>
        <v>8.588904198187015E-3</v>
      </c>
      <c r="W130" s="6">
        <f t="shared" si="19"/>
        <v>-4.2317388291368352E-3</v>
      </c>
      <c r="X130" s="6">
        <f t="shared" si="20"/>
        <v>4.210434971780902E-2</v>
      </c>
      <c r="Y130" s="6">
        <f t="shared" si="21"/>
        <v>5.0597281838633601E-2</v>
      </c>
      <c r="Z130" s="6">
        <f t="shared" si="22"/>
        <v>4.5385918269526634E-2</v>
      </c>
      <c r="AA130" s="6">
        <f t="shared" si="23"/>
        <v>0.10180553944880802</v>
      </c>
      <c r="AB130" s="6">
        <f t="shared" si="24"/>
        <v>7.5388670419974615E-2</v>
      </c>
      <c r="AC130" s="6">
        <f t="shared" si="25"/>
        <v>6.6835418208354536E-2</v>
      </c>
      <c r="AD130" s="6">
        <f t="shared" si="26"/>
        <v>6.0214924798779129E-2</v>
      </c>
      <c r="AE130" s="6">
        <f t="shared" si="27"/>
        <v>2.1996068981852829E-3</v>
      </c>
      <c r="AF130" s="6">
        <f t="shared" si="28"/>
        <v>2.7687356025760546E-2</v>
      </c>
    </row>
    <row r="131" spans="3:32" x14ac:dyDescent="0.3">
      <c r="C131" s="6">
        <v>7.6249731279899882E-2</v>
      </c>
      <c r="D131" s="6">
        <v>8.7011376989629699E-2</v>
      </c>
      <c r="E131" s="6">
        <v>4.3219024972915687E-2</v>
      </c>
      <c r="F131" s="6">
        <v>1.3267098512859041E-2</v>
      </c>
      <c r="G131" s="6">
        <v>2.9818019786327986E-3</v>
      </c>
      <c r="H131" s="6">
        <v>-3.4786424904015706E-3</v>
      </c>
      <c r="I131" s="6">
        <v>2.2465643160606848E-2</v>
      </c>
      <c r="J131" s="6">
        <v>0</v>
      </c>
      <c r="K131" s="6">
        <v>9.8943891510034743E-2</v>
      </c>
      <c r="L131" s="6">
        <v>1.3915608188344738E-3</v>
      </c>
      <c r="M131" s="6">
        <v>1.0762821839447391E-2</v>
      </c>
      <c r="N131" s="6">
        <v>1.1092263900373983E-2</v>
      </c>
      <c r="O131" s="6">
        <v>-5.0788672499190293E-2</v>
      </c>
      <c r="P131" s="6">
        <v>-8.4641639152631398E-2</v>
      </c>
      <c r="S131" s="6">
        <f t="shared" si="15"/>
        <v>7.4461713292089948E-2</v>
      </c>
      <c r="T131" s="6">
        <f t="shared" si="16"/>
        <v>7.7181900493185199E-2</v>
      </c>
      <c r="U131" s="6">
        <f t="shared" si="17"/>
        <v>4.0659670826705963E-2</v>
      </c>
      <c r="V131" s="6">
        <f t="shared" si="18"/>
        <v>1.0557750177387935E-2</v>
      </c>
      <c r="W131" s="6">
        <f t="shared" si="19"/>
        <v>2.1250241660220092E-3</v>
      </c>
      <c r="X131" s="6">
        <f t="shared" si="20"/>
        <v>-4.9582822116312026E-3</v>
      </c>
      <c r="Y131" s="6">
        <f t="shared" si="21"/>
        <v>1.860005585041092E-2</v>
      </c>
      <c r="Z131" s="6">
        <f t="shared" si="22"/>
        <v>8.1388815358301968E-3</v>
      </c>
      <c r="AA131" s="6">
        <f t="shared" si="23"/>
        <v>9.3675206167501787E-2</v>
      </c>
      <c r="AB131" s="6">
        <f t="shared" si="24"/>
        <v>-8.6256255240597284E-4</v>
      </c>
      <c r="AC131" s="6">
        <f t="shared" si="25"/>
        <v>6.6040680796019971E-3</v>
      </c>
      <c r="AD131" s="6">
        <f t="shared" si="26"/>
        <v>-1.1850877770670943E-3</v>
      </c>
      <c r="AE131" s="6">
        <f t="shared" si="27"/>
        <v>-4.7717605850864035E-2</v>
      </c>
      <c r="AF131" s="6">
        <f t="shared" si="28"/>
        <v>-8.111393782818585E-2</v>
      </c>
    </row>
    <row r="132" spans="3:32" x14ac:dyDescent="0.3">
      <c r="C132" s="6">
        <v>-2.3811782695281197E-2</v>
      </c>
      <c r="D132" s="6">
        <v>-4.1096903399173275E-2</v>
      </c>
      <c r="E132" s="6">
        <v>1.6159930303008909E-2</v>
      </c>
      <c r="F132" s="6">
        <v>1.5936592262812597E-2</v>
      </c>
      <c r="G132" s="6">
        <v>2.7701067667849386E-2</v>
      </c>
      <c r="H132" s="6">
        <v>2.9083983739659525E-2</v>
      </c>
      <c r="I132" s="6">
        <v>-1.8780458679424426E-2</v>
      </c>
      <c r="J132" s="6">
        <v>-5.1447058812377064E-3</v>
      </c>
      <c r="K132" s="6">
        <v>-1.2531819487861102E-2</v>
      </c>
      <c r="L132" s="6">
        <v>-7.9299970619402457E-2</v>
      </c>
      <c r="M132" s="6">
        <v>2.1387332598165475E-3</v>
      </c>
      <c r="N132" s="6">
        <v>1.1390125249109352E-2</v>
      </c>
      <c r="O132" s="6">
        <v>-2.0200172142925839E-3</v>
      </c>
      <c r="P132" s="6">
        <v>1.9551300185831812E-2</v>
      </c>
      <c r="S132" s="6">
        <f t="shared" si="15"/>
        <v>-2.5599800683091131E-2</v>
      </c>
      <c r="T132" s="6">
        <f t="shared" si="16"/>
        <v>-5.0926379895617768E-2</v>
      </c>
      <c r="U132" s="6">
        <f t="shared" si="17"/>
        <v>1.3600576156799183E-2</v>
      </c>
      <c r="V132" s="6">
        <f t="shared" si="18"/>
        <v>1.3227243927341491E-2</v>
      </c>
      <c r="W132" s="6">
        <f t="shared" si="19"/>
        <v>2.6844289855238596E-2</v>
      </c>
      <c r="X132" s="6">
        <f t="shared" si="20"/>
        <v>2.7604344018429892E-2</v>
      </c>
      <c r="Y132" s="6">
        <f t="shared" si="21"/>
        <v>-2.2646045989620354E-2</v>
      </c>
      <c r="Z132" s="6">
        <f t="shared" si="22"/>
        <v>2.9941756545924904E-3</v>
      </c>
      <c r="AA132" s="6">
        <f t="shared" si="23"/>
        <v>-1.7800504830394054E-2</v>
      </c>
      <c r="AB132" s="6">
        <f t="shared" si="24"/>
        <v>-8.1554093990642909E-2</v>
      </c>
      <c r="AC132" s="6">
        <f t="shared" si="25"/>
        <v>-2.020020500028846E-3</v>
      </c>
      <c r="AD132" s="6">
        <f t="shared" si="26"/>
        <v>-8.8722642833172563E-4</v>
      </c>
      <c r="AE132" s="6">
        <f t="shared" si="27"/>
        <v>1.0510494340336737E-3</v>
      </c>
      <c r="AF132" s="6">
        <f t="shared" si="28"/>
        <v>2.3079001510277364E-2</v>
      </c>
    </row>
    <row r="133" spans="3:32" x14ac:dyDescent="0.3">
      <c r="C133" s="6">
        <v>1.4972416214091323E-2</v>
      </c>
      <c r="D133" s="6">
        <v>-2.4230524536603817E-2</v>
      </c>
      <c r="E133" s="6">
        <v>-6.3118427964776692E-3</v>
      </c>
      <c r="F133" s="6">
        <v>1.3931343673828605E-2</v>
      </c>
      <c r="G133" s="6">
        <v>7.8119990202316927E-2</v>
      </c>
      <c r="H133" s="6">
        <v>2.1814481542495594E-2</v>
      </c>
      <c r="I133" s="6">
        <v>1.8899461436462012E-2</v>
      </c>
      <c r="J133" s="6">
        <v>6.8519946436755935E-2</v>
      </c>
      <c r="K133" s="6">
        <v>6.7031750559157065E-3</v>
      </c>
      <c r="L133" s="6">
        <v>-1.6202456702147042E-2</v>
      </c>
      <c r="M133" s="6">
        <v>3.4575492498813219E-2</v>
      </c>
      <c r="N133" s="6">
        <v>6.062462181643484E-2</v>
      </c>
      <c r="O133" s="6">
        <v>9.681306060819686E-2</v>
      </c>
      <c r="P133" s="6">
        <v>5.2511342820127944E-3</v>
      </c>
      <c r="S133" s="6">
        <f t="shared" si="15"/>
        <v>1.3184398226281389E-2</v>
      </c>
      <c r="T133" s="6">
        <f t="shared" si="16"/>
        <v>-3.4060001033048314E-2</v>
      </c>
      <c r="U133" s="6">
        <f t="shared" si="17"/>
        <v>-8.8711969426873965E-3</v>
      </c>
      <c r="V133" s="6">
        <f t="shared" si="18"/>
        <v>1.1221995338357499E-2</v>
      </c>
      <c r="W133" s="6">
        <f t="shared" si="19"/>
        <v>7.726321238970614E-2</v>
      </c>
      <c r="X133" s="6">
        <f t="shared" si="20"/>
        <v>2.0334841821265961E-2</v>
      </c>
      <c r="Y133" s="6">
        <f t="shared" si="21"/>
        <v>1.5033874126266082E-2</v>
      </c>
      <c r="Z133" s="6">
        <f t="shared" si="22"/>
        <v>7.6658827972586135E-2</v>
      </c>
      <c r="AA133" s="6">
        <f t="shared" si="23"/>
        <v>1.4344897133827528E-3</v>
      </c>
      <c r="AB133" s="6">
        <f t="shared" si="24"/>
        <v>-1.8456580073387491E-2</v>
      </c>
      <c r="AC133" s="6">
        <f t="shared" si="25"/>
        <v>3.0416738738967827E-2</v>
      </c>
      <c r="AD133" s="6">
        <f t="shared" si="26"/>
        <v>4.8347270138993759E-2</v>
      </c>
      <c r="AE133" s="6">
        <f t="shared" si="27"/>
        <v>9.9884127256523111E-2</v>
      </c>
      <c r="AF133" s="6">
        <f t="shared" si="28"/>
        <v>8.7788356064583458E-3</v>
      </c>
    </row>
    <row r="134" spans="3:32" x14ac:dyDescent="0.3">
      <c r="C134" s="6">
        <v>7.1982731585344503E-2</v>
      </c>
      <c r="D134" s="6">
        <v>1.8366799336123323E-2</v>
      </c>
      <c r="E134" s="6">
        <v>4.5080951205708E-2</v>
      </c>
      <c r="F134" s="6">
        <v>4.5346467765528829E-2</v>
      </c>
      <c r="G134" s="6">
        <v>0.23986172288133401</v>
      </c>
      <c r="H134" s="6">
        <v>3.4332679080505357E-2</v>
      </c>
      <c r="I134" s="6">
        <v>6.8389778235218912E-2</v>
      </c>
      <c r="J134" s="6">
        <v>-1.3943845200280171E-2</v>
      </c>
      <c r="K134" s="6">
        <v>1.6794939775492117E-2</v>
      </c>
      <c r="L134" s="6">
        <v>6.5035774520683506E-3</v>
      </c>
      <c r="M134" s="6">
        <v>-2.2541652935089463E-2</v>
      </c>
      <c r="N134" s="6">
        <v>7.2329842672084546E-2</v>
      </c>
      <c r="O134" s="6">
        <v>3.524666140486947E-2</v>
      </c>
      <c r="P134" s="6">
        <v>-1.5836857171345101E-2</v>
      </c>
      <c r="S134" s="6">
        <f t="shared" si="15"/>
        <v>7.0194713597534569E-2</v>
      </c>
      <c r="T134" s="6">
        <f t="shared" si="16"/>
        <v>8.5373228396788264E-3</v>
      </c>
      <c r="U134" s="6">
        <f t="shared" si="17"/>
        <v>4.2521597059498276E-2</v>
      </c>
      <c r="V134" s="6">
        <f t="shared" si="18"/>
        <v>4.263711943005772E-2</v>
      </c>
      <c r="W134" s="6">
        <f t="shared" si="19"/>
        <v>0.23900494506872322</v>
      </c>
      <c r="X134" s="6">
        <f t="shared" si="20"/>
        <v>3.2853039359275728E-2</v>
      </c>
      <c r="Y134" s="6">
        <f t="shared" si="21"/>
        <v>6.4524190925022984E-2</v>
      </c>
      <c r="Z134" s="6">
        <f t="shared" si="22"/>
        <v>-5.804963664449974E-3</v>
      </c>
      <c r="AA134" s="6">
        <f t="shared" si="23"/>
        <v>1.1526254432959163E-2</v>
      </c>
      <c r="AB134" s="6">
        <f t="shared" si="24"/>
        <v>4.249454080827904E-3</v>
      </c>
      <c r="AC134" s="6">
        <f t="shared" si="25"/>
        <v>-2.6700406694934856E-2</v>
      </c>
      <c r="AD134" s="6">
        <f t="shared" si="26"/>
        <v>6.0052490994643465E-2</v>
      </c>
      <c r="AE134" s="6">
        <f t="shared" si="27"/>
        <v>3.8317728053195728E-2</v>
      </c>
      <c r="AF134" s="6">
        <f t="shared" si="28"/>
        <v>-1.2309155846899549E-2</v>
      </c>
    </row>
    <row r="135" spans="3:32" x14ac:dyDescent="0.3">
      <c r="C135" s="6">
        <v>1.8386089635070942E-2</v>
      </c>
      <c r="D135" s="6">
        <v>2.6739351352421142E-2</v>
      </c>
      <c r="E135" s="6">
        <v>-3.0422165678616418E-2</v>
      </c>
      <c r="F135" s="6">
        <v>-2.944285933044483E-2</v>
      </c>
      <c r="G135" s="6">
        <v>-1.3166773508642359E-2</v>
      </c>
      <c r="H135" s="6">
        <v>-2.793661869302265E-2</v>
      </c>
      <c r="I135" s="6">
        <v>-7.9056918233288337E-2</v>
      </c>
      <c r="J135" s="6">
        <v>-1.228516679457769E-2</v>
      </c>
      <c r="K135" s="6">
        <v>-4.8261664966555456E-2</v>
      </c>
      <c r="L135" s="6">
        <v>-2.5629657345232912E-2</v>
      </c>
      <c r="M135" s="6">
        <v>1.9095987614353622E-2</v>
      </c>
      <c r="N135" s="6">
        <v>3.0382083688122972E-2</v>
      </c>
      <c r="O135" s="6">
        <v>-1.2317821871349889E-2</v>
      </c>
      <c r="P135" s="6">
        <v>-1.1740466347258683E-2</v>
      </c>
      <c r="S135" s="6">
        <f t="shared" ref="S135:S198" si="29">C135-C$203</f>
        <v>1.6598071647261008E-2</v>
      </c>
      <c r="T135" s="6">
        <f t="shared" ref="T135:T198" si="30">D135-D$203</f>
        <v>1.6909874855976646E-2</v>
      </c>
      <c r="U135" s="6">
        <f t="shared" ref="U135:U198" si="31">E135-E$203</f>
        <v>-3.2981519824826146E-2</v>
      </c>
      <c r="V135" s="6">
        <f t="shared" ref="V135:V198" si="32">F135-F$203</f>
        <v>-3.2152207665915936E-2</v>
      </c>
      <c r="W135" s="6">
        <f t="shared" ref="W135:W198" si="33">G135-G$203</f>
        <v>-1.4023551321253148E-2</v>
      </c>
      <c r="X135" s="6">
        <f t="shared" ref="X135:X198" si="34">H135-H$203</f>
        <v>-2.9416258414252282E-2</v>
      </c>
      <c r="Y135" s="6">
        <f t="shared" ref="Y135:Y198" si="35">I135-I$203</f>
        <v>-8.2922505543484265E-2</v>
      </c>
      <c r="Z135" s="6">
        <f t="shared" ref="Z135:Z198" si="36">J135-J$203</f>
        <v>-4.1462852587474935E-3</v>
      </c>
      <c r="AA135" s="6">
        <f t="shared" ref="AA135:AA198" si="37">K135-K$203</f>
        <v>-5.3530350309088412E-2</v>
      </c>
      <c r="AB135" s="6">
        <f t="shared" ref="AB135:AB198" si="38">L135-L$203</f>
        <v>-2.7883780716473357E-2</v>
      </c>
      <c r="AC135" s="6">
        <f t="shared" ref="AC135:AC198" si="39">M135-M$203</f>
        <v>1.4937233854508229E-2</v>
      </c>
      <c r="AD135" s="6">
        <f t="shared" ref="AD135:AD198" si="40">N135-N$203</f>
        <v>1.8104732010681895E-2</v>
      </c>
      <c r="AE135" s="6">
        <f t="shared" ref="AE135:AE198" si="41">O135-O$203</f>
        <v>-9.2467552230236314E-3</v>
      </c>
      <c r="AF135" s="6">
        <f t="shared" ref="AF135:AF198" si="42">P135-P$203</f>
        <v>-8.2127650228131319E-3</v>
      </c>
    </row>
    <row r="136" spans="3:32" x14ac:dyDescent="0.3">
      <c r="C136" s="6">
        <v>-2.7395359492932557E-2</v>
      </c>
      <c r="D136" s="6">
        <v>-9.1579912854418827E-2</v>
      </c>
      <c r="E136" s="6">
        <v>-3.6920637393442597E-2</v>
      </c>
      <c r="F136" s="6">
        <v>-4.0862520548102028E-2</v>
      </c>
      <c r="G136" s="6">
        <v>-3.705571365572273E-2</v>
      </c>
      <c r="H136" s="6">
        <v>-6.018446470215677E-2</v>
      </c>
      <c r="I136" s="6">
        <v>-4.5269398391094742E-2</v>
      </c>
      <c r="J136" s="6">
        <v>-0.11654770504839063</v>
      </c>
      <c r="K136" s="6">
        <v>-0.19688360406589453</v>
      </c>
      <c r="L136" s="6">
        <v>0.16755849829302888</v>
      </c>
      <c r="M136" s="6">
        <v>-7.3311764184613062E-2</v>
      </c>
      <c r="N136" s="6">
        <v>1.8005782127930157E-2</v>
      </c>
      <c r="O136" s="6">
        <v>1.9860182909306648E-2</v>
      </c>
      <c r="P136" s="6">
        <v>2.2156337856140084E-2</v>
      </c>
      <c r="S136" s="6">
        <f t="shared" si="29"/>
        <v>-2.9183377480742491E-2</v>
      </c>
      <c r="T136" s="6">
        <f t="shared" si="30"/>
        <v>-0.10140938935086333</v>
      </c>
      <c r="U136" s="6">
        <f t="shared" si="31"/>
        <v>-3.9479991539652322E-2</v>
      </c>
      <c r="V136" s="6">
        <f t="shared" si="32"/>
        <v>-4.3571868883573138E-2</v>
      </c>
      <c r="W136" s="6">
        <f t="shared" si="33"/>
        <v>-3.7912491468333517E-2</v>
      </c>
      <c r="X136" s="6">
        <f t="shared" si="34"/>
        <v>-6.16641044233864E-2</v>
      </c>
      <c r="Y136" s="6">
        <f t="shared" si="35"/>
        <v>-4.913498570129067E-2</v>
      </c>
      <c r="Z136" s="6">
        <f t="shared" si="36"/>
        <v>-0.10840882351256043</v>
      </c>
      <c r="AA136" s="6">
        <f t="shared" si="37"/>
        <v>-0.20215228940842747</v>
      </c>
      <c r="AB136" s="6">
        <f t="shared" si="38"/>
        <v>0.16530437492178843</v>
      </c>
      <c r="AC136" s="6">
        <f t="shared" si="39"/>
        <v>-7.7470517944458459E-2</v>
      </c>
      <c r="AD136" s="6">
        <f t="shared" si="40"/>
        <v>5.7284304504890797E-3</v>
      </c>
      <c r="AE136" s="6">
        <f t="shared" si="41"/>
        <v>2.2931249557632906E-2</v>
      </c>
      <c r="AF136" s="6">
        <f t="shared" si="42"/>
        <v>2.5684039180585636E-2</v>
      </c>
    </row>
    <row r="137" spans="3:32" x14ac:dyDescent="0.3">
      <c r="C137" s="6">
        <v>-2.8717463965036286E-2</v>
      </c>
      <c r="D137" s="6">
        <v>-4.2172576854733891E-2</v>
      </c>
      <c r="E137" s="6">
        <v>-2.7460618339327472E-2</v>
      </c>
      <c r="F137" s="6">
        <v>-6.1877798924799811E-2</v>
      </c>
      <c r="G137" s="6">
        <v>-8.458198010695557E-2</v>
      </c>
      <c r="H137" s="6">
        <v>-3.4461101303110229E-3</v>
      </c>
      <c r="I137" s="6">
        <v>-2.3534492388506422E-2</v>
      </c>
      <c r="J137" s="6">
        <v>-7.7211072391337704E-2</v>
      </c>
      <c r="K137" s="6">
        <v>-0.1743783712174326</v>
      </c>
      <c r="L137" s="6">
        <v>-5.9371963995249251E-2</v>
      </c>
      <c r="M137" s="6">
        <v>-4.4195180912313801E-2</v>
      </c>
      <c r="N137" s="6">
        <v>-5.0225763778723613E-2</v>
      </c>
      <c r="O137" s="6">
        <v>-5.7751056620703047E-2</v>
      </c>
      <c r="P137" s="6">
        <v>2.0511815305666658E-2</v>
      </c>
      <c r="S137" s="6">
        <f t="shared" si="29"/>
        <v>-3.050548195284622E-2</v>
      </c>
      <c r="T137" s="6">
        <f t="shared" si="30"/>
        <v>-5.2002053351178384E-2</v>
      </c>
      <c r="U137" s="6">
        <f t="shared" si="31"/>
        <v>-3.00199724855372E-2</v>
      </c>
      <c r="V137" s="6">
        <f t="shared" si="32"/>
        <v>-6.4587147260270913E-2</v>
      </c>
      <c r="W137" s="6">
        <f t="shared" si="33"/>
        <v>-8.5438757919566358E-2</v>
      </c>
      <c r="X137" s="6">
        <f t="shared" si="34"/>
        <v>-4.9257498515406549E-3</v>
      </c>
      <c r="Y137" s="6">
        <f t="shared" si="35"/>
        <v>-2.740007969870235E-2</v>
      </c>
      <c r="Z137" s="6">
        <f t="shared" si="36"/>
        <v>-6.9072190855507504E-2</v>
      </c>
      <c r="AA137" s="6">
        <f t="shared" si="37"/>
        <v>-0.17964705655996555</v>
      </c>
      <c r="AB137" s="6">
        <f t="shared" si="38"/>
        <v>-6.1626087366489696E-2</v>
      </c>
      <c r="AC137" s="6">
        <f t="shared" si="39"/>
        <v>-4.8353934672159198E-2</v>
      </c>
      <c r="AD137" s="6">
        <f t="shared" si="40"/>
        <v>-6.2503115456164687E-2</v>
      </c>
      <c r="AE137" s="6">
        <f t="shared" si="41"/>
        <v>-5.4679989972376788E-2</v>
      </c>
      <c r="AF137" s="6">
        <f t="shared" si="42"/>
        <v>2.4039516630112209E-2</v>
      </c>
    </row>
    <row r="138" spans="3:32" x14ac:dyDescent="0.3">
      <c r="C138" s="6">
        <v>8.6794204358200365E-3</v>
      </c>
      <c r="D138" s="6">
        <v>-5.256963063780689E-2</v>
      </c>
      <c r="E138" s="6">
        <v>-4.0256827131922419E-2</v>
      </c>
      <c r="F138" s="6">
        <v>-2.0380034626943772E-3</v>
      </c>
      <c r="G138" s="6">
        <v>-5.6767760614633483E-2</v>
      </c>
      <c r="H138" s="6">
        <v>-8.3381608939051013E-2</v>
      </c>
      <c r="I138" s="6">
        <v>4.7060599967013991E-2</v>
      </c>
      <c r="J138" s="6">
        <v>-0.35357184370111666</v>
      </c>
      <c r="K138" s="6">
        <v>-0.16181190096221826</v>
      </c>
      <c r="L138" s="6">
        <v>-0.1724988020979133</v>
      </c>
      <c r="M138" s="6">
        <v>-8.7745695095324108E-2</v>
      </c>
      <c r="N138" s="6">
        <v>-9.4060041758655913E-2</v>
      </c>
      <c r="O138" s="6">
        <v>-0.10528523996054961</v>
      </c>
      <c r="P138" s="6">
        <v>-2.6987638890902239E-2</v>
      </c>
      <c r="S138" s="6">
        <f t="shared" si="29"/>
        <v>6.8914024480101026E-3</v>
      </c>
      <c r="T138" s="6">
        <f t="shared" si="30"/>
        <v>-6.2399107134251383E-2</v>
      </c>
      <c r="U138" s="6">
        <f t="shared" si="31"/>
        <v>-4.2816181278132144E-2</v>
      </c>
      <c r="V138" s="6">
        <f t="shared" si="32"/>
        <v>-4.7473517981654837E-3</v>
      </c>
      <c r="W138" s="6">
        <f t="shared" si="33"/>
        <v>-5.7624538427244271E-2</v>
      </c>
      <c r="X138" s="6">
        <f t="shared" si="34"/>
        <v>-8.486124866028065E-2</v>
      </c>
      <c r="Y138" s="6">
        <f t="shared" si="35"/>
        <v>4.3195012656818063E-2</v>
      </c>
      <c r="Z138" s="6">
        <f t="shared" si="36"/>
        <v>-0.34543296216528646</v>
      </c>
      <c r="AA138" s="6">
        <f t="shared" si="37"/>
        <v>-0.1670805863047512</v>
      </c>
      <c r="AB138" s="6">
        <f t="shared" si="38"/>
        <v>-0.17475292546915375</v>
      </c>
      <c r="AC138" s="6">
        <f t="shared" si="39"/>
        <v>-9.1904448855169504E-2</v>
      </c>
      <c r="AD138" s="6">
        <f t="shared" si="40"/>
        <v>-0.10633739343609699</v>
      </c>
      <c r="AE138" s="6">
        <f t="shared" si="41"/>
        <v>-0.10221417331222336</v>
      </c>
      <c r="AF138" s="6">
        <f t="shared" si="42"/>
        <v>-2.3459937566456687E-2</v>
      </c>
    </row>
    <row r="139" spans="3:32" x14ac:dyDescent="0.3">
      <c r="C139" s="6">
        <v>-1.6602078182525515E-2</v>
      </c>
      <c r="D139" s="6">
        <v>-2.377246180709067E-2</v>
      </c>
      <c r="E139" s="6">
        <v>-6.065014724071679E-3</v>
      </c>
      <c r="F139" s="6">
        <v>-1.8103603436268229E-2</v>
      </c>
      <c r="G139" s="6">
        <v>-3.7632914806850909E-2</v>
      </c>
      <c r="H139" s="6">
        <v>-5.7340976609045607E-3</v>
      </c>
      <c r="I139" s="6">
        <v>5.8928878256075894E-2</v>
      </c>
      <c r="J139" s="6">
        <v>-3.3680532777665806E-2</v>
      </c>
      <c r="K139" s="6">
        <v>0.10039156133463924</v>
      </c>
      <c r="L139" s="6">
        <v>-4.0681376350321832E-2</v>
      </c>
      <c r="M139" s="6">
        <v>0.15004957843147887</v>
      </c>
      <c r="N139" s="6">
        <v>0.19310929248793407</v>
      </c>
      <c r="O139" s="6">
        <v>3.6219775827201463E-2</v>
      </c>
      <c r="P139" s="6">
        <v>-3.6741313768967887E-2</v>
      </c>
      <c r="S139" s="6">
        <f t="shared" si="29"/>
        <v>-1.8390096170335449E-2</v>
      </c>
      <c r="T139" s="6">
        <f t="shared" si="30"/>
        <v>-3.3601938303535167E-2</v>
      </c>
      <c r="U139" s="6">
        <f t="shared" si="31"/>
        <v>-8.6243688702814063E-3</v>
      </c>
      <c r="V139" s="6">
        <f t="shared" si="32"/>
        <v>-2.0812951771739335E-2</v>
      </c>
      <c r="W139" s="6">
        <f t="shared" si="33"/>
        <v>-3.8489692619461696E-2</v>
      </c>
      <c r="X139" s="6">
        <f t="shared" si="34"/>
        <v>-7.2137373821341928E-3</v>
      </c>
      <c r="Y139" s="6">
        <f t="shared" si="35"/>
        <v>5.5063290945879965E-2</v>
      </c>
      <c r="Z139" s="6">
        <f t="shared" si="36"/>
        <v>-2.5541651241835609E-2</v>
      </c>
      <c r="AA139" s="6">
        <f t="shared" si="37"/>
        <v>9.5122875992106282E-2</v>
      </c>
      <c r="AB139" s="6">
        <f t="shared" si="38"/>
        <v>-4.2935499721562277E-2</v>
      </c>
      <c r="AC139" s="6">
        <f t="shared" si="39"/>
        <v>0.14589082467163347</v>
      </c>
      <c r="AD139" s="6">
        <f t="shared" si="40"/>
        <v>0.180831940810493</v>
      </c>
      <c r="AE139" s="6">
        <f t="shared" si="41"/>
        <v>3.9290842475527721E-2</v>
      </c>
      <c r="AF139" s="6">
        <f t="shared" si="42"/>
        <v>-3.3213612444522332E-2</v>
      </c>
    </row>
    <row r="140" spans="3:32" x14ac:dyDescent="0.3">
      <c r="C140" s="6">
        <v>4.4367311772421959E-2</v>
      </c>
      <c r="D140" s="6">
        <v>0.17337152102375228</v>
      </c>
      <c r="E140" s="6">
        <v>3.0202783300064574E-2</v>
      </c>
      <c r="F140" s="6">
        <v>-4.3474335992420262E-3</v>
      </c>
      <c r="G140" s="6">
        <v>7.7516442427828347E-2</v>
      </c>
      <c r="H140" s="6">
        <v>5.8854191760312452E-2</v>
      </c>
      <c r="I140" s="6">
        <v>1.8466066869673742E-2</v>
      </c>
      <c r="J140" s="6">
        <v>1.9694290802925944E-2</v>
      </c>
      <c r="K140" s="6">
        <v>8.6021541754435785E-2</v>
      </c>
      <c r="L140" s="6">
        <v>4.4927874494915893E-2</v>
      </c>
      <c r="M140" s="6">
        <v>4.9804003861292537E-2</v>
      </c>
      <c r="N140" s="6">
        <v>6.6702123546037898E-2</v>
      </c>
      <c r="O140" s="6">
        <v>6.1243625240718594E-2</v>
      </c>
      <c r="P140" s="6">
        <v>2.9534693697991915E-2</v>
      </c>
      <c r="S140" s="6">
        <f t="shared" si="29"/>
        <v>4.2579293784612025E-2</v>
      </c>
      <c r="T140" s="6">
        <f t="shared" si="30"/>
        <v>0.16354204452730778</v>
      </c>
      <c r="U140" s="6">
        <f t="shared" si="31"/>
        <v>2.7643429153854846E-2</v>
      </c>
      <c r="V140" s="6">
        <f t="shared" si="32"/>
        <v>-7.0567819347131331E-3</v>
      </c>
      <c r="W140" s="6">
        <f t="shared" si="33"/>
        <v>7.665966461521756E-2</v>
      </c>
      <c r="X140" s="6">
        <f t="shared" si="34"/>
        <v>5.7374552039082823E-2</v>
      </c>
      <c r="Y140" s="6">
        <f t="shared" si="35"/>
        <v>1.4600479559477813E-2</v>
      </c>
      <c r="Z140" s="6">
        <f t="shared" si="36"/>
        <v>2.7833172338756141E-2</v>
      </c>
      <c r="AA140" s="6">
        <f t="shared" si="37"/>
        <v>8.0752856411902829E-2</v>
      </c>
      <c r="AB140" s="6">
        <f t="shared" si="38"/>
        <v>4.2673751123675448E-2</v>
      </c>
      <c r="AC140" s="6">
        <f t="shared" si="39"/>
        <v>4.5645250101447141E-2</v>
      </c>
      <c r="AD140" s="6">
        <f t="shared" si="40"/>
        <v>5.4424771868596816E-2</v>
      </c>
      <c r="AE140" s="6">
        <f t="shared" si="41"/>
        <v>6.4314691889044845E-2</v>
      </c>
      <c r="AF140" s="6">
        <f t="shared" si="42"/>
        <v>3.306239502243747E-2</v>
      </c>
    </row>
    <row r="141" spans="3:32" x14ac:dyDescent="0.3">
      <c r="C141" s="6">
        <v>3.4887094052129782E-3</v>
      </c>
      <c r="D141" s="6">
        <v>3.772843610381113E-2</v>
      </c>
      <c r="E141" s="6">
        <v>-4.0227049433736121E-3</v>
      </c>
      <c r="F141" s="6">
        <v>1.6191235687003588E-2</v>
      </c>
      <c r="G141" s="6">
        <v>1.9247226004479676E-2</v>
      </c>
      <c r="H141" s="6">
        <v>-1.1296244010885181E-4</v>
      </c>
      <c r="I141" s="6">
        <v>1.099088625166261E-3</v>
      </c>
      <c r="J141" s="6">
        <v>2.1437048130605259E-2</v>
      </c>
      <c r="K141" s="6">
        <v>3.3706006796873862E-2</v>
      </c>
      <c r="L141" s="6">
        <v>2.9231041391464221E-2</v>
      </c>
      <c r="M141" s="6">
        <v>3.0889431415958124E-2</v>
      </c>
      <c r="N141" s="6">
        <v>-9.3956218897437698E-3</v>
      </c>
      <c r="O141" s="6">
        <v>0.16574009309389118</v>
      </c>
      <c r="P141" s="6">
        <v>0.18884406532807349</v>
      </c>
      <c r="S141" s="6">
        <f t="shared" si="29"/>
        <v>1.7006914174030445E-3</v>
      </c>
      <c r="T141" s="6">
        <f t="shared" si="30"/>
        <v>2.7898959607366634E-2</v>
      </c>
      <c r="U141" s="6">
        <f t="shared" si="31"/>
        <v>-6.5820590895833385E-3</v>
      </c>
      <c r="V141" s="6">
        <f t="shared" si="32"/>
        <v>1.3481887351532482E-2</v>
      </c>
      <c r="W141" s="6">
        <f t="shared" si="33"/>
        <v>1.8390448191868886E-2</v>
      </c>
      <c r="X141" s="6">
        <f t="shared" si="34"/>
        <v>-1.5926021613384838E-3</v>
      </c>
      <c r="Y141" s="6">
        <f t="shared" si="35"/>
        <v>-2.7664986850296685E-3</v>
      </c>
      <c r="Z141" s="6">
        <f t="shared" si="36"/>
        <v>2.9575929666435456E-2</v>
      </c>
      <c r="AA141" s="6">
        <f t="shared" si="37"/>
        <v>2.8437321454340907E-2</v>
      </c>
      <c r="AB141" s="6">
        <f t="shared" si="38"/>
        <v>2.6976918020223777E-2</v>
      </c>
      <c r="AC141" s="6">
        <f t="shared" si="39"/>
        <v>2.6730677656112731E-2</v>
      </c>
      <c r="AD141" s="6">
        <f t="shared" si="40"/>
        <v>-2.1672973567184846E-2</v>
      </c>
      <c r="AE141" s="6">
        <f t="shared" si="41"/>
        <v>0.16881115974221744</v>
      </c>
      <c r="AF141" s="6">
        <f t="shared" si="42"/>
        <v>0.19237176665251904</v>
      </c>
    </row>
    <row r="142" spans="3:32" x14ac:dyDescent="0.3">
      <c r="C142" s="6">
        <v>9.4770804084122751E-3</v>
      </c>
      <c r="D142" s="6">
        <v>-8.0448602822863577E-2</v>
      </c>
      <c r="E142" s="6">
        <v>8.393990396089497E-4</v>
      </c>
      <c r="F142" s="6">
        <v>-1.3617231691830831E-2</v>
      </c>
      <c r="G142" s="6">
        <v>-2.859113332925892E-2</v>
      </c>
      <c r="H142" s="6">
        <v>8.2129054768996651E-3</v>
      </c>
      <c r="I142" s="6">
        <v>-1.2751409303988891E-2</v>
      </c>
      <c r="J142" s="6">
        <v>-9.5898444046148487E-3</v>
      </c>
      <c r="K142" s="6">
        <v>2.0918367795160681E-2</v>
      </c>
      <c r="L142" s="6">
        <v>-0.14230063990976244</v>
      </c>
      <c r="M142" s="6">
        <v>-1.5872272440853732E-2</v>
      </c>
      <c r="N142" s="6">
        <v>-9.4847375593674222E-3</v>
      </c>
      <c r="O142" s="6">
        <v>-2.0013815345456921E-2</v>
      </c>
      <c r="P142" s="6">
        <v>-1.5227991433554196E-2</v>
      </c>
      <c r="S142" s="6">
        <f t="shared" si="29"/>
        <v>7.6890624206023411E-3</v>
      </c>
      <c r="T142" s="6">
        <f t="shared" si="30"/>
        <v>-9.0278079319308077E-2</v>
      </c>
      <c r="U142" s="6">
        <f t="shared" si="31"/>
        <v>-1.7199551066007773E-3</v>
      </c>
      <c r="V142" s="6">
        <f t="shared" si="32"/>
        <v>-1.6326580027301939E-2</v>
      </c>
      <c r="W142" s="6">
        <f t="shared" si="33"/>
        <v>-2.9447911141869711E-2</v>
      </c>
      <c r="X142" s="6">
        <f t="shared" si="34"/>
        <v>6.7332657556700331E-3</v>
      </c>
      <c r="Y142" s="6">
        <f t="shared" si="35"/>
        <v>-1.661699661418482E-2</v>
      </c>
      <c r="Z142" s="6">
        <f t="shared" si="36"/>
        <v>-1.4509628687846519E-3</v>
      </c>
      <c r="AA142" s="6">
        <f t="shared" si="37"/>
        <v>1.5649682452627725E-2</v>
      </c>
      <c r="AB142" s="6">
        <f t="shared" si="38"/>
        <v>-0.14455476328100289</v>
      </c>
      <c r="AC142" s="6">
        <f t="shared" si="39"/>
        <v>-2.0031026200699124E-2</v>
      </c>
      <c r="AD142" s="6">
        <f t="shared" si="40"/>
        <v>-2.1762089236808502E-2</v>
      </c>
      <c r="AE142" s="6">
        <f t="shared" si="41"/>
        <v>-1.6942748697130663E-2</v>
      </c>
      <c r="AF142" s="6">
        <f t="shared" si="42"/>
        <v>-1.1700290109108644E-2</v>
      </c>
    </row>
    <row r="143" spans="3:32" x14ac:dyDescent="0.3">
      <c r="C143" s="6">
        <v>-3.6374113543248744E-2</v>
      </c>
      <c r="D143" s="6">
        <v>-0.14915077386584782</v>
      </c>
      <c r="E143" s="6">
        <v>-3.7716355503252447E-2</v>
      </c>
      <c r="F143" s="6">
        <v>-7.9328880817613578E-2</v>
      </c>
      <c r="G143" s="6">
        <v>-1.5912208441964303E-2</v>
      </c>
      <c r="H143" s="6">
        <v>-4.0646939815213043E-2</v>
      </c>
      <c r="I143" s="6">
        <v>-4.1196921727614175E-2</v>
      </c>
      <c r="J143" s="6">
        <v>-8.0221167565149548E-2</v>
      </c>
      <c r="K143" s="6">
        <v>-0.11811217954708526</v>
      </c>
      <c r="L143" s="6">
        <v>-0.21864072434267109</v>
      </c>
      <c r="M143" s="6">
        <v>-4.9761509559063825E-2</v>
      </c>
      <c r="N143" s="6">
        <v>-3.7215101848712795E-2</v>
      </c>
      <c r="O143" s="6">
        <v>-5.1471933083496998E-2</v>
      </c>
      <c r="P143" s="6">
        <v>-2.7889669094331087E-2</v>
      </c>
      <c r="S143" s="6">
        <f t="shared" si="29"/>
        <v>-3.8162131531058678E-2</v>
      </c>
      <c r="T143" s="6">
        <f t="shared" si="30"/>
        <v>-0.15898025036229232</v>
      </c>
      <c r="U143" s="6">
        <f t="shared" si="31"/>
        <v>-4.0275709649462171E-2</v>
      </c>
      <c r="V143" s="6">
        <f t="shared" si="32"/>
        <v>-8.2038229153084688E-2</v>
      </c>
      <c r="W143" s="6">
        <f t="shared" si="33"/>
        <v>-1.6768986254575093E-2</v>
      </c>
      <c r="X143" s="6">
        <f t="shared" si="34"/>
        <v>-4.2126579536442672E-2</v>
      </c>
      <c r="Y143" s="6">
        <f t="shared" si="35"/>
        <v>-4.5062509037810103E-2</v>
      </c>
      <c r="Z143" s="6">
        <f t="shared" si="36"/>
        <v>-7.2082286029319348E-2</v>
      </c>
      <c r="AA143" s="6">
        <f t="shared" si="37"/>
        <v>-0.12338086488961822</v>
      </c>
      <c r="AB143" s="6">
        <f t="shared" si="38"/>
        <v>-0.22089484771391155</v>
      </c>
      <c r="AC143" s="6">
        <f t="shared" si="39"/>
        <v>-5.3920263318909221E-2</v>
      </c>
      <c r="AD143" s="6">
        <f t="shared" si="40"/>
        <v>-4.9492453526153876E-2</v>
      </c>
      <c r="AE143" s="6">
        <f t="shared" si="41"/>
        <v>-4.840086643517074E-2</v>
      </c>
      <c r="AF143" s="6">
        <f t="shared" si="42"/>
        <v>-2.4361967769885536E-2</v>
      </c>
    </row>
    <row r="144" spans="3:32" x14ac:dyDescent="0.3">
      <c r="C144" s="6">
        <v>7.5792115953040879E-3</v>
      </c>
      <c r="D144" s="6">
        <v>0.14688633712015514</v>
      </c>
      <c r="E144" s="6">
        <v>6.9450819886162002E-2</v>
      </c>
      <c r="F144" s="6">
        <v>4.2421562660211479E-2</v>
      </c>
      <c r="G144" s="6">
        <v>8.8761691050803393E-2</v>
      </c>
      <c r="H144" s="6">
        <v>8.4435956938874179E-2</v>
      </c>
      <c r="I144" s="6">
        <v>4.7526238316572496E-2</v>
      </c>
      <c r="J144" s="6">
        <v>9.9309764127672326E-2</v>
      </c>
      <c r="K144" s="6">
        <v>5.0414219856278482E-2</v>
      </c>
      <c r="L144" s="6">
        <v>0.10124619305162462</v>
      </c>
      <c r="M144" s="6">
        <v>4.083349201092807E-2</v>
      </c>
      <c r="N144" s="6">
        <v>0.15992737782161165</v>
      </c>
      <c r="O144" s="6">
        <v>0.14869852830445077</v>
      </c>
      <c r="P144" s="6">
        <v>6.0844589281159253E-3</v>
      </c>
      <c r="S144" s="6">
        <f t="shared" si="29"/>
        <v>5.791193607494154E-3</v>
      </c>
      <c r="T144" s="6">
        <f t="shared" si="30"/>
        <v>0.13705686062371064</v>
      </c>
      <c r="U144" s="6">
        <f t="shared" si="31"/>
        <v>6.6891465739952277E-2</v>
      </c>
      <c r="V144" s="6">
        <f t="shared" si="32"/>
        <v>3.9712214324740369E-2</v>
      </c>
      <c r="W144" s="6">
        <f t="shared" si="33"/>
        <v>8.7904913238192606E-2</v>
      </c>
      <c r="X144" s="6">
        <f t="shared" si="34"/>
        <v>8.2956317217644543E-2</v>
      </c>
      <c r="Y144" s="6">
        <f t="shared" si="35"/>
        <v>4.3660651006376568E-2</v>
      </c>
      <c r="Z144" s="6">
        <f t="shared" si="36"/>
        <v>0.10744864566350253</v>
      </c>
      <c r="AA144" s="6">
        <f t="shared" si="37"/>
        <v>4.5145534513745526E-2</v>
      </c>
      <c r="AB144" s="6">
        <f t="shared" si="38"/>
        <v>9.8992069680384168E-2</v>
      </c>
      <c r="AC144" s="6">
        <f t="shared" si="39"/>
        <v>3.6674738251082674E-2</v>
      </c>
      <c r="AD144" s="6">
        <f t="shared" si="40"/>
        <v>0.14765002614417058</v>
      </c>
      <c r="AE144" s="6">
        <f t="shared" si="41"/>
        <v>0.15176959495277703</v>
      </c>
      <c r="AF144" s="6">
        <f t="shared" si="42"/>
        <v>9.6121602525614767E-3</v>
      </c>
    </row>
    <row r="145" spans="3:32" x14ac:dyDescent="0.3">
      <c r="C145" s="6">
        <v>2.5295335821680285E-2</v>
      </c>
      <c r="D145" s="6">
        <v>-2.6373285254889738E-2</v>
      </c>
      <c r="E145" s="6">
        <v>1.081016694430483E-2</v>
      </c>
      <c r="F145" s="6">
        <v>3.8191839849758755E-2</v>
      </c>
      <c r="G145" s="6">
        <v>3.3981158274386788E-2</v>
      </c>
      <c r="H145" s="6">
        <v>2.7032247193405221E-2</v>
      </c>
      <c r="I145" s="6">
        <v>6.7670405913557732E-2</v>
      </c>
      <c r="J145" s="6">
        <v>5.4177785701810838E-2</v>
      </c>
      <c r="K145" s="6">
        <v>0.14595248333802965</v>
      </c>
      <c r="L145" s="6">
        <v>4.2270806490672171E-2</v>
      </c>
      <c r="M145" s="6">
        <v>1.9943291773761983E-2</v>
      </c>
      <c r="N145" s="6">
        <v>4.424406175699961E-2</v>
      </c>
      <c r="O145" s="6">
        <v>1.765024919212746E-2</v>
      </c>
      <c r="P145" s="6">
        <v>-8.8809952551221788E-4</v>
      </c>
      <c r="S145" s="6">
        <f t="shared" si="29"/>
        <v>2.3507317833870351E-2</v>
      </c>
      <c r="T145" s="6">
        <f t="shared" si="30"/>
        <v>-3.6202761751334231E-2</v>
      </c>
      <c r="U145" s="6">
        <f t="shared" si="31"/>
        <v>8.2508127980951036E-3</v>
      </c>
      <c r="V145" s="6">
        <f t="shared" si="32"/>
        <v>3.5482491514287645E-2</v>
      </c>
      <c r="W145" s="6">
        <f t="shared" si="33"/>
        <v>3.3124380461776001E-2</v>
      </c>
      <c r="X145" s="6">
        <f t="shared" si="34"/>
        <v>2.5552607472175588E-2</v>
      </c>
      <c r="Y145" s="6">
        <f t="shared" si="35"/>
        <v>6.3804818603361804E-2</v>
      </c>
      <c r="Z145" s="6">
        <f t="shared" si="36"/>
        <v>6.2316667237641038E-2</v>
      </c>
      <c r="AA145" s="6">
        <f t="shared" si="37"/>
        <v>0.14068379799549671</v>
      </c>
      <c r="AB145" s="6">
        <f t="shared" si="38"/>
        <v>4.0016683119431726E-2</v>
      </c>
      <c r="AC145" s="6">
        <f t="shared" si="39"/>
        <v>1.5784538013916591E-2</v>
      </c>
      <c r="AD145" s="6">
        <f t="shared" si="40"/>
        <v>3.1966710079558536E-2</v>
      </c>
      <c r="AE145" s="6">
        <f t="shared" si="41"/>
        <v>2.0721315840453718E-2</v>
      </c>
      <c r="AF145" s="6">
        <f t="shared" si="42"/>
        <v>2.6396017989333341E-3</v>
      </c>
    </row>
    <row r="146" spans="3:32" x14ac:dyDescent="0.3">
      <c r="C146" s="6">
        <v>-1.798285534723234E-3</v>
      </c>
      <c r="D146" s="6">
        <v>4.5500687519033384E-2</v>
      </c>
      <c r="E146" s="6">
        <v>-1.6796604733708493E-2</v>
      </c>
      <c r="F146" s="6">
        <v>2.1982056845773717E-3</v>
      </c>
      <c r="G146" s="6">
        <v>8.912875600524553E-2</v>
      </c>
      <c r="H146" s="6">
        <v>-1.9127489908256093E-2</v>
      </c>
      <c r="I146" s="6">
        <v>1.0649425981054665E-2</v>
      </c>
      <c r="J146" s="6">
        <v>7.8434066628033136E-2</v>
      </c>
      <c r="K146" s="6">
        <v>-4.7780169133549689E-2</v>
      </c>
      <c r="L146" s="6">
        <v>0.11714918334888243</v>
      </c>
      <c r="M146" s="6">
        <v>2.4184490880992608E-2</v>
      </c>
      <c r="N146" s="6">
        <v>-9.7245498919947444E-3</v>
      </c>
      <c r="O146" s="6">
        <v>-2.140612215193282E-2</v>
      </c>
      <c r="P146" s="6">
        <v>2.9473974782701227E-2</v>
      </c>
      <c r="S146" s="6">
        <f t="shared" si="29"/>
        <v>-3.5863035225331677E-3</v>
      </c>
      <c r="T146" s="6">
        <f t="shared" si="30"/>
        <v>3.5671211022588883E-2</v>
      </c>
      <c r="U146" s="6">
        <f t="shared" si="31"/>
        <v>-1.9355958879918221E-2</v>
      </c>
      <c r="V146" s="6">
        <f t="shared" si="32"/>
        <v>-5.1114265089373476E-4</v>
      </c>
      <c r="W146" s="6">
        <f t="shared" si="33"/>
        <v>8.8271978192634742E-2</v>
      </c>
      <c r="X146" s="6">
        <f t="shared" si="34"/>
        <v>-2.0607129629485726E-2</v>
      </c>
      <c r="Y146" s="6">
        <f t="shared" si="35"/>
        <v>6.7838386708587353E-3</v>
      </c>
      <c r="Z146" s="6">
        <f t="shared" si="36"/>
        <v>8.6572948163863336E-2</v>
      </c>
      <c r="AA146" s="6">
        <f t="shared" si="37"/>
        <v>-5.3048854476082645E-2</v>
      </c>
      <c r="AB146" s="6">
        <f t="shared" si="38"/>
        <v>0.11489505997764198</v>
      </c>
      <c r="AC146" s="6">
        <f t="shared" si="39"/>
        <v>2.0025737121147216E-2</v>
      </c>
      <c r="AD146" s="6">
        <f t="shared" si="40"/>
        <v>-2.2001901569435822E-2</v>
      </c>
      <c r="AE146" s="6">
        <f t="shared" si="41"/>
        <v>-1.8335055503606562E-2</v>
      </c>
      <c r="AF146" s="6">
        <f t="shared" si="42"/>
        <v>3.3001676107146778E-2</v>
      </c>
    </row>
    <row r="147" spans="3:32" x14ac:dyDescent="0.3">
      <c r="C147" s="6">
        <v>-4.3555800396549915E-3</v>
      </c>
      <c r="D147" s="6">
        <v>2.8582653789479846E-2</v>
      </c>
      <c r="E147" s="6">
        <v>-2.8340442831758256E-2</v>
      </c>
      <c r="F147" s="6">
        <v>1.8791526037102952E-2</v>
      </c>
      <c r="G147" s="6">
        <v>-4.066843186639052E-2</v>
      </c>
      <c r="H147" s="6">
        <v>-7.7975186791482722E-3</v>
      </c>
      <c r="I147" s="6">
        <v>4.914596797088764E-2</v>
      </c>
      <c r="J147" s="6">
        <v>-6.4605670029439059E-3</v>
      </c>
      <c r="K147" s="6">
        <v>2.2073202006057967E-2</v>
      </c>
      <c r="L147" s="6">
        <v>-0.11233978991446893</v>
      </c>
      <c r="M147" s="6">
        <v>-1.9596707904973497E-2</v>
      </c>
      <c r="N147" s="6">
        <v>8.25452114820375E-2</v>
      </c>
      <c r="O147" s="6">
        <v>1.9694582006651674E-2</v>
      </c>
      <c r="P147" s="6">
        <v>-1.2879130339905936E-2</v>
      </c>
      <c r="S147" s="6">
        <f t="shared" si="29"/>
        <v>-6.1435980274649254E-3</v>
      </c>
      <c r="T147" s="6">
        <f t="shared" si="30"/>
        <v>1.8753177293035349E-2</v>
      </c>
      <c r="U147" s="6">
        <f t="shared" si="31"/>
        <v>-3.0899796977967985E-2</v>
      </c>
      <c r="V147" s="6">
        <f t="shared" si="32"/>
        <v>1.6082177701631846E-2</v>
      </c>
      <c r="W147" s="6">
        <f t="shared" si="33"/>
        <v>-4.1525209679001307E-2</v>
      </c>
      <c r="X147" s="6">
        <f t="shared" si="34"/>
        <v>-9.2771584003779051E-3</v>
      </c>
      <c r="Y147" s="6">
        <f t="shared" si="35"/>
        <v>4.5280380660691712E-2</v>
      </c>
      <c r="Z147" s="6">
        <f t="shared" si="36"/>
        <v>1.6783145328862908E-3</v>
      </c>
      <c r="AA147" s="6">
        <f t="shared" si="37"/>
        <v>1.6804516663525011E-2</v>
      </c>
      <c r="AB147" s="6">
        <f t="shared" si="38"/>
        <v>-0.11459391328570938</v>
      </c>
      <c r="AC147" s="6">
        <f t="shared" si="39"/>
        <v>-2.3755461664818889E-2</v>
      </c>
      <c r="AD147" s="6">
        <f t="shared" si="40"/>
        <v>7.0267859804596419E-2</v>
      </c>
      <c r="AE147" s="6">
        <f t="shared" si="41"/>
        <v>2.2765648654977932E-2</v>
      </c>
      <c r="AF147" s="6">
        <f t="shared" si="42"/>
        <v>-9.3514290154603844E-3</v>
      </c>
    </row>
    <row r="148" spans="3:32" x14ac:dyDescent="0.3">
      <c r="C148" s="6">
        <v>3.3014226090540026E-3</v>
      </c>
      <c r="D148" s="6">
        <v>7.6118666063328996E-2</v>
      </c>
      <c r="E148" s="6">
        <v>6.2471469390381002E-4</v>
      </c>
      <c r="F148" s="6">
        <v>-2.3131518790155292E-2</v>
      </c>
      <c r="G148" s="6">
        <v>-0.13820365617430636</v>
      </c>
      <c r="H148" s="6">
        <v>1.230932335501468E-2</v>
      </c>
      <c r="I148" s="6">
        <v>-1.0102203310802539E-2</v>
      </c>
      <c r="J148" s="6">
        <v>3.0098031157279565E-2</v>
      </c>
      <c r="K148" s="6">
        <v>9.1401648068875171E-2</v>
      </c>
      <c r="L148" s="6">
        <v>3.1503656299620909E-2</v>
      </c>
      <c r="M148" s="6">
        <v>0.15045125364282638</v>
      </c>
      <c r="N148" s="6">
        <v>8.3861373863444999E-2</v>
      </c>
      <c r="O148" s="6">
        <v>3.2156277648951868E-2</v>
      </c>
      <c r="P148" s="6">
        <v>2.8995859421949866E-2</v>
      </c>
      <c r="S148" s="6">
        <f t="shared" si="29"/>
        <v>1.5134046212440689E-3</v>
      </c>
      <c r="T148" s="6">
        <f t="shared" si="30"/>
        <v>6.6289189566884496E-2</v>
      </c>
      <c r="U148" s="6">
        <f t="shared" si="31"/>
        <v>-1.9346394523059168E-3</v>
      </c>
      <c r="V148" s="6">
        <f t="shared" si="32"/>
        <v>-2.5840867125626398E-2</v>
      </c>
      <c r="W148" s="6">
        <f t="shared" si="33"/>
        <v>-0.13906043398691714</v>
      </c>
      <c r="X148" s="6">
        <f t="shared" si="34"/>
        <v>1.0829683633785048E-2</v>
      </c>
      <c r="Y148" s="6">
        <f t="shared" si="35"/>
        <v>-1.3967790620998469E-2</v>
      </c>
      <c r="Z148" s="6">
        <f t="shared" si="36"/>
        <v>3.8236912693109762E-2</v>
      </c>
      <c r="AA148" s="6">
        <f t="shared" si="37"/>
        <v>8.6132962726342216E-2</v>
      </c>
      <c r="AB148" s="6">
        <f t="shared" si="38"/>
        <v>2.9249532928380464E-2</v>
      </c>
      <c r="AC148" s="6">
        <f t="shared" si="39"/>
        <v>0.14629249988298099</v>
      </c>
      <c r="AD148" s="6">
        <f t="shared" si="40"/>
        <v>7.1584022186003918E-2</v>
      </c>
      <c r="AE148" s="6">
        <f t="shared" si="41"/>
        <v>3.5227344297278126E-2</v>
      </c>
      <c r="AF148" s="6">
        <f t="shared" si="42"/>
        <v>3.2523560746395418E-2</v>
      </c>
    </row>
    <row r="149" spans="3:32" x14ac:dyDescent="0.3">
      <c r="C149" s="6">
        <v>3.2215519681507911E-2</v>
      </c>
      <c r="D149" s="6">
        <v>2.3461486678997966E-2</v>
      </c>
      <c r="E149" s="6">
        <v>4.4099390805260145E-3</v>
      </c>
      <c r="F149" s="6">
        <v>1.1020634189564096E-3</v>
      </c>
      <c r="G149" s="6">
        <v>1.3227102763830515E-2</v>
      </c>
      <c r="H149" s="6">
        <v>8.9992330257574241E-4</v>
      </c>
      <c r="I149" s="6">
        <v>-2.3114487352164984E-2</v>
      </c>
      <c r="J149" s="6">
        <v>-5.9221742879247662E-2</v>
      </c>
      <c r="K149" s="6">
        <v>-3.1920979136775926E-2</v>
      </c>
      <c r="L149" s="6">
        <v>0.22194087805806614</v>
      </c>
      <c r="M149" s="6">
        <v>-8.682186939296653E-2</v>
      </c>
      <c r="N149" s="6">
        <v>-1.2488598945685018E-2</v>
      </c>
      <c r="O149" s="6">
        <v>2.1460051019769069E-2</v>
      </c>
      <c r="P149" s="6">
        <v>-2.2662899218263027E-3</v>
      </c>
      <c r="S149" s="6">
        <f t="shared" si="29"/>
        <v>3.0427501693697977E-2</v>
      </c>
      <c r="T149" s="6">
        <f t="shared" si="30"/>
        <v>1.3632010182553469E-2</v>
      </c>
      <c r="U149" s="6">
        <f t="shared" si="31"/>
        <v>1.8505849343162877E-3</v>
      </c>
      <c r="V149" s="6">
        <f t="shared" si="32"/>
        <v>-1.6072849165146969E-3</v>
      </c>
      <c r="W149" s="6">
        <f t="shared" si="33"/>
        <v>1.2370324951219727E-2</v>
      </c>
      <c r="X149" s="6">
        <f t="shared" si="34"/>
        <v>-5.7971641865388964E-4</v>
      </c>
      <c r="Y149" s="6">
        <f t="shared" si="35"/>
        <v>-2.6980074662360912E-2</v>
      </c>
      <c r="Z149" s="6">
        <f t="shared" si="36"/>
        <v>-5.1082861343417468E-2</v>
      </c>
      <c r="AA149" s="6">
        <f t="shared" si="37"/>
        <v>-3.7189664479308882E-2</v>
      </c>
      <c r="AB149" s="6">
        <f t="shared" si="38"/>
        <v>0.21968675468682569</v>
      </c>
      <c r="AC149" s="6">
        <f t="shared" si="39"/>
        <v>-9.0980623152811926E-2</v>
      </c>
      <c r="AD149" s="6">
        <f t="shared" si="40"/>
        <v>-2.4765950623126094E-2</v>
      </c>
      <c r="AE149" s="6">
        <f t="shared" si="41"/>
        <v>2.4531117668095327E-2</v>
      </c>
      <c r="AF149" s="6">
        <f t="shared" si="42"/>
        <v>1.2614114026192492E-3</v>
      </c>
    </row>
    <row r="150" spans="3:32" x14ac:dyDescent="0.3">
      <c r="C150" s="6">
        <v>-1.5394485106578612E-2</v>
      </c>
      <c r="D150" s="6">
        <v>2.5328677490434021E-2</v>
      </c>
      <c r="E150" s="6">
        <v>2.3609467067534553E-2</v>
      </c>
      <c r="F150" s="6">
        <v>1.1256926196173668E-2</v>
      </c>
      <c r="G150" s="6">
        <v>0.19861313671538541</v>
      </c>
      <c r="H150" s="6">
        <v>-6.1568051816173535E-3</v>
      </c>
      <c r="I150" s="6">
        <v>-5.6013784557495082E-3</v>
      </c>
      <c r="J150" s="6">
        <v>-3.8204439973858815E-3</v>
      </c>
      <c r="K150" s="6">
        <v>-3.1209042714046401E-2</v>
      </c>
      <c r="L150" s="6">
        <v>-7.1376554462285247E-2</v>
      </c>
      <c r="M150" s="6">
        <v>-1.9645994793604665E-2</v>
      </c>
      <c r="N150" s="6">
        <v>4.3044331305158584E-2</v>
      </c>
      <c r="O150" s="6">
        <v>-6.1819603038101766E-2</v>
      </c>
      <c r="P150" s="6">
        <v>2.948170208840737E-2</v>
      </c>
      <c r="S150" s="6">
        <f t="shared" si="29"/>
        <v>-1.7182503094388544E-2</v>
      </c>
      <c r="T150" s="6">
        <f t="shared" si="30"/>
        <v>1.5499200993989524E-2</v>
      </c>
      <c r="U150" s="6">
        <f t="shared" si="31"/>
        <v>2.1050112921324825E-2</v>
      </c>
      <c r="V150" s="6">
        <f t="shared" si="32"/>
        <v>8.547577860702562E-3</v>
      </c>
      <c r="W150" s="6">
        <f t="shared" si="33"/>
        <v>0.19775635890277463</v>
      </c>
      <c r="X150" s="6">
        <f t="shared" si="34"/>
        <v>-7.6364449028469856E-3</v>
      </c>
      <c r="Y150" s="6">
        <f t="shared" si="35"/>
        <v>-9.4669657659454381E-3</v>
      </c>
      <c r="Z150" s="6">
        <f t="shared" si="36"/>
        <v>4.3184375384443148E-3</v>
      </c>
      <c r="AA150" s="6">
        <f t="shared" si="37"/>
        <v>-3.6477728056579353E-2</v>
      </c>
      <c r="AB150" s="6">
        <f t="shared" si="38"/>
        <v>-7.3630677833525698E-2</v>
      </c>
      <c r="AC150" s="6">
        <f t="shared" si="39"/>
        <v>-2.3804748553450057E-2</v>
      </c>
      <c r="AD150" s="6">
        <f t="shared" si="40"/>
        <v>3.0766979627717506E-2</v>
      </c>
      <c r="AE150" s="6">
        <f t="shared" si="41"/>
        <v>-5.8748536389775508E-2</v>
      </c>
      <c r="AF150" s="6">
        <f t="shared" si="42"/>
        <v>3.3009403412852925E-2</v>
      </c>
    </row>
    <row r="151" spans="3:32" x14ac:dyDescent="0.3">
      <c r="C151" s="6">
        <v>-3.7422926484739362E-2</v>
      </c>
      <c r="D151" s="6">
        <v>-4.4349002169463948E-2</v>
      </c>
      <c r="E151" s="6">
        <v>-4.2414409702738291E-2</v>
      </c>
      <c r="F151" s="6">
        <v>3.5777526357158744E-2</v>
      </c>
      <c r="G151" s="6">
        <v>-7.8044878024436187E-2</v>
      </c>
      <c r="H151" s="6">
        <v>5.2376134407314888E-2</v>
      </c>
      <c r="I151" s="6">
        <v>-1.0680470868656745E-2</v>
      </c>
      <c r="J151" s="6">
        <v>0.18152379049715689</v>
      </c>
      <c r="K151" s="6">
        <v>8.3147476959898759E-3</v>
      </c>
      <c r="L151" s="6">
        <v>-0.11437488200931507</v>
      </c>
      <c r="M151" s="6">
        <v>-5.7946878043583609E-2</v>
      </c>
      <c r="N151" s="6">
        <v>-6.7783489079275464E-2</v>
      </c>
      <c r="O151" s="6">
        <v>-0.13598272355587571</v>
      </c>
      <c r="P151" s="6">
        <v>4.0078223567410524E-2</v>
      </c>
      <c r="S151" s="6">
        <f t="shared" si="29"/>
        <v>-3.9210944472549296E-2</v>
      </c>
      <c r="T151" s="6">
        <f t="shared" si="30"/>
        <v>-5.4178478665908442E-2</v>
      </c>
      <c r="U151" s="6">
        <f t="shared" si="31"/>
        <v>-4.4973763848948016E-2</v>
      </c>
      <c r="V151" s="6">
        <f t="shared" si="32"/>
        <v>3.3068178021687634E-2</v>
      </c>
      <c r="W151" s="6">
        <f t="shared" si="33"/>
        <v>-7.8901655837046974E-2</v>
      </c>
      <c r="X151" s="6">
        <f t="shared" si="34"/>
        <v>5.0896494686085259E-2</v>
      </c>
      <c r="Y151" s="6">
        <f t="shared" si="35"/>
        <v>-1.4546058178852675E-2</v>
      </c>
      <c r="Z151" s="6">
        <f t="shared" si="36"/>
        <v>0.18966267203298709</v>
      </c>
      <c r="AA151" s="6">
        <f t="shared" si="37"/>
        <v>3.0460623534569221E-3</v>
      </c>
      <c r="AB151" s="6">
        <f t="shared" si="38"/>
        <v>-0.11662900538055553</v>
      </c>
      <c r="AC151" s="6">
        <f t="shared" si="39"/>
        <v>-6.2105631803429005E-2</v>
      </c>
      <c r="AD151" s="6">
        <f t="shared" si="40"/>
        <v>-8.0060840756716545E-2</v>
      </c>
      <c r="AE151" s="6">
        <f t="shared" si="41"/>
        <v>-0.13291165690754944</v>
      </c>
      <c r="AF151" s="6">
        <f t="shared" si="42"/>
        <v>4.3605924891856079E-2</v>
      </c>
    </row>
    <row r="152" spans="3:32" x14ac:dyDescent="0.3">
      <c r="C152" s="6">
        <v>1.8005687947755061E-2</v>
      </c>
      <c r="D152" s="6">
        <v>8.6475783067821915E-2</v>
      </c>
      <c r="E152" s="6">
        <v>2.9224925102625973E-2</v>
      </c>
      <c r="F152" s="6">
        <v>4.0389885295007026E-2</v>
      </c>
      <c r="G152" s="6">
        <v>0.25475367468111143</v>
      </c>
      <c r="H152" s="6">
        <v>5.0489657254678591E-2</v>
      </c>
      <c r="I152" s="6">
        <v>3.8361815813333922E-2</v>
      </c>
      <c r="J152" s="6">
        <v>-4.2386132816084679E-2</v>
      </c>
      <c r="K152" s="6">
        <v>8.5021803018383857E-2</v>
      </c>
      <c r="L152" s="6">
        <v>0.39232875071113965</v>
      </c>
      <c r="M152" s="6">
        <v>-1.6656727589421282E-2</v>
      </c>
      <c r="N152" s="6">
        <v>0.33138160228265956</v>
      </c>
      <c r="O152" s="6">
        <v>0.11653077211128754</v>
      </c>
      <c r="P152" s="6">
        <v>7.4655819034779219E-2</v>
      </c>
      <c r="S152" s="6">
        <f t="shared" si="29"/>
        <v>1.6217669959945127E-2</v>
      </c>
      <c r="T152" s="6">
        <f t="shared" si="30"/>
        <v>7.6646306571377415E-2</v>
      </c>
      <c r="U152" s="6">
        <f t="shared" si="31"/>
        <v>2.6665570956416244E-2</v>
      </c>
      <c r="V152" s="6">
        <f t="shared" si="32"/>
        <v>3.7680536959535917E-2</v>
      </c>
      <c r="W152" s="6">
        <f t="shared" si="33"/>
        <v>0.25389689686850064</v>
      </c>
      <c r="X152" s="6">
        <f t="shared" si="34"/>
        <v>4.9010017533448962E-2</v>
      </c>
      <c r="Y152" s="6">
        <f t="shared" si="35"/>
        <v>3.4496228503137993E-2</v>
      </c>
      <c r="Z152" s="6">
        <f t="shared" si="36"/>
        <v>-3.4247251280254479E-2</v>
      </c>
      <c r="AA152" s="6">
        <f t="shared" si="37"/>
        <v>7.9753117675850901E-2</v>
      </c>
      <c r="AB152" s="6">
        <f t="shared" si="38"/>
        <v>0.39007462733989923</v>
      </c>
      <c r="AC152" s="6">
        <f t="shared" si="39"/>
        <v>-2.0815481349266675E-2</v>
      </c>
      <c r="AD152" s="6">
        <f t="shared" si="40"/>
        <v>0.31910425060521846</v>
      </c>
      <c r="AE152" s="6">
        <f t="shared" si="41"/>
        <v>0.11960183875961379</v>
      </c>
      <c r="AF152" s="6">
        <f t="shared" si="42"/>
        <v>7.8183520359224767E-2</v>
      </c>
    </row>
    <row r="153" spans="3:32" x14ac:dyDescent="0.3">
      <c r="C153" s="6">
        <v>-8.6733882961758553E-3</v>
      </c>
      <c r="D153" s="6">
        <v>-3.9022940934756778E-2</v>
      </c>
      <c r="E153" s="6">
        <v>-1.8005596641390301E-2</v>
      </c>
      <c r="F153" s="6">
        <v>-3.3408648028362915E-2</v>
      </c>
      <c r="G153" s="6">
        <v>-1.5577783004996771E-3</v>
      </c>
      <c r="H153" s="6">
        <v>-2.7120141149262408E-2</v>
      </c>
      <c r="I153" s="6">
        <v>-6.1694186028579158E-2</v>
      </c>
      <c r="J153" s="6">
        <v>-0.12488563497387067</v>
      </c>
      <c r="K153" s="6">
        <v>2.0157255871019374E-2</v>
      </c>
      <c r="L153" s="6">
        <v>0.12193583493093371</v>
      </c>
      <c r="M153" s="6">
        <v>1.6656727589421345E-2</v>
      </c>
      <c r="N153" s="6">
        <v>0.11901916501781334</v>
      </c>
      <c r="O153" s="6">
        <v>-6.9409028045245541E-2</v>
      </c>
      <c r="P153" s="6">
        <v>-3.9360444419652731E-3</v>
      </c>
      <c r="S153" s="6">
        <f t="shared" si="29"/>
        <v>-1.0461406283985789E-2</v>
      </c>
      <c r="T153" s="6">
        <f t="shared" si="30"/>
        <v>-4.8852417431201278E-2</v>
      </c>
      <c r="U153" s="6">
        <f t="shared" si="31"/>
        <v>-2.0564950787600029E-2</v>
      </c>
      <c r="V153" s="6">
        <f t="shared" si="32"/>
        <v>-3.6117996363834025E-2</v>
      </c>
      <c r="W153" s="6">
        <f t="shared" si="33"/>
        <v>-2.4145561131104667E-3</v>
      </c>
      <c r="X153" s="6">
        <f t="shared" si="34"/>
        <v>-2.8599780870492041E-2</v>
      </c>
      <c r="Y153" s="6">
        <f t="shared" si="35"/>
        <v>-6.5559773338775093E-2</v>
      </c>
      <c r="Z153" s="6">
        <f t="shared" si="36"/>
        <v>-0.11674675343804047</v>
      </c>
      <c r="AA153" s="6">
        <f t="shared" si="37"/>
        <v>1.488857052848642E-2</v>
      </c>
      <c r="AB153" s="6">
        <f t="shared" si="38"/>
        <v>0.11968171155969326</v>
      </c>
      <c r="AC153" s="6">
        <f t="shared" si="39"/>
        <v>1.2497973829575952E-2</v>
      </c>
      <c r="AD153" s="6">
        <f t="shared" si="40"/>
        <v>0.10674181334037226</v>
      </c>
      <c r="AE153" s="6">
        <f t="shared" si="41"/>
        <v>-6.633796139691929E-2</v>
      </c>
      <c r="AF153" s="6">
        <f t="shared" si="42"/>
        <v>-4.083431175197212E-4</v>
      </c>
    </row>
    <row r="154" spans="3:32" x14ac:dyDescent="0.3">
      <c r="C154" s="6">
        <v>2.1413529531905433E-2</v>
      </c>
      <c r="D154" s="6">
        <v>-2.1131969225961531E-4</v>
      </c>
      <c r="E154" s="6">
        <v>4.8077015681030778E-3</v>
      </c>
      <c r="F154" s="6">
        <v>-4.5849394208657607E-2</v>
      </c>
      <c r="G154" s="6">
        <v>9.4652352199479983E-2</v>
      </c>
      <c r="H154" s="6">
        <v>-2.7470268592904974E-2</v>
      </c>
      <c r="I154" s="6">
        <v>9.0908083715072353E-3</v>
      </c>
      <c r="J154" s="6">
        <v>7.4512203109842787E-2</v>
      </c>
      <c r="K154" s="6">
        <v>0.10025171957971366</v>
      </c>
      <c r="L154" s="6">
        <v>-3.9640340855734459E-3</v>
      </c>
      <c r="M154" s="6">
        <v>-2.4040947836872044E-2</v>
      </c>
      <c r="N154" s="6">
        <v>-2.1826873271124019E-2</v>
      </c>
      <c r="O154" s="6">
        <v>4.7801930670168932E-3</v>
      </c>
      <c r="P154" s="6">
        <v>5.6774915232279129E-2</v>
      </c>
      <c r="S154" s="6">
        <f t="shared" si="29"/>
        <v>1.96255115440955E-2</v>
      </c>
      <c r="T154" s="6">
        <f t="shared" si="30"/>
        <v>-1.0040796188704113E-2</v>
      </c>
      <c r="U154" s="6">
        <f t="shared" si="31"/>
        <v>2.2483474218933509E-3</v>
      </c>
      <c r="V154" s="6">
        <f t="shared" si="32"/>
        <v>-4.8558742544128716E-2</v>
      </c>
      <c r="W154" s="6">
        <f t="shared" si="33"/>
        <v>9.3795574386869196E-2</v>
      </c>
      <c r="X154" s="6">
        <f t="shared" si="34"/>
        <v>-2.8949908314134607E-2</v>
      </c>
      <c r="Y154" s="6">
        <f t="shared" si="35"/>
        <v>5.2252210613113054E-3</v>
      </c>
      <c r="Z154" s="6">
        <f t="shared" si="36"/>
        <v>8.2651084645672987E-2</v>
      </c>
      <c r="AA154" s="6">
        <f t="shared" si="37"/>
        <v>9.49830342371807E-2</v>
      </c>
      <c r="AB154" s="6">
        <f t="shared" si="38"/>
        <v>-6.2181574568138925E-3</v>
      </c>
      <c r="AC154" s="6">
        <f t="shared" si="39"/>
        <v>-2.8199701596717437E-2</v>
      </c>
      <c r="AD154" s="6">
        <f t="shared" si="40"/>
        <v>-3.4104224948565097E-2</v>
      </c>
      <c r="AE154" s="6">
        <f t="shared" si="41"/>
        <v>7.8512597153431504E-3</v>
      </c>
      <c r="AF154" s="6">
        <f t="shared" si="42"/>
        <v>6.0302616556724684E-2</v>
      </c>
    </row>
    <row r="155" spans="3:32" x14ac:dyDescent="0.3">
      <c r="C155" s="6">
        <v>3.1937645965089051E-2</v>
      </c>
      <c r="D155" s="6">
        <v>-2.6411242516535895E-2</v>
      </c>
      <c r="E155" s="6">
        <v>1.5372836828988743E-2</v>
      </c>
      <c r="F155" s="6">
        <v>2.5112943592418991E-2</v>
      </c>
      <c r="G155" s="6">
        <v>-2.1212742893624719E-2</v>
      </c>
      <c r="H155" s="6">
        <v>5.3196413313867777E-2</v>
      </c>
      <c r="I155" s="6">
        <v>2.6786843242608636E-2</v>
      </c>
      <c r="J155" s="6">
        <v>3.3580425981406765E-2</v>
      </c>
      <c r="K155" s="6">
        <v>-7.3240468773888248E-2</v>
      </c>
      <c r="L155" s="6">
        <v>-2.8095849769302041E-2</v>
      </c>
      <c r="M155" s="6">
        <v>6.273109022027613E-3</v>
      </c>
      <c r="N155" s="6">
        <v>4.1549002912872481E-2</v>
      </c>
      <c r="O155" s="6">
        <v>-2.4596699082397415E-3</v>
      </c>
      <c r="P155" s="6">
        <v>-3.7852297276504923E-2</v>
      </c>
      <c r="S155" s="6">
        <f t="shared" si="29"/>
        <v>3.0149627977279117E-2</v>
      </c>
      <c r="T155" s="6">
        <f t="shared" si="30"/>
        <v>-3.6240719012980392E-2</v>
      </c>
      <c r="U155" s="6">
        <f t="shared" si="31"/>
        <v>1.2813482682779017E-2</v>
      </c>
      <c r="V155" s="6">
        <f t="shared" si="32"/>
        <v>2.2403595256947885E-2</v>
      </c>
      <c r="W155" s="6">
        <f t="shared" si="33"/>
        <v>-2.206952070623551E-2</v>
      </c>
      <c r="X155" s="6">
        <f t="shared" si="34"/>
        <v>5.1716773592638147E-2</v>
      </c>
      <c r="Y155" s="6">
        <f t="shared" si="35"/>
        <v>2.2921255932412708E-2</v>
      </c>
      <c r="Z155" s="6">
        <f t="shared" si="36"/>
        <v>4.1719307517236959E-2</v>
      </c>
      <c r="AA155" s="6">
        <f t="shared" si="37"/>
        <v>-7.8509154116421204E-2</v>
      </c>
      <c r="AB155" s="6">
        <f t="shared" si="38"/>
        <v>-3.034997314054249E-2</v>
      </c>
      <c r="AC155" s="6">
        <f t="shared" si="39"/>
        <v>2.1143552621822196E-3</v>
      </c>
      <c r="AD155" s="6">
        <f t="shared" si="40"/>
        <v>2.9271651235431403E-2</v>
      </c>
      <c r="AE155" s="6">
        <f t="shared" si="41"/>
        <v>6.113967400865161E-4</v>
      </c>
      <c r="AF155" s="6">
        <f t="shared" si="42"/>
        <v>-3.4324595952059368E-2</v>
      </c>
    </row>
    <row r="156" spans="3:32" x14ac:dyDescent="0.3">
      <c r="C156" s="6">
        <v>2.2951212560818574E-2</v>
      </c>
      <c r="D156" s="6">
        <v>2.9857218007132806E-2</v>
      </c>
      <c r="E156" s="6">
        <v>4.639656606737326E-2</v>
      </c>
      <c r="F156" s="6">
        <v>3.3524643326054357E-2</v>
      </c>
      <c r="G156" s="6">
        <v>0.12013665881291236</v>
      </c>
      <c r="H156" s="6">
        <v>8.807307368051126E-2</v>
      </c>
      <c r="I156" s="6">
        <v>8.2594978411714093E-2</v>
      </c>
      <c r="J156" s="6">
        <v>5.1970457101762402E-2</v>
      </c>
      <c r="K156" s="6">
        <v>5.5324525620661237E-2</v>
      </c>
      <c r="L156" s="6">
        <v>0.14850149380012254</v>
      </c>
      <c r="M156" s="6">
        <v>-8.5092959599970708E-2</v>
      </c>
      <c r="N156" s="6">
        <v>0.12931111036207568</v>
      </c>
      <c r="O156" s="6">
        <v>0.19770315811911487</v>
      </c>
      <c r="P156" s="6">
        <v>4.1803493584913233E-2</v>
      </c>
      <c r="S156" s="6">
        <f t="shared" si="29"/>
        <v>2.116319457300864E-2</v>
      </c>
      <c r="T156" s="6">
        <f t="shared" si="30"/>
        <v>2.0027741510688309E-2</v>
      </c>
      <c r="U156" s="6">
        <f t="shared" si="31"/>
        <v>4.3837211921163535E-2</v>
      </c>
      <c r="V156" s="6">
        <f t="shared" si="32"/>
        <v>3.0815294990583251E-2</v>
      </c>
      <c r="W156" s="6">
        <f t="shared" si="33"/>
        <v>0.11927988100030157</v>
      </c>
      <c r="X156" s="6">
        <f t="shared" si="34"/>
        <v>8.6593433959281624E-2</v>
      </c>
      <c r="Y156" s="6">
        <f t="shared" si="35"/>
        <v>7.8729391101518165E-2</v>
      </c>
      <c r="Z156" s="6">
        <f t="shared" si="36"/>
        <v>6.0109338637592602E-2</v>
      </c>
      <c r="AA156" s="6">
        <f t="shared" si="37"/>
        <v>5.0055840278128282E-2</v>
      </c>
      <c r="AB156" s="6">
        <f t="shared" si="38"/>
        <v>0.14624737042888208</v>
      </c>
      <c r="AC156" s="6">
        <f t="shared" si="39"/>
        <v>-8.9251713359816104E-2</v>
      </c>
      <c r="AD156" s="6">
        <f t="shared" si="40"/>
        <v>0.1170337586846346</v>
      </c>
      <c r="AE156" s="6">
        <f t="shared" si="41"/>
        <v>0.20077422476744114</v>
      </c>
      <c r="AF156" s="6">
        <f t="shared" si="42"/>
        <v>4.5331194909358788E-2</v>
      </c>
    </row>
    <row r="157" spans="3:32" x14ac:dyDescent="0.3">
      <c r="C157" s="6">
        <v>2.1550012109691326E-2</v>
      </c>
      <c r="D157" s="6">
        <v>-5.9217125020602904E-2</v>
      </c>
      <c r="E157" s="6">
        <v>8.3068144132540205E-3</v>
      </c>
      <c r="F157" s="6">
        <v>8.2948798215992853E-2</v>
      </c>
      <c r="G157" s="6">
        <v>0.114024890740485</v>
      </c>
      <c r="H157" s="6">
        <v>1.8922314167646639E-3</v>
      </c>
      <c r="I157" s="6">
        <v>-5.4978757910612132E-3</v>
      </c>
      <c r="J157" s="6">
        <v>-9.5229797183004214E-2</v>
      </c>
      <c r="K157" s="6">
        <v>6.4606928012681765E-3</v>
      </c>
      <c r="L157" s="6">
        <v>-0.10109487849277794</v>
      </c>
      <c r="M157" s="6">
        <v>-9.7840235012267573E-2</v>
      </c>
      <c r="N157" s="6">
        <v>-3.543078307873997E-3</v>
      </c>
      <c r="O157" s="6">
        <v>-1.3524232224142502E-2</v>
      </c>
      <c r="P157" s="6">
        <v>-2.8588500693793355E-2</v>
      </c>
      <c r="S157" s="6">
        <f t="shared" si="29"/>
        <v>1.9761994121881392E-2</v>
      </c>
      <c r="T157" s="6">
        <f t="shared" si="30"/>
        <v>-6.9046601517047404E-2</v>
      </c>
      <c r="U157" s="6">
        <f t="shared" si="31"/>
        <v>5.747460267044294E-3</v>
      </c>
      <c r="V157" s="6">
        <f t="shared" si="32"/>
        <v>8.0239449880521743E-2</v>
      </c>
      <c r="W157" s="6">
        <f t="shared" si="33"/>
        <v>0.11316811292787421</v>
      </c>
      <c r="X157" s="6">
        <f t="shared" si="34"/>
        <v>4.1259169553503183E-4</v>
      </c>
      <c r="Y157" s="6">
        <f t="shared" si="35"/>
        <v>-9.3634631012571422E-3</v>
      </c>
      <c r="Z157" s="6">
        <f t="shared" si="36"/>
        <v>-8.7090915647174014E-2</v>
      </c>
      <c r="AA157" s="6">
        <f t="shared" si="37"/>
        <v>1.1920074587352227E-3</v>
      </c>
      <c r="AB157" s="6">
        <f t="shared" si="38"/>
        <v>-0.10334900186401839</v>
      </c>
      <c r="AC157" s="6">
        <f t="shared" si="39"/>
        <v>-0.10199898877211297</v>
      </c>
      <c r="AD157" s="6">
        <f t="shared" si="40"/>
        <v>-1.5820429985315076E-2</v>
      </c>
      <c r="AE157" s="6">
        <f t="shared" si="41"/>
        <v>-1.0453165575816244E-2</v>
      </c>
      <c r="AF157" s="6">
        <f t="shared" si="42"/>
        <v>-2.5060799369347804E-2</v>
      </c>
    </row>
    <row r="158" spans="3:32" x14ac:dyDescent="0.3">
      <c r="C158" s="6">
        <v>2.5308740115828361E-2</v>
      </c>
      <c r="D158" s="6">
        <v>3.346350027344173E-3</v>
      </c>
      <c r="E158" s="6">
        <v>-2.4144994992573873E-2</v>
      </c>
      <c r="F158" s="6">
        <v>8.3414695556723317E-3</v>
      </c>
      <c r="G158" s="6">
        <v>-3.5394285851094734E-2</v>
      </c>
      <c r="H158" s="6">
        <v>-1.1229615332297601E-2</v>
      </c>
      <c r="I158" s="6">
        <v>-5.8244728517860424E-2</v>
      </c>
      <c r="J158" s="6">
        <v>7.9260652724207226E-3</v>
      </c>
      <c r="K158" s="6">
        <v>-1.5692288433397907E-2</v>
      </c>
      <c r="L158" s="6">
        <v>-0.10826970242135046</v>
      </c>
      <c r="M158" s="6">
        <v>1.3260595439390142E-2</v>
      </c>
      <c r="N158" s="6">
        <v>5.7224140613773573E-2</v>
      </c>
      <c r="O158" s="6">
        <v>-2.9345546273936603E-2</v>
      </c>
      <c r="P158" s="6">
        <v>2.1371614522501216E-2</v>
      </c>
      <c r="S158" s="6">
        <f t="shared" si="29"/>
        <v>2.3520722128018427E-2</v>
      </c>
      <c r="T158" s="6">
        <f t="shared" si="30"/>
        <v>-6.4831264691003233E-3</v>
      </c>
      <c r="U158" s="6">
        <f t="shared" si="31"/>
        <v>-2.6704349138783601E-2</v>
      </c>
      <c r="V158" s="6">
        <f t="shared" si="32"/>
        <v>5.6321212202012257E-3</v>
      </c>
      <c r="W158" s="6">
        <f t="shared" si="33"/>
        <v>-3.6251063663705521E-2</v>
      </c>
      <c r="X158" s="6">
        <f t="shared" si="34"/>
        <v>-1.2709255053527234E-2</v>
      </c>
      <c r="Y158" s="6">
        <f t="shared" si="35"/>
        <v>-6.2110315828056352E-2</v>
      </c>
      <c r="Z158" s="6">
        <f t="shared" si="36"/>
        <v>1.6064946808250921E-2</v>
      </c>
      <c r="AA158" s="6">
        <f t="shared" si="37"/>
        <v>-2.0960973775930862E-2</v>
      </c>
      <c r="AB158" s="6">
        <f t="shared" si="38"/>
        <v>-0.11052382579259092</v>
      </c>
      <c r="AC158" s="6">
        <f t="shared" si="39"/>
        <v>9.1018416795447497E-3</v>
      </c>
      <c r="AD158" s="6">
        <f t="shared" si="40"/>
        <v>4.4946788936332499E-2</v>
      </c>
      <c r="AE158" s="6">
        <f t="shared" si="41"/>
        <v>-2.6274479625610345E-2</v>
      </c>
      <c r="AF158" s="6">
        <f t="shared" si="42"/>
        <v>2.4899315846946768E-2</v>
      </c>
    </row>
    <row r="159" spans="3:32" x14ac:dyDescent="0.3">
      <c r="C159" s="6">
        <v>4.3130556196045514E-3</v>
      </c>
      <c r="D159" s="6">
        <v>1.7003832448698949E-2</v>
      </c>
      <c r="E159" s="6">
        <v>-1.4000436264893463E-2</v>
      </c>
      <c r="F159" s="6">
        <v>7.0281675141135366E-3</v>
      </c>
      <c r="G159" s="6">
        <v>2.4862899988415111E-2</v>
      </c>
      <c r="H159" s="6">
        <v>-5.2154262690361558E-3</v>
      </c>
      <c r="I159" s="6">
        <v>2.4573832028983205E-2</v>
      </c>
      <c r="J159" s="6">
        <v>-3.6627586984919781E-2</v>
      </c>
      <c r="K159" s="6">
        <v>-2.0355376020253106E-2</v>
      </c>
      <c r="L159" s="6">
        <v>-4.7766326230091333E-2</v>
      </c>
      <c r="M159" s="6">
        <v>6.564934131150094E-3</v>
      </c>
      <c r="N159" s="6">
        <v>-1.8418111320567261E-2</v>
      </c>
      <c r="O159" s="6">
        <v>-4.5179615971545573E-2</v>
      </c>
      <c r="P159" s="6">
        <v>-2.1013640650770937E-2</v>
      </c>
      <c r="S159" s="6">
        <f t="shared" si="29"/>
        <v>2.5250376317946174E-3</v>
      </c>
      <c r="T159" s="6">
        <f t="shared" si="30"/>
        <v>7.1743559522544527E-3</v>
      </c>
      <c r="U159" s="6">
        <f t="shared" si="31"/>
        <v>-1.6559790411103191E-2</v>
      </c>
      <c r="V159" s="6">
        <f t="shared" si="32"/>
        <v>4.3188191786424305E-3</v>
      </c>
      <c r="W159" s="6">
        <f t="shared" si="33"/>
        <v>2.400612217580432E-2</v>
      </c>
      <c r="X159" s="6">
        <f t="shared" si="34"/>
        <v>-6.6950659902657878E-3</v>
      </c>
      <c r="Y159" s="6">
        <f t="shared" si="35"/>
        <v>2.0708244718787277E-2</v>
      </c>
      <c r="Z159" s="6">
        <f t="shared" si="36"/>
        <v>-2.8488705449089585E-2</v>
      </c>
      <c r="AA159" s="6">
        <f t="shared" si="37"/>
        <v>-2.5624061362786062E-2</v>
      </c>
      <c r="AB159" s="6">
        <f t="shared" si="38"/>
        <v>-5.0020449601331778E-2</v>
      </c>
      <c r="AC159" s="6">
        <f t="shared" si="39"/>
        <v>2.4061803713047005E-3</v>
      </c>
      <c r="AD159" s="6">
        <f t="shared" si="40"/>
        <v>-3.0695462998008339E-2</v>
      </c>
      <c r="AE159" s="6">
        <f t="shared" si="41"/>
        <v>-4.2108549323219314E-2</v>
      </c>
      <c r="AF159" s="6">
        <f t="shared" si="42"/>
        <v>-1.7485939326325386E-2</v>
      </c>
    </row>
    <row r="160" spans="3:32" x14ac:dyDescent="0.3">
      <c r="C160" s="6">
        <v>-4.9032769596374787E-2</v>
      </c>
      <c r="D160" s="6">
        <v>5.3017957676272764E-2</v>
      </c>
      <c r="E160" s="6">
        <v>-1.6817747762663812E-2</v>
      </c>
      <c r="F160" s="6">
        <v>-5.0448683253868322E-3</v>
      </c>
      <c r="G160" s="6">
        <v>-5.0408486336816029E-2</v>
      </c>
      <c r="H160" s="6">
        <v>1.9645494553435752E-3</v>
      </c>
      <c r="I160" s="6">
        <v>8.0037622975390327E-3</v>
      </c>
      <c r="J160" s="6">
        <v>8.5417751154351768E-2</v>
      </c>
      <c r="K160" s="6">
        <v>1.128847717834683E-2</v>
      </c>
      <c r="L160" s="6">
        <v>1.8420984753385494E-2</v>
      </c>
      <c r="M160" s="6">
        <v>5.5056856003747406E-2</v>
      </c>
      <c r="N160" s="6">
        <v>1.0190690191534436E-2</v>
      </c>
      <c r="O160" s="6">
        <v>4.5333929074922886E-3</v>
      </c>
      <c r="P160" s="6">
        <v>-1.3452040467279738E-2</v>
      </c>
      <c r="S160" s="6">
        <f t="shared" si="29"/>
        <v>-5.0820787584184721E-2</v>
      </c>
      <c r="T160" s="6">
        <f t="shared" si="30"/>
        <v>4.3188481179828264E-2</v>
      </c>
      <c r="U160" s="6">
        <f t="shared" si="31"/>
        <v>-1.937710190887354E-2</v>
      </c>
      <c r="V160" s="6">
        <f t="shared" si="32"/>
        <v>-7.7542166608579391E-3</v>
      </c>
      <c r="W160" s="6">
        <f t="shared" si="33"/>
        <v>-5.1265264149426816E-2</v>
      </c>
      <c r="X160" s="6">
        <f t="shared" si="34"/>
        <v>4.8490973411394319E-4</v>
      </c>
      <c r="Y160" s="6">
        <f t="shared" si="35"/>
        <v>4.1381749873431028E-3</v>
      </c>
      <c r="Z160" s="6">
        <f t="shared" si="36"/>
        <v>9.3556632690181968E-2</v>
      </c>
      <c r="AA160" s="6">
        <f t="shared" si="37"/>
        <v>6.0197918358138765E-3</v>
      </c>
      <c r="AB160" s="6">
        <f t="shared" si="38"/>
        <v>1.6166861382145049E-2</v>
      </c>
      <c r="AC160" s="6">
        <f t="shared" si="39"/>
        <v>5.089810224390201E-2</v>
      </c>
      <c r="AD160" s="6">
        <f t="shared" si="40"/>
        <v>-2.0866614859066414E-3</v>
      </c>
      <c r="AE160" s="6">
        <f t="shared" si="41"/>
        <v>7.6044595558185466E-3</v>
      </c>
      <c r="AF160" s="6">
        <f t="shared" si="42"/>
        <v>-9.9243391428341862E-3</v>
      </c>
    </row>
    <row r="161" spans="3:32" x14ac:dyDescent="0.3">
      <c r="C161" s="6">
        <v>-2.7114799141222005E-2</v>
      </c>
      <c r="D161" s="6">
        <v>-6.1078971574034066E-2</v>
      </c>
      <c r="E161" s="6">
        <v>-1.0447679028990815E-2</v>
      </c>
      <c r="F161" s="6">
        <v>1.302660215994348E-3</v>
      </c>
      <c r="G161" s="6">
        <v>-3.9002434668046884E-2</v>
      </c>
      <c r="H161" s="6">
        <v>-2.3696186933897148E-2</v>
      </c>
      <c r="I161" s="6">
        <v>1.840296427834465E-2</v>
      </c>
      <c r="J161" s="6">
        <v>4.0922240122063407E-2</v>
      </c>
      <c r="K161" s="6">
        <v>-2.876473288413928E-2</v>
      </c>
      <c r="L161" s="6">
        <v>-4.484819335518013E-2</v>
      </c>
      <c r="M161" s="6">
        <v>2.1140493190398062E-2</v>
      </c>
      <c r="N161" s="6">
        <v>-0.172084982181827</v>
      </c>
      <c r="O161" s="6">
        <v>2.3121678949954184E-2</v>
      </c>
      <c r="P161" s="6">
        <v>-3.9965851643192829E-2</v>
      </c>
      <c r="S161" s="6">
        <f t="shared" si="29"/>
        <v>-2.8902817129031939E-2</v>
      </c>
      <c r="T161" s="6">
        <f t="shared" si="30"/>
        <v>-7.0908448070478566E-2</v>
      </c>
      <c r="U161" s="6">
        <f t="shared" si="31"/>
        <v>-1.3007033175200541E-2</v>
      </c>
      <c r="V161" s="6">
        <f t="shared" si="32"/>
        <v>-1.4066881194767585E-3</v>
      </c>
      <c r="W161" s="6">
        <f t="shared" si="33"/>
        <v>-3.9859212480657671E-2</v>
      </c>
      <c r="X161" s="6">
        <f t="shared" si="34"/>
        <v>-2.5175826655126781E-2</v>
      </c>
      <c r="Y161" s="6">
        <f t="shared" si="35"/>
        <v>1.453737696814872E-2</v>
      </c>
      <c r="Z161" s="6">
        <f t="shared" si="36"/>
        <v>4.90611216578936E-2</v>
      </c>
      <c r="AA161" s="6">
        <f t="shared" si="37"/>
        <v>-3.4033418226672232E-2</v>
      </c>
      <c r="AB161" s="6">
        <f t="shared" si="38"/>
        <v>-4.7102316726420575E-2</v>
      </c>
      <c r="AC161" s="6">
        <f t="shared" si="39"/>
        <v>1.6981739430552669E-2</v>
      </c>
      <c r="AD161" s="6">
        <f t="shared" si="40"/>
        <v>-0.18436233385926806</v>
      </c>
      <c r="AE161" s="6">
        <f t="shared" si="41"/>
        <v>2.6192745598280442E-2</v>
      </c>
      <c r="AF161" s="6">
        <f t="shared" si="42"/>
        <v>-3.6438150318747274E-2</v>
      </c>
    </row>
    <row r="162" spans="3:32" x14ac:dyDescent="0.3">
      <c r="C162" s="6">
        <v>-2.9434680749242069E-2</v>
      </c>
      <c r="D162" s="6">
        <v>1.3157122771778593E-2</v>
      </c>
      <c r="E162" s="6">
        <v>2.3775265493658267E-2</v>
      </c>
      <c r="F162" s="6">
        <v>2.0410975567777729E-2</v>
      </c>
      <c r="G162" s="6">
        <v>7.7385046605772362E-2</v>
      </c>
      <c r="H162" s="6">
        <v>3.1471757622371407E-2</v>
      </c>
      <c r="I162" s="6">
        <v>-5.0300033614477345E-3</v>
      </c>
      <c r="J162" s="6">
        <v>-0.1382394451861558</v>
      </c>
      <c r="K162" s="6">
        <v>2.3122417420854212E-2</v>
      </c>
      <c r="L162" s="6">
        <v>0.13262287277273044</v>
      </c>
      <c r="M162" s="6">
        <v>2.0554320498149006E-2</v>
      </c>
      <c r="N162" s="6">
        <v>6.4900855129856799E-2</v>
      </c>
      <c r="O162" s="6">
        <v>-4.2565104806499589E-2</v>
      </c>
      <c r="P162" s="6">
        <v>-1.7647890254253347E-2</v>
      </c>
      <c r="S162" s="6">
        <f t="shared" si="29"/>
        <v>-3.1222698737052003E-2</v>
      </c>
      <c r="T162" s="6">
        <f t="shared" si="30"/>
        <v>3.3276462753340959E-3</v>
      </c>
      <c r="U162" s="6">
        <f t="shared" si="31"/>
        <v>2.1215911347448539E-2</v>
      </c>
      <c r="V162" s="6">
        <f t="shared" si="32"/>
        <v>1.7701627232306623E-2</v>
      </c>
      <c r="W162" s="6">
        <f t="shared" si="33"/>
        <v>7.6528268793161575E-2</v>
      </c>
      <c r="X162" s="6">
        <f t="shared" si="34"/>
        <v>2.9992117901141774E-2</v>
      </c>
      <c r="Y162" s="6">
        <f t="shared" si="35"/>
        <v>-8.8955906716436644E-3</v>
      </c>
      <c r="Z162" s="6">
        <f t="shared" si="36"/>
        <v>-0.1301005636503256</v>
      </c>
      <c r="AA162" s="6">
        <f t="shared" si="37"/>
        <v>1.7853732078321256E-2</v>
      </c>
      <c r="AB162" s="6">
        <f t="shared" si="38"/>
        <v>0.13036874940148999</v>
      </c>
      <c r="AC162" s="6">
        <f t="shared" si="39"/>
        <v>1.6395566738303613E-2</v>
      </c>
      <c r="AD162" s="6">
        <f t="shared" si="40"/>
        <v>5.2623503452415718E-2</v>
      </c>
      <c r="AE162" s="6">
        <f t="shared" si="41"/>
        <v>-3.9494038158173331E-2</v>
      </c>
      <c r="AF162" s="6">
        <f t="shared" si="42"/>
        <v>-1.4120188929807796E-2</v>
      </c>
    </row>
    <row r="163" spans="3:32" x14ac:dyDescent="0.3">
      <c r="C163" s="6">
        <v>-3.1807611203474903E-2</v>
      </c>
      <c r="D163" s="6">
        <v>3.5033725861122911E-2</v>
      </c>
      <c r="E163" s="6">
        <v>3.4432841884476414E-2</v>
      </c>
      <c r="F163" s="6">
        <v>2.1252156453090889E-2</v>
      </c>
      <c r="G163" s="6">
        <v>-4.7831655338815733E-2</v>
      </c>
      <c r="H163" s="6">
        <v>3.8677535174221463E-2</v>
      </c>
      <c r="I163" s="6">
        <v>5.5113687824549361E-2</v>
      </c>
      <c r="J163" s="6">
        <v>2.7586224390798823E-3</v>
      </c>
      <c r="K163" s="6">
        <v>4.8976888098646067E-2</v>
      </c>
      <c r="L163" s="6">
        <v>8.4923338448672815E-3</v>
      </c>
      <c r="M163" s="6">
        <v>1.7954860556595852E-2</v>
      </c>
      <c r="N163" s="6">
        <v>9.5728094416522941E-2</v>
      </c>
      <c r="O163" s="6">
        <v>6.8738084342659544E-2</v>
      </c>
      <c r="P163" s="6">
        <v>2.6543519922660738E-2</v>
      </c>
      <c r="S163" s="6">
        <f t="shared" si="29"/>
        <v>-3.3595629191284837E-2</v>
      </c>
      <c r="T163" s="6">
        <f t="shared" si="30"/>
        <v>2.5204249364678414E-2</v>
      </c>
      <c r="U163" s="6">
        <f t="shared" si="31"/>
        <v>3.187348773826669E-2</v>
      </c>
      <c r="V163" s="6">
        <f t="shared" si="32"/>
        <v>1.8542808117619783E-2</v>
      </c>
      <c r="W163" s="6">
        <f t="shared" si="33"/>
        <v>-4.868843315142652E-2</v>
      </c>
      <c r="X163" s="6">
        <f t="shared" si="34"/>
        <v>3.7197895452991833E-2</v>
      </c>
      <c r="Y163" s="6">
        <f t="shared" si="35"/>
        <v>5.1248100514353433E-2</v>
      </c>
      <c r="Z163" s="6">
        <f t="shared" si="36"/>
        <v>1.0897503974910079E-2</v>
      </c>
      <c r="AA163" s="6">
        <f t="shared" si="37"/>
        <v>4.3708202756113111E-2</v>
      </c>
      <c r="AB163" s="6">
        <f t="shared" si="38"/>
        <v>6.2382104736268349E-3</v>
      </c>
      <c r="AC163" s="6">
        <f t="shared" si="39"/>
        <v>1.379610679675046E-2</v>
      </c>
      <c r="AD163" s="6">
        <f t="shared" si="40"/>
        <v>8.345074273908186E-2</v>
      </c>
      <c r="AE163" s="6">
        <f t="shared" si="41"/>
        <v>7.1809150990985796E-2</v>
      </c>
      <c r="AF163" s="6">
        <f t="shared" si="42"/>
        <v>3.0071221247106289E-2</v>
      </c>
    </row>
    <row r="164" spans="3:32" x14ac:dyDescent="0.3">
      <c r="C164" s="6">
        <v>5.7647067608566346E-2</v>
      </c>
      <c r="D164" s="6">
        <v>-0.17210884455753109</v>
      </c>
      <c r="E164" s="6">
        <v>-6.7536600343915731E-2</v>
      </c>
      <c r="F164" s="6">
        <v>1.8851212570764792E-2</v>
      </c>
      <c r="G164" s="6">
        <v>-4.8817868592728776E-3</v>
      </c>
      <c r="H164" s="6">
        <v>1.1978218681348254E-2</v>
      </c>
      <c r="I164" s="6">
        <v>6.2399135641081203E-2</v>
      </c>
      <c r="J164" s="6">
        <v>3.6072441216701404E-2</v>
      </c>
      <c r="K164" s="6">
        <v>5.9915199338169696E-2</v>
      </c>
      <c r="L164" s="6">
        <v>-2.2636841231032191E-2</v>
      </c>
      <c r="M164" s="6">
        <v>-2.5257970741572273E-2</v>
      </c>
      <c r="N164" s="6">
        <v>4.3482418014136909E-2</v>
      </c>
      <c r="O164" s="6">
        <v>1.7921845118861295E-2</v>
      </c>
      <c r="P164" s="6">
        <v>8.1068845505785622E-2</v>
      </c>
      <c r="S164" s="6">
        <f t="shared" si="29"/>
        <v>5.5859049620756412E-2</v>
      </c>
      <c r="T164" s="6">
        <f t="shared" si="30"/>
        <v>-0.18193832105397559</v>
      </c>
      <c r="U164" s="6">
        <f t="shared" si="31"/>
        <v>-7.0095954490125456E-2</v>
      </c>
      <c r="V164" s="6">
        <f t="shared" si="32"/>
        <v>1.6141864235293686E-2</v>
      </c>
      <c r="W164" s="6">
        <f t="shared" si="33"/>
        <v>-5.7385646718836674E-3</v>
      </c>
      <c r="X164" s="6">
        <f t="shared" si="34"/>
        <v>1.0498578960118621E-2</v>
      </c>
      <c r="Y164" s="6">
        <f t="shared" si="35"/>
        <v>5.8533548330885275E-2</v>
      </c>
      <c r="Z164" s="6">
        <f t="shared" si="36"/>
        <v>4.4211322752531604E-2</v>
      </c>
      <c r="AA164" s="6">
        <f t="shared" si="37"/>
        <v>5.464651399563674E-2</v>
      </c>
      <c r="AB164" s="6">
        <f t="shared" si="38"/>
        <v>-2.4890964602272636E-2</v>
      </c>
      <c r="AC164" s="6">
        <f t="shared" si="39"/>
        <v>-2.9416724501417666E-2</v>
      </c>
      <c r="AD164" s="6">
        <f t="shared" si="40"/>
        <v>3.1205066336695831E-2</v>
      </c>
      <c r="AE164" s="6">
        <f t="shared" si="41"/>
        <v>2.0992911767187553E-2</v>
      </c>
      <c r="AF164" s="6">
        <f t="shared" si="42"/>
        <v>8.459654683023117E-2</v>
      </c>
    </row>
    <row r="165" spans="3:32" x14ac:dyDescent="0.3">
      <c r="C165" s="6">
        <v>-3.6110301266312858E-2</v>
      </c>
      <c r="D165" s="6">
        <v>7.8228017163709224E-2</v>
      </c>
      <c r="E165" s="6">
        <v>-1.2875870469575232E-2</v>
      </c>
      <c r="F165" s="6">
        <v>-9.6026052095827485E-2</v>
      </c>
      <c r="G165" s="6">
        <v>-0.11230498801063743</v>
      </c>
      <c r="H165" s="6">
        <v>-3.6548420199219084E-2</v>
      </c>
      <c r="I165" s="6">
        <v>3.6108503500613634E-2</v>
      </c>
      <c r="J165" s="6">
        <v>-3.3321407844811558E-2</v>
      </c>
      <c r="K165" s="6">
        <v>5.740540856430848E-2</v>
      </c>
      <c r="L165" s="6">
        <v>-5.9541814860866273E-2</v>
      </c>
      <c r="M165" s="6">
        <v>0.10968920366176307</v>
      </c>
      <c r="N165" s="6">
        <v>0.29550086218968008</v>
      </c>
      <c r="O165" s="6">
        <v>2.6706403612974095E-2</v>
      </c>
      <c r="P165" s="6">
        <v>-9.4765530644836445E-3</v>
      </c>
      <c r="S165" s="6">
        <f t="shared" si="29"/>
        <v>-3.7898319254122792E-2</v>
      </c>
      <c r="T165" s="6">
        <f t="shared" si="30"/>
        <v>6.8398540667264723E-2</v>
      </c>
      <c r="U165" s="6">
        <f t="shared" si="31"/>
        <v>-1.5435224615784959E-2</v>
      </c>
      <c r="V165" s="6">
        <f t="shared" si="32"/>
        <v>-9.8735400431298595E-2</v>
      </c>
      <c r="W165" s="6">
        <f t="shared" si="33"/>
        <v>-0.11316176582324822</v>
      </c>
      <c r="X165" s="6">
        <f t="shared" si="34"/>
        <v>-3.8028059920448713E-2</v>
      </c>
      <c r="Y165" s="6">
        <f t="shared" si="35"/>
        <v>3.2242916190417706E-2</v>
      </c>
      <c r="Z165" s="6">
        <f t="shared" si="36"/>
        <v>-2.5182526308981362E-2</v>
      </c>
      <c r="AA165" s="6">
        <f t="shared" si="37"/>
        <v>5.2136723221775524E-2</v>
      </c>
      <c r="AB165" s="6">
        <f t="shared" si="38"/>
        <v>-6.1795938232106717E-2</v>
      </c>
      <c r="AC165" s="6">
        <f t="shared" si="39"/>
        <v>0.10553044990191768</v>
      </c>
      <c r="AD165" s="6">
        <f t="shared" si="40"/>
        <v>0.28322351051223899</v>
      </c>
      <c r="AE165" s="6">
        <f t="shared" si="41"/>
        <v>2.9777470261300353E-2</v>
      </c>
      <c r="AF165" s="6">
        <f t="shared" si="42"/>
        <v>-5.9488517400380931E-3</v>
      </c>
    </row>
    <row r="166" spans="3:32" x14ac:dyDescent="0.3">
      <c r="C166" s="6">
        <v>7.1902719493774789E-2</v>
      </c>
      <c r="D166" s="6">
        <v>6.7091290546472768E-2</v>
      </c>
      <c r="E166" s="6">
        <v>-3.2266766365797958E-3</v>
      </c>
      <c r="F166" s="6">
        <v>-5.936800239137093E-4</v>
      </c>
      <c r="G166" s="6">
        <v>-1.6112745100844924E-2</v>
      </c>
      <c r="H166" s="6">
        <v>-2.0531645593625599E-3</v>
      </c>
      <c r="I166" s="6">
        <v>3.0529042139645631E-2</v>
      </c>
      <c r="J166" s="6">
        <v>-6.4308903302904025E-3</v>
      </c>
      <c r="K166" s="6">
        <v>6.907351530932275E-2</v>
      </c>
      <c r="L166" s="6">
        <v>-6.559766999073781E-4</v>
      </c>
      <c r="M166" s="6">
        <v>6.2609718493390421E-2</v>
      </c>
      <c r="N166" s="6">
        <v>7.2289191782761025E-2</v>
      </c>
      <c r="O166" s="6">
        <v>0.15317541449462227</v>
      </c>
      <c r="P166" s="6">
        <v>-1.191463691683395E-2</v>
      </c>
      <c r="S166" s="6">
        <f t="shared" si="29"/>
        <v>7.0114701505964855E-2</v>
      </c>
      <c r="T166" s="6">
        <f t="shared" si="30"/>
        <v>5.7261814050028267E-2</v>
      </c>
      <c r="U166" s="6">
        <f t="shared" si="31"/>
        <v>-5.7860307827895226E-3</v>
      </c>
      <c r="V166" s="6">
        <f t="shared" si="32"/>
        <v>-3.3030283593848157E-3</v>
      </c>
      <c r="W166" s="6">
        <f t="shared" si="33"/>
        <v>-1.6969522913455715E-2</v>
      </c>
      <c r="X166" s="6">
        <f t="shared" si="34"/>
        <v>-3.5328042805921919E-3</v>
      </c>
      <c r="Y166" s="6">
        <f t="shared" si="35"/>
        <v>2.6663454829449703E-2</v>
      </c>
      <c r="Z166" s="6">
        <f t="shared" si="36"/>
        <v>1.7079912055397942E-3</v>
      </c>
      <c r="AA166" s="6">
        <f t="shared" si="37"/>
        <v>6.3804829966789794E-2</v>
      </c>
      <c r="AB166" s="6">
        <f t="shared" si="38"/>
        <v>-2.9101000711478247E-3</v>
      </c>
      <c r="AC166" s="6">
        <f t="shared" si="39"/>
        <v>5.8450964733545024E-2</v>
      </c>
      <c r="AD166" s="6">
        <f t="shared" si="40"/>
        <v>6.0011840105319944E-2</v>
      </c>
      <c r="AE166" s="6">
        <f t="shared" si="41"/>
        <v>0.15624648114294853</v>
      </c>
      <c r="AF166" s="6">
        <f t="shared" si="42"/>
        <v>-8.3869355923883986E-3</v>
      </c>
    </row>
    <row r="167" spans="3:32" x14ac:dyDescent="0.3">
      <c r="C167" s="6">
        <v>3.876369232181725E-3</v>
      </c>
      <c r="D167" s="6">
        <v>-3.2350596286647056E-2</v>
      </c>
      <c r="E167" s="6">
        <v>-5.3879311648257812E-4</v>
      </c>
      <c r="F167" s="6">
        <v>-3.0532120333571007E-2</v>
      </c>
      <c r="G167" s="6">
        <v>-5.2027187248463051E-2</v>
      </c>
      <c r="H167" s="6">
        <v>-5.4363652195537196E-2</v>
      </c>
      <c r="I167" s="6">
        <v>-7.4840224342328135E-2</v>
      </c>
      <c r="J167" s="6">
        <v>-4.8145210906185412E-2</v>
      </c>
      <c r="K167" s="6">
        <v>-0.10508015768312563</v>
      </c>
      <c r="L167" s="6">
        <v>-0.1530576242640824</v>
      </c>
      <c r="M167" s="6">
        <v>-6.6957485961071641E-3</v>
      </c>
      <c r="N167" s="6">
        <v>-0.16188725494707254</v>
      </c>
      <c r="O167" s="6">
        <v>-0.10876457347717644</v>
      </c>
      <c r="P167" s="6">
        <v>-3.1028742238693067E-2</v>
      </c>
      <c r="S167" s="6">
        <f t="shared" si="29"/>
        <v>2.0883512443717915E-3</v>
      </c>
      <c r="T167" s="6">
        <f t="shared" si="30"/>
        <v>-4.2180072783091549E-2</v>
      </c>
      <c r="U167" s="6">
        <f t="shared" si="31"/>
        <v>-3.0981472626923049E-3</v>
      </c>
      <c r="V167" s="6">
        <f t="shared" si="32"/>
        <v>-3.3241468669042117E-2</v>
      </c>
      <c r="W167" s="6">
        <f t="shared" si="33"/>
        <v>-5.2883965061073838E-2</v>
      </c>
      <c r="X167" s="6">
        <f t="shared" si="34"/>
        <v>-5.5843291916766825E-2</v>
      </c>
      <c r="Y167" s="6">
        <f t="shared" si="35"/>
        <v>-7.8705811652524063E-2</v>
      </c>
      <c r="Z167" s="6">
        <f t="shared" si="36"/>
        <v>-4.0006329370355212E-2</v>
      </c>
      <c r="AA167" s="6">
        <f t="shared" si="37"/>
        <v>-0.11034884302565859</v>
      </c>
      <c r="AB167" s="6">
        <f t="shared" si="38"/>
        <v>-0.15531174763532285</v>
      </c>
      <c r="AC167" s="6">
        <f t="shared" si="39"/>
        <v>-1.0854502355952558E-2</v>
      </c>
      <c r="AD167" s="6">
        <f t="shared" si="40"/>
        <v>-0.17416460662451361</v>
      </c>
      <c r="AE167" s="6">
        <f t="shared" si="41"/>
        <v>-0.10569350682885019</v>
      </c>
      <c r="AF167" s="6">
        <f t="shared" si="42"/>
        <v>-2.7501040914247515E-2</v>
      </c>
    </row>
    <row r="168" spans="3:32" x14ac:dyDescent="0.3">
      <c r="C168" s="6">
        <v>-1.5224242014051039E-2</v>
      </c>
      <c r="D168" s="6">
        <v>-7.337008505128359E-2</v>
      </c>
      <c r="E168" s="6">
        <v>-2.7870656417808899E-2</v>
      </c>
      <c r="F168" s="6">
        <v>-5.3622034841108925E-2</v>
      </c>
      <c r="G168" s="6">
        <v>-0.14234965707207572</v>
      </c>
      <c r="H168" s="6">
        <v>-2.0053836240539257E-2</v>
      </c>
      <c r="I168" s="6">
        <v>-2.2712276455344998E-2</v>
      </c>
      <c r="J168" s="6">
        <v>-8.742163495865915E-3</v>
      </c>
      <c r="K168" s="6">
        <v>-4.2752071389219125E-2</v>
      </c>
      <c r="L168" s="6">
        <v>-8.7683630338544358E-2</v>
      </c>
      <c r="M168" s="6">
        <v>-3.7189566529049159E-2</v>
      </c>
      <c r="N168" s="6">
        <v>-0.17687023606295368</v>
      </c>
      <c r="O168" s="6">
        <v>-6.2095712342624294E-2</v>
      </c>
      <c r="P168" s="6">
        <v>-0.1127954941453444</v>
      </c>
      <c r="S168" s="6">
        <f t="shared" si="29"/>
        <v>-1.7012260001860971E-2</v>
      </c>
      <c r="T168" s="6">
        <f t="shared" si="30"/>
        <v>-8.319956154772809E-2</v>
      </c>
      <c r="U168" s="6">
        <f t="shared" si="31"/>
        <v>-3.0430010564018627E-2</v>
      </c>
      <c r="V168" s="6">
        <f t="shared" si="32"/>
        <v>-5.6331383176580034E-2</v>
      </c>
      <c r="W168" s="6">
        <f t="shared" si="33"/>
        <v>-0.14320643488468651</v>
      </c>
      <c r="X168" s="6">
        <f t="shared" si="34"/>
        <v>-2.153347596176889E-2</v>
      </c>
      <c r="Y168" s="6">
        <f t="shared" si="35"/>
        <v>-2.6577863765540926E-2</v>
      </c>
      <c r="Z168" s="6">
        <f t="shared" si="36"/>
        <v>-6.0328196003571824E-4</v>
      </c>
      <c r="AA168" s="6">
        <f t="shared" si="37"/>
        <v>-4.802075673175208E-2</v>
      </c>
      <c r="AB168" s="6">
        <f t="shared" si="38"/>
        <v>-8.993775370978481E-2</v>
      </c>
      <c r="AC168" s="6">
        <f t="shared" si="39"/>
        <v>-4.1348320288894555E-2</v>
      </c>
      <c r="AD168" s="6">
        <f t="shared" si="40"/>
        <v>-0.18914758774039475</v>
      </c>
      <c r="AE168" s="6">
        <f t="shared" si="41"/>
        <v>-5.9024645694298036E-2</v>
      </c>
      <c r="AF168" s="6">
        <f t="shared" si="42"/>
        <v>-0.10926779282089885</v>
      </c>
    </row>
    <row r="169" spans="3:32" x14ac:dyDescent="0.3">
      <c r="C169" s="6">
        <v>-1.1519954393436168E-2</v>
      </c>
      <c r="D169" s="6">
        <v>-0.10303284645061994</v>
      </c>
      <c r="E169" s="6">
        <v>-9.3129864549867832E-3</v>
      </c>
      <c r="F169" s="6">
        <v>2.0806236690966678E-2</v>
      </c>
      <c r="G169" s="6">
        <v>-0.10920585583704641</v>
      </c>
      <c r="H169" s="6">
        <v>-6.3345840289369834E-2</v>
      </c>
      <c r="I169" s="6">
        <v>-6.5780437362037522E-2</v>
      </c>
      <c r="J169" s="6">
        <v>-5.3092087112069405E-2</v>
      </c>
      <c r="K169" s="6">
        <v>-0.15563169866206281</v>
      </c>
      <c r="L169" s="6">
        <v>8.4513399326754165E-3</v>
      </c>
      <c r="M169" s="6">
        <v>3.4147655981979805E-3</v>
      </c>
      <c r="N169" s="6">
        <v>-1.1776482378329952E-4</v>
      </c>
      <c r="O169" s="6">
        <v>-8.5455887594335034E-2</v>
      </c>
      <c r="P169" s="6">
        <v>3.0467348564188628E-2</v>
      </c>
      <c r="S169" s="6">
        <f t="shared" si="29"/>
        <v>-1.3307972381246102E-2</v>
      </c>
      <c r="T169" s="6">
        <f t="shared" si="30"/>
        <v>-0.11286232294706444</v>
      </c>
      <c r="U169" s="6">
        <f t="shared" si="31"/>
        <v>-1.187234060119651E-2</v>
      </c>
      <c r="V169" s="6">
        <f t="shared" si="32"/>
        <v>1.8096888355495572E-2</v>
      </c>
      <c r="W169" s="6">
        <f t="shared" si="33"/>
        <v>-0.1100626336496572</v>
      </c>
      <c r="X169" s="6">
        <f t="shared" si="34"/>
        <v>-6.4825480010599471E-2</v>
      </c>
      <c r="Y169" s="6">
        <f t="shared" si="35"/>
        <v>-6.964602467223345E-2</v>
      </c>
      <c r="Z169" s="6">
        <f t="shared" si="36"/>
        <v>-4.4953205576239205E-2</v>
      </c>
      <c r="AA169" s="6">
        <f t="shared" si="37"/>
        <v>-0.16090038400459575</v>
      </c>
      <c r="AB169" s="6">
        <f t="shared" si="38"/>
        <v>6.1972165614349699E-3</v>
      </c>
      <c r="AC169" s="6">
        <f t="shared" si="39"/>
        <v>-7.4398816164741302E-4</v>
      </c>
      <c r="AD169" s="6">
        <f t="shared" si="40"/>
        <v>-1.2395116501224377E-2</v>
      </c>
      <c r="AE169" s="6">
        <f t="shared" si="41"/>
        <v>-8.2384820946008783E-2</v>
      </c>
      <c r="AF169" s="6">
        <f t="shared" si="42"/>
        <v>3.399504988863418E-2</v>
      </c>
    </row>
    <row r="170" spans="3:32" x14ac:dyDescent="0.3">
      <c r="C170" s="6">
        <v>-0.1131664029135338</v>
      </c>
      <c r="D170" s="6">
        <v>7.6671775835099779E-2</v>
      </c>
      <c r="E170" s="6">
        <v>-1.2150506960591625E-2</v>
      </c>
      <c r="F170" s="6">
        <v>-4.9339607620066464E-2</v>
      </c>
      <c r="G170" s="6">
        <v>-4.9517576802501802E-2</v>
      </c>
      <c r="H170" s="6">
        <v>-6.5458441181848268E-3</v>
      </c>
      <c r="I170" s="6">
        <v>-2.929032183900087E-2</v>
      </c>
      <c r="J170" s="6">
        <v>-0.11778303565638351</v>
      </c>
      <c r="K170" s="6">
        <v>5.8891044901013288E-2</v>
      </c>
      <c r="L170" s="6">
        <v>-0.17182726339933602</v>
      </c>
      <c r="M170" s="6">
        <v>-6.3883170173687248E-2</v>
      </c>
      <c r="N170" s="6">
        <v>1.554223514941489E-2</v>
      </c>
      <c r="O170" s="6">
        <v>-0.1232433313918978</v>
      </c>
      <c r="P170" s="6">
        <v>-2.3705997586144723E-2</v>
      </c>
      <c r="S170" s="6">
        <f t="shared" si="29"/>
        <v>-0.11495442090134374</v>
      </c>
      <c r="T170" s="6">
        <f t="shared" si="30"/>
        <v>6.6842299338655278E-2</v>
      </c>
      <c r="U170" s="6">
        <f t="shared" si="31"/>
        <v>-1.4709861106801352E-2</v>
      </c>
      <c r="V170" s="6">
        <f t="shared" si="32"/>
        <v>-5.2048955955537574E-2</v>
      </c>
      <c r="W170" s="6">
        <f t="shared" si="33"/>
        <v>-5.0374354615112589E-2</v>
      </c>
      <c r="X170" s="6">
        <f t="shared" si="34"/>
        <v>-8.025483839414458E-3</v>
      </c>
      <c r="Y170" s="6">
        <f t="shared" si="35"/>
        <v>-3.3155909149196798E-2</v>
      </c>
      <c r="Z170" s="6">
        <f t="shared" si="36"/>
        <v>-0.10964415412055331</v>
      </c>
      <c r="AA170" s="6">
        <f t="shared" si="37"/>
        <v>5.3622359558480333E-2</v>
      </c>
      <c r="AB170" s="6">
        <f t="shared" si="38"/>
        <v>-0.17408138677057647</v>
      </c>
      <c r="AC170" s="6">
        <f t="shared" si="39"/>
        <v>-6.8041923933532644E-2</v>
      </c>
      <c r="AD170" s="6">
        <f t="shared" si="40"/>
        <v>3.2648834719738121E-3</v>
      </c>
      <c r="AE170" s="6">
        <f t="shared" si="41"/>
        <v>-0.12017226474357155</v>
      </c>
      <c r="AF170" s="6">
        <f t="shared" si="42"/>
        <v>-2.0178296261699171E-2</v>
      </c>
    </row>
    <row r="171" spans="3:32" x14ac:dyDescent="0.3">
      <c r="C171" s="6">
        <v>2.2142835386753528E-2</v>
      </c>
      <c r="D171" s="6">
        <v>-3.3173447533126628E-2</v>
      </c>
      <c r="E171" s="6">
        <v>6.9247025956766066E-3</v>
      </c>
      <c r="F171" s="6">
        <v>-9.1053196754976515E-3</v>
      </c>
      <c r="G171" s="6">
        <v>-5.0933555738266389E-3</v>
      </c>
      <c r="H171" s="6">
        <v>-8.8289593201292937E-3</v>
      </c>
      <c r="I171" s="6">
        <v>-1.885672851906689E-2</v>
      </c>
      <c r="J171" s="6">
        <v>7.6832432043288046E-2</v>
      </c>
      <c r="K171" s="6">
        <v>2.3773065318071825E-2</v>
      </c>
      <c r="L171" s="6">
        <v>3.6145282809341144E-2</v>
      </c>
      <c r="M171" s="6">
        <v>5.8229351944306576E-2</v>
      </c>
      <c r="N171" s="6">
        <v>5.3285742281593586E-2</v>
      </c>
      <c r="O171" s="6">
        <v>0.14415271474091751</v>
      </c>
      <c r="P171" s="6">
        <v>2.3574375341795309E-2</v>
      </c>
      <c r="S171" s="6">
        <f t="shared" si="29"/>
        <v>2.0354817398943594E-2</v>
      </c>
      <c r="T171" s="6">
        <f t="shared" si="30"/>
        <v>-4.3002924029571121E-2</v>
      </c>
      <c r="U171" s="6">
        <f t="shared" si="31"/>
        <v>4.3653484494668802E-3</v>
      </c>
      <c r="V171" s="6">
        <f t="shared" si="32"/>
        <v>-1.1814668010968758E-2</v>
      </c>
      <c r="W171" s="6">
        <f t="shared" si="33"/>
        <v>-5.9501333864374287E-3</v>
      </c>
      <c r="X171" s="6">
        <f t="shared" si="34"/>
        <v>-1.0308599041358925E-2</v>
      </c>
      <c r="Y171" s="6">
        <f t="shared" si="35"/>
        <v>-2.2722315829262818E-2</v>
      </c>
      <c r="Z171" s="6">
        <f t="shared" si="36"/>
        <v>8.4971313579118246E-2</v>
      </c>
      <c r="AA171" s="6">
        <f t="shared" si="37"/>
        <v>1.8504379975538873E-2</v>
      </c>
      <c r="AB171" s="6">
        <f t="shared" si="38"/>
        <v>3.3891159438100699E-2</v>
      </c>
      <c r="AC171" s="6">
        <f t="shared" si="39"/>
        <v>5.407059818446118E-2</v>
      </c>
      <c r="AD171" s="6">
        <f t="shared" si="40"/>
        <v>4.1008390604152511E-2</v>
      </c>
      <c r="AE171" s="6">
        <f t="shared" si="41"/>
        <v>0.14722378138924377</v>
      </c>
      <c r="AF171" s="6">
        <f t="shared" si="42"/>
        <v>2.710207666624086E-2</v>
      </c>
    </row>
    <row r="172" spans="3:32" x14ac:dyDescent="0.3">
      <c r="C172" s="6">
        <v>-1.696586600412E-3</v>
      </c>
      <c r="D172" s="6">
        <v>-7.0663157494113574E-2</v>
      </c>
      <c r="E172" s="6">
        <v>-3.236393932124268E-2</v>
      </c>
      <c r="F172" s="6">
        <v>-6.0712283442614083E-2</v>
      </c>
      <c r="G172" s="6">
        <v>5.7955544212966927E-2</v>
      </c>
      <c r="H172" s="6">
        <v>-1.7947155925394323E-2</v>
      </c>
      <c r="I172" s="6">
        <v>-3.3268483833895822E-2</v>
      </c>
      <c r="J172" s="6">
        <v>-4.8307965333439139E-2</v>
      </c>
      <c r="K172" s="6">
        <v>-1.4263118006044124E-2</v>
      </c>
      <c r="L172" s="6">
        <v>-8.7634039033590599E-2</v>
      </c>
      <c r="M172" s="6">
        <v>-4.1596951895164526E-2</v>
      </c>
      <c r="N172" s="6">
        <v>-5.7818262098796064E-2</v>
      </c>
      <c r="O172" s="6">
        <v>-7.697125960703663E-2</v>
      </c>
      <c r="P172" s="6">
        <v>-1.498602410924132E-2</v>
      </c>
      <c r="S172" s="6">
        <f t="shared" si="29"/>
        <v>-3.4846045882219335E-3</v>
      </c>
      <c r="T172" s="6">
        <f t="shared" si="30"/>
        <v>-8.0492633990558074E-2</v>
      </c>
      <c r="U172" s="6">
        <f t="shared" si="31"/>
        <v>-3.4923293467452404E-2</v>
      </c>
      <c r="V172" s="6">
        <f t="shared" si="32"/>
        <v>-6.3421631778085186E-2</v>
      </c>
      <c r="W172" s="6">
        <f t="shared" si="33"/>
        <v>5.7098766400356139E-2</v>
      </c>
      <c r="X172" s="6">
        <f t="shared" si="34"/>
        <v>-1.9426795646623956E-2</v>
      </c>
      <c r="Y172" s="6">
        <f t="shared" si="35"/>
        <v>-3.713407114409175E-2</v>
      </c>
      <c r="Z172" s="6">
        <f t="shared" si="36"/>
        <v>-4.0169083797608945E-2</v>
      </c>
      <c r="AA172" s="6">
        <f t="shared" si="37"/>
        <v>-1.9531803348577077E-2</v>
      </c>
      <c r="AB172" s="6">
        <f t="shared" si="38"/>
        <v>-8.9888162404831051E-2</v>
      </c>
      <c r="AC172" s="6">
        <f t="shared" si="39"/>
        <v>-4.5755705655009922E-2</v>
      </c>
      <c r="AD172" s="6">
        <f t="shared" si="40"/>
        <v>-7.0095613776237145E-2</v>
      </c>
      <c r="AE172" s="6">
        <f t="shared" si="41"/>
        <v>-7.3900192958710378E-2</v>
      </c>
      <c r="AF172" s="6">
        <f t="shared" si="42"/>
        <v>-1.1458322784795768E-2</v>
      </c>
    </row>
    <row r="173" spans="3:32" x14ac:dyDescent="0.3">
      <c r="C173" s="6">
        <v>-0.1455750425559032</v>
      </c>
      <c r="D173" s="6">
        <v>-0.15088862821632401</v>
      </c>
      <c r="E173" s="6">
        <v>-5.1348873100917736E-2</v>
      </c>
      <c r="F173" s="6">
        <v>-5.8230031150154599E-2</v>
      </c>
      <c r="G173" s="6">
        <v>-9.5982004745188726E-2</v>
      </c>
      <c r="H173" s="6">
        <v>-0.11957480180395609</v>
      </c>
      <c r="I173" s="6">
        <v>-0.13336792553677057</v>
      </c>
      <c r="J173" s="6">
        <v>-9.9254958095341142E-2</v>
      </c>
      <c r="K173" s="6">
        <v>-0.10464204103246126</v>
      </c>
      <c r="L173" s="6">
        <v>-8.0047498884538895E-2</v>
      </c>
      <c r="M173" s="6">
        <v>-0.1185049456552496</v>
      </c>
      <c r="N173" s="6">
        <v>-0.14840136813410942</v>
      </c>
      <c r="O173" s="6">
        <v>-0.27103744185337192</v>
      </c>
      <c r="P173" s="6">
        <v>-9.9528041646078591E-2</v>
      </c>
      <c r="S173" s="6">
        <f t="shared" si="29"/>
        <v>-0.14736306054371312</v>
      </c>
      <c r="T173" s="6">
        <f t="shared" si="30"/>
        <v>-0.16071810471276851</v>
      </c>
      <c r="U173" s="6">
        <f t="shared" si="31"/>
        <v>-5.390822724712746E-2</v>
      </c>
      <c r="V173" s="6">
        <f t="shared" si="32"/>
        <v>-6.0939379485625708E-2</v>
      </c>
      <c r="W173" s="6">
        <f t="shared" si="33"/>
        <v>-9.6838782557799513E-2</v>
      </c>
      <c r="X173" s="6">
        <f t="shared" si="34"/>
        <v>-0.12105444152518573</v>
      </c>
      <c r="Y173" s="6">
        <f t="shared" si="35"/>
        <v>-0.1372335128469665</v>
      </c>
      <c r="Z173" s="6">
        <f t="shared" si="36"/>
        <v>-9.1116076559510942E-2</v>
      </c>
      <c r="AA173" s="6">
        <f t="shared" si="37"/>
        <v>-0.10991072637499422</v>
      </c>
      <c r="AB173" s="6">
        <f t="shared" si="38"/>
        <v>-8.2301622255779347E-2</v>
      </c>
      <c r="AC173" s="6">
        <f t="shared" si="39"/>
        <v>-0.122663699415095</v>
      </c>
      <c r="AD173" s="6">
        <f t="shared" si="40"/>
        <v>-0.16067871981155049</v>
      </c>
      <c r="AE173" s="6">
        <f t="shared" si="41"/>
        <v>-0.26796637520504568</v>
      </c>
      <c r="AF173" s="6">
        <f t="shared" si="42"/>
        <v>-9.6000340321633043E-2</v>
      </c>
    </row>
    <row r="174" spans="3:32" x14ac:dyDescent="0.3">
      <c r="C174" s="6">
        <v>5.0563120241773035E-2</v>
      </c>
      <c r="D174" s="6">
        <v>0.1623121431947748</v>
      </c>
      <c r="E174" s="6">
        <v>7.6504973185424194E-2</v>
      </c>
      <c r="F174" s="6">
        <v>7.6273991985089884E-2</v>
      </c>
      <c r="G174" s="6">
        <v>5.2397391660261278E-2</v>
      </c>
      <c r="H174" s="6">
        <v>7.7989318861694329E-2</v>
      </c>
      <c r="I174" s="6">
        <v>7.4134860284241461E-2</v>
      </c>
      <c r="J174" s="6">
        <v>-1.1243091574180467E-2</v>
      </c>
      <c r="K174" s="6">
        <v>0.16122779381918509</v>
      </c>
      <c r="L174" s="6">
        <v>8.9033622370397456E-2</v>
      </c>
      <c r="M174" s="6">
        <v>0.11202350532767556</v>
      </c>
      <c r="N174" s="6">
        <v>0.17936714501946738</v>
      </c>
      <c r="O174" s="6">
        <v>8.5593343594173282E-2</v>
      </c>
      <c r="P174" s="6">
        <v>5.1632720170935217E-2</v>
      </c>
      <c r="S174" s="6">
        <f t="shared" si="29"/>
        <v>4.8775102253963101E-2</v>
      </c>
      <c r="T174" s="6">
        <f t="shared" si="30"/>
        <v>0.1524826666983303</v>
      </c>
      <c r="U174" s="6">
        <f t="shared" si="31"/>
        <v>7.3945619039214469E-2</v>
      </c>
      <c r="V174" s="6">
        <f t="shared" si="32"/>
        <v>7.3564643649618774E-2</v>
      </c>
      <c r="W174" s="6">
        <f t="shared" si="33"/>
        <v>5.154061384765049E-2</v>
      </c>
      <c r="X174" s="6">
        <f t="shared" si="34"/>
        <v>7.6509679140464693E-2</v>
      </c>
      <c r="Y174" s="6">
        <f t="shared" si="35"/>
        <v>7.0269272974045532E-2</v>
      </c>
      <c r="Z174" s="6">
        <f t="shared" si="36"/>
        <v>-3.1042100383502705E-3</v>
      </c>
      <c r="AA174" s="6">
        <f t="shared" si="37"/>
        <v>0.15595910847665215</v>
      </c>
      <c r="AB174" s="6">
        <f t="shared" si="38"/>
        <v>8.6779498999157004E-2</v>
      </c>
      <c r="AC174" s="6">
        <f t="shared" si="39"/>
        <v>0.10786475156783017</v>
      </c>
      <c r="AD174" s="6">
        <f t="shared" si="40"/>
        <v>0.16708979334202631</v>
      </c>
      <c r="AE174" s="6">
        <f t="shared" si="41"/>
        <v>8.8664410242499533E-2</v>
      </c>
      <c r="AF174" s="6">
        <f t="shared" si="42"/>
        <v>5.5160421495380772E-2</v>
      </c>
    </row>
    <row r="175" spans="3:32" x14ac:dyDescent="0.3">
      <c r="C175" s="6">
        <v>-5.9221188948877729E-3</v>
      </c>
      <c r="D175" s="6">
        <v>-8.8939100289841561E-2</v>
      </c>
      <c r="E175" s="6">
        <v>-5.467952808372268E-2</v>
      </c>
      <c r="F175" s="6">
        <v>-3.8798249266387301E-2</v>
      </c>
      <c r="G175" s="6">
        <v>-4.4327464337780301E-2</v>
      </c>
      <c r="H175" s="6">
        <v>-6.8618160965756195E-2</v>
      </c>
      <c r="I175" s="6">
        <v>-8.0594766868301596E-2</v>
      </c>
      <c r="J175" s="6">
        <v>-1.0101095986503933E-2</v>
      </c>
      <c r="K175" s="6">
        <v>-6.0516163026518698E-3</v>
      </c>
      <c r="L175" s="6">
        <v>-2.6816551031763618E-3</v>
      </c>
      <c r="M175" s="6">
        <v>4.0135538708801849E-2</v>
      </c>
      <c r="N175" s="6">
        <v>5.7384249432597671E-2</v>
      </c>
      <c r="O175" s="6">
        <v>-2.9661763370487898E-2</v>
      </c>
      <c r="P175" s="6">
        <v>2.1003998480149462E-3</v>
      </c>
      <c r="S175" s="6">
        <f t="shared" si="29"/>
        <v>-7.7101368826977068E-3</v>
      </c>
      <c r="T175" s="6">
        <f t="shared" si="30"/>
        <v>-9.8768576786286061E-2</v>
      </c>
      <c r="U175" s="6">
        <f t="shared" si="31"/>
        <v>-5.7238882229932404E-2</v>
      </c>
      <c r="V175" s="6">
        <f t="shared" si="32"/>
        <v>-4.1507597601858411E-2</v>
      </c>
      <c r="W175" s="6">
        <f t="shared" si="33"/>
        <v>-4.5184242150391088E-2</v>
      </c>
      <c r="X175" s="6">
        <f t="shared" si="34"/>
        <v>-7.0097800686985831E-2</v>
      </c>
      <c r="Y175" s="6">
        <f t="shared" si="35"/>
        <v>-8.4460354178497524E-2</v>
      </c>
      <c r="Z175" s="6">
        <f t="shared" si="36"/>
        <v>-1.9622144506737365E-3</v>
      </c>
      <c r="AA175" s="6">
        <f t="shared" si="37"/>
        <v>-1.1320301645184824E-2</v>
      </c>
      <c r="AB175" s="6">
        <f t="shared" si="38"/>
        <v>-4.935778474416808E-3</v>
      </c>
      <c r="AC175" s="6">
        <f t="shared" si="39"/>
        <v>3.5976784948956453E-2</v>
      </c>
      <c r="AD175" s="6">
        <f t="shared" si="40"/>
        <v>4.5106897755156597E-2</v>
      </c>
      <c r="AE175" s="6">
        <f t="shared" si="41"/>
        <v>-2.659069672216164E-2</v>
      </c>
      <c r="AF175" s="6">
        <f t="shared" si="42"/>
        <v>5.6281011724604981E-3</v>
      </c>
    </row>
    <row r="176" spans="3:32" x14ac:dyDescent="0.3">
      <c r="C176" s="6">
        <v>6.0570867527277729E-2</v>
      </c>
      <c r="D176" s="6">
        <v>8.9660015883829006E-2</v>
      </c>
      <c r="E176" s="6">
        <v>6.3394180186166674E-2</v>
      </c>
      <c r="F176" s="6">
        <v>6.9010512682672318E-2</v>
      </c>
      <c r="G176" s="6">
        <v>0.16598270040250021</v>
      </c>
      <c r="H176" s="6">
        <v>9.0659389208348137E-2</v>
      </c>
      <c r="I176" s="6">
        <v>8.7378555855550238E-2</v>
      </c>
      <c r="J176" s="6">
        <v>8.0433103930690614E-2</v>
      </c>
      <c r="K176" s="6">
        <v>0.12322878206135236</v>
      </c>
      <c r="L176" s="6">
        <v>0.18043438613122129</v>
      </c>
      <c r="M176" s="6">
        <v>3.2815546626513939E-2</v>
      </c>
      <c r="N176" s="6">
        <v>0.18448740471759575</v>
      </c>
      <c r="O176" s="6">
        <v>0.11690836122667658</v>
      </c>
      <c r="P176" s="6">
        <v>6.1570419461584994E-2</v>
      </c>
      <c r="S176" s="6">
        <f t="shared" si="29"/>
        <v>5.8782849539467795E-2</v>
      </c>
      <c r="T176" s="6">
        <f t="shared" si="30"/>
        <v>7.9830539387384505E-2</v>
      </c>
      <c r="U176" s="6">
        <f t="shared" si="31"/>
        <v>6.0834826039956949E-2</v>
      </c>
      <c r="V176" s="6">
        <f t="shared" si="32"/>
        <v>6.6301164347201208E-2</v>
      </c>
      <c r="W176" s="6">
        <f t="shared" si="33"/>
        <v>0.16512592258988942</v>
      </c>
      <c r="X176" s="6">
        <f t="shared" si="34"/>
        <v>8.9179749487118501E-2</v>
      </c>
      <c r="Y176" s="6">
        <f t="shared" si="35"/>
        <v>8.351296854535431E-2</v>
      </c>
      <c r="Z176" s="6">
        <f t="shared" si="36"/>
        <v>8.8571985466520814E-2</v>
      </c>
      <c r="AA176" s="6">
        <f t="shared" si="37"/>
        <v>0.11796009671881941</v>
      </c>
      <c r="AB176" s="6">
        <f t="shared" si="38"/>
        <v>0.17818026275998083</v>
      </c>
      <c r="AC176" s="6">
        <f t="shared" si="39"/>
        <v>2.8656792866668546E-2</v>
      </c>
      <c r="AD176" s="6">
        <f t="shared" si="40"/>
        <v>0.17221005304015469</v>
      </c>
      <c r="AE176" s="6">
        <f t="shared" si="41"/>
        <v>0.11997942787500283</v>
      </c>
      <c r="AF176" s="6">
        <f t="shared" si="42"/>
        <v>6.5098120786030542E-2</v>
      </c>
    </row>
    <row r="177" spans="3:32" x14ac:dyDescent="0.3">
      <c r="C177" s="6">
        <v>-1.8957227866266368E-2</v>
      </c>
      <c r="D177" s="6">
        <v>3.0954535649738522E-2</v>
      </c>
      <c r="E177" s="6">
        <v>0.10511038867879624</v>
      </c>
      <c r="F177" s="6">
        <v>1.2699946760433995E-2</v>
      </c>
      <c r="G177" s="6">
        <v>7.8999292283994955E-3</v>
      </c>
      <c r="H177" s="6">
        <v>5.2246998550901117E-3</v>
      </c>
      <c r="I177" s="6">
        <v>8.7008331565607763E-2</v>
      </c>
      <c r="J177" s="6">
        <v>-1.0594566431396028E-2</v>
      </c>
      <c r="K177" s="6">
        <v>3.6285264577430386E-2</v>
      </c>
      <c r="L177" s="6">
        <v>-2.2723316522097831E-2</v>
      </c>
      <c r="M177" s="6">
        <v>8.064603787664483E-2</v>
      </c>
      <c r="N177" s="6">
        <v>9.709806614581068E-2</v>
      </c>
      <c r="O177" s="6">
        <v>-6.5401268279313904E-2</v>
      </c>
      <c r="P177" s="6">
        <v>2.8525206456644012E-2</v>
      </c>
      <c r="S177" s="6">
        <f t="shared" si="29"/>
        <v>-2.0745245854076302E-2</v>
      </c>
      <c r="T177" s="6">
        <f t="shared" si="30"/>
        <v>2.1125059153294025E-2</v>
      </c>
      <c r="U177" s="6">
        <f t="shared" si="31"/>
        <v>0.10255103453258652</v>
      </c>
      <c r="V177" s="6">
        <f t="shared" si="32"/>
        <v>9.9905984249628894E-3</v>
      </c>
      <c r="W177" s="6">
        <f t="shared" si="33"/>
        <v>7.0431514157887056E-3</v>
      </c>
      <c r="X177" s="6">
        <f t="shared" si="34"/>
        <v>3.7450601338604797E-3</v>
      </c>
      <c r="Y177" s="6">
        <f t="shared" si="35"/>
        <v>8.3142744255411835E-2</v>
      </c>
      <c r="Z177" s="6">
        <f t="shared" si="36"/>
        <v>-2.4556848955658312E-3</v>
      </c>
      <c r="AA177" s="6">
        <f t="shared" si="37"/>
        <v>3.101657923489743E-2</v>
      </c>
      <c r="AB177" s="6">
        <f t="shared" si="38"/>
        <v>-2.4977439893338275E-2</v>
      </c>
      <c r="AC177" s="6">
        <f t="shared" si="39"/>
        <v>7.6487284116799434E-2</v>
      </c>
      <c r="AD177" s="6">
        <f t="shared" si="40"/>
        <v>8.4820714468369598E-2</v>
      </c>
      <c r="AE177" s="6">
        <f t="shared" si="41"/>
        <v>-6.2330201630987646E-2</v>
      </c>
      <c r="AF177" s="6">
        <f t="shared" si="42"/>
        <v>3.2052907781089567E-2</v>
      </c>
    </row>
    <row r="178" spans="3:32" x14ac:dyDescent="0.3">
      <c r="C178" s="6">
        <v>-3.3775618193580069E-2</v>
      </c>
      <c r="D178" s="6">
        <v>1.8603175473144776E-2</v>
      </c>
      <c r="E178" s="6">
        <v>7.8946875178374388E-3</v>
      </c>
      <c r="F178" s="6">
        <v>-7.1246739872689646E-2</v>
      </c>
      <c r="G178" s="6">
        <v>3.7751933825228276E-2</v>
      </c>
      <c r="H178" s="6">
        <v>1.6082217958432791E-2</v>
      </c>
      <c r="I178" s="6">
        <v>-7.6166184392559072E-3</v>
      </c>
      <c r="J178" s="6">
        <v>-2.3953241022492758E-2</v>
      </c>
      <c r="K178" s="6">
        <v>-7.0545602585090919E-2</v>
      </c>
      <c r="L178" s="6">
        <v>-2.7756883998663828E-2</v>
      </c>
      <c r="M178" s="6">
        <v>-1.7595761890379601E-2</v>
      </c>
      <c r="N178" s="6">
        <v>-5.7802328865416905E-2</v>
      </c>
      <c r="O178" s="6">
        <v>-1.0124188370059488E-2</v>
      </c>
      <c r="P178" s="6">
        <v>3.8615804522756883E-2</v>
      </c>
      <c r="S178" s="6">
        <f t="shared" si="29"/>
        <v>-3.5563636181390003E-2</v>
      </c>
      <c r="T178" s="6">
        <f t="shared" si="30"/>
        <v>8.7736989767002796E-3</v>
      </c>
      <c r="U178" s="6">
        <f t="shared" si="31"/>
        <v>5.3353333716277124E-3</v>
      </c>
      <c r="V178" s="6">
        <f t="shared" si="32"/>
        <v>-7.3956088208160756E-2</v>
      </c>
      <c r="W178" s="6">
        <f t="shared" si="33"/>
        <v>3.6895156012617489E-2</v>
      </c>
      <c r="X178" s="6">
        <f t="shared" si="34"/>
        <v>1.4602578237203158E-2</v>
      </c>
      <c r="Y178" s="6">
        <f t="shared" si="35"/>
        <v>-1.1482205749451836E-2</v>
      </c>
      <c r="Z178" s="6">
        <f t="shared" si="36"/>
        <v>-1.5814359486662561E-2</v>
      </c>
      <c r="AA178" s="6">
        <f t="shared" si="37"/>
        <v>-7.5814287927623875E-2</v>
      </c>
      <c r="AB178" s="6">
        <f t="shared" si="38"/>
        <v>-3.0011007369904273E-2</v>
      </c>
      <c r="AC178" s="6">
        <f t="shared" si="39"/>
        <v>-2.1754515650224994E-2</v>
      </c>
      <c r="AD178" s="6">
        <f t="shared" si="40"/>
        <v>-7.0079680542857986E-2</v>
      </c>
      <c r="AE178" s="6">
        <f t="shared" si="41"/>
        <v>-7.0531217217332295E-3</v>
      </c>
      <c r="AF178" s="6">
        <f t="shared" si="42"/>
        <v>4.2143505847202438E-2</v>
      </c>
    </row>
    <row r="179" spans="3:32" x14ac:dyDescent="0.3">
      <c r="C179" s="6">
        <v>6.2149380186028572E-2</v>
      </c>
      <c r="D179" s="6">
        <v>0.1490553620107356</v>
      </c>
      <c r="E179" s="6">
        <v>3.4807545230144135E-2</v>
      </c>
      <c r="F179" s="6">
        <v>8.4329114087727169E-2</v>
      </c>
      <c r="G179" s="6">
        <v>0.1599104206589651</v>
      </c>
      <c r="H179" s="6">
        <v>6.2882872845372889E-2</v>
      </c>
      <c r="I179" s="6">
        <v>7.7665290060667483E-2</v>
      </c>
      <c r="J179" s="6">
        <v>5.8840500022933395E-2</v>
      </c>
      <c r="K179" s="6">
        <v>6.7545054780123168E-2</v>
      </c>
      <c r="L179" s="6">
        <v>0.290312565118862</v>
      </c>
      <c r="M179" s="6">
        <v>0.1029545321853909</v>
      </c>
      <c r="N179" s="6">
        <v>9.9100553709950009E-2</v>
      </c>
      <c r="O179" s="6">
        <v>0.15815194872257299</v>
      </c>
      <c r="P179" s="6">
        <v>3.9901635072175243E-2</v>
      </c>
      <c r="S179" s="6">
        <f t="shared" si="29"/>
        <v>6.0361362198218638E-2</v>
      </c>
      <c r="T179" s="6">
        <f t="shared" si="30"/>
        <v>0.1392258855142911</v>
      </c>
      <c r="U179" s="6">
        <f t="shared" si="31"/>
        <v>3.224819108393441E-2</v>
      </c>
      <c r="V179" s="6">
        <f t="shared" si="32"/>
        <v>8.161976575225606E-2</v>
      </c>
      <c r="W179" s="6">
        <f t="shared" si="33"/>
        <v>0.15905364284635432</v>
      </c>
      <c r="X179" s="6">
        <f t="shared" si="34"/>
        <v>6.140323312414326E-2</v>
      </c>
      <c r="Y179" s="6">
        <f t="shared" si="35"/>
        <v>7.3799702750471555E-2</v>
      </c>
      <c r="Z179" s="6">
        <f t="shared" si="36"/>
        <v>6.6979381558763595E-2</v>
      </c>
      <c r="AA179" s="6">
        <f t="shared" si="37"/>
        <v>6.2276369437590212E-2</v>
      </c>
      <c r="AB179" s="6">
        <f t="shared" si="38"/>
        <v>0.28805844174762157</v>
      </c>
      <c r="AC179" s="6">
        <f t="shared" si="39"/>
        <v>9.8795778425545502E-2</v>
      </c>
      <c r="AD179" s="6">
        <f t="shared" si="40"/>
        <v>8.6823202032508928E-2</v>
      </c>
      <c r="AE179" s="6">
        <f t="shared" si="41"/>
        <v>0.16122301537089925</v>
      </c>
      <c r="AF179" s="6">
        <f t="shared" si="42"/>
        <v>4.3429336396620798E-2</v>
      </c>
    </row>
    <row r="180" spans="3:32" x14ac:dyDescent="0.3">
      <c r="C180" s="6">
        <v>-7.8706386142610413E-2</v>
      </c>
      <c r="D180" s="6">
        <v>-3.0824743532155724E-2</v>
      </c>
      <c r="E180" s="6">
        <v>-9.0442321399590245E-3</v>
      </c>
      <c r="F180" s="6">
        <v>1.3625980258680842E-2</v>
      </c>
      <c r="G180" s="6">
        <v>-3.0873455378807927E-2</v>
      </c>
      <c r="H180" s="6">
        <v>-2.2628738688181521E-2</v>
      </c>
      <c r="I180" s="6">
        <v>-2.0957055455926767E-2</v>
      </c>
      <c r="J180" s="6">
        <v>-6.1267685680544574E-2</v>
      </c>
      <c r="K180" s="6">
        <v>3.6501789367397557E-2</v>
      </c>
      <c r="L180" s="6">
        <v>-1.2461926314268559E-2</v>
      </c>
      <c r="M180" s="6">
        <v>-4.5011496885024441E-2</v>
      </c>
      <c r="N180" s="6">
        <v>-4.9133799486940646E-2</v>
      </c>
      <c r="O180" s="6">
        <v>-3.3626191350465517E-2</v>
      </c>
      <c r="P180" s="6">
        <v>-6.5184755270188882E-2</v>
      </c>
      <c r="S180" s="6">
        <f t="shared" si="29"/>
        <v>-8.0494404130420347E-2</v>
      </c>
      <c r="T180" s="6">
        <f t="shared" si="30"/>
        <v>-4.0654220028600224E-2</v>
      </c>
      <c r="U180" s="6">
        <f t="shared" si="31"/>
        <v>-1.1603586286168751E-2</v>
      </c>
      <c r="V180" s="6">
        <f t="shared" si="32"/>
        <v>1.0916631923209736E-2</v>
      </c>
      <c r="W180" s="6">
        <f t="shared" si="33"/>
        <v>-3.1730233191418718E-2</v>
      </c>
      <c r="X180" s="6">
        <f t="shared" si="34"/>
        <v>-2.4108378409411154E-2</v>
      </c>
      <c r="Y180" s="6">
        <f t="shared" si="35"/>
        <v>-2.4822642766122695E-2</v>
      </c>
      <c r="Z180" s="6">
        <f t="shared" si="36"/>
        <v>-5.3128804144714381E-2</v>
      </c>
      <c r="AA180" s="6">
        <f t="shared" si="37"/>
        <v>3.1233104024864601E-2</v>
      </c>
      <c r="AB180" s="6">
        <f t="shared" si="38"/>
        <v>-1.4716049685509006E-2</v>
      </c>
      <c r="AC180" s="6">
        <f t="shared" si="39"/>
        <v>-4.9170250644869837E-2</v>
      </c>
      <c r="AD180" s="6">
        <f t="shared" si="40"/>
        <v>-6.1411151164381728E-2</v>
      </c>
      <c r="AE180" s="6">
        <f t="shared" si="41"/>
        <v>-3.0555124702139259E-2</v>
      </c>
      <c r="AF180" s="6">
        <f t="shared" si="42"/>
        <v>-6.1657053945743327E-2</v>
      </c>
    </row>
    <row r="181" spans="3:32" x14ac:dyDescent="0.3">
      <c r="C181" s="6">
        <v>2.8175144552885455E-2</v>
      </c>
      <c r="D181" s="6">
        <v>2.8828661103975677E-2</v>
      </c>
      <c r="E181" s="6">
        <v>2.2361289314598017E-2</v>
      </c>
      <c r="F181" s="6">
        <v>1.9224012846226129E-2</v>
      </c>
      <c r="G181" s="6">
        <v>2.0764817236001498E-2</v>
      </c>
      <c r="H181" s="6">
        <v>1.9803602858823263E-2</v>
      </c>
      <c r="I181" s="6">
        <v>3.2061119604521605E-2</v>
      </c>
      <c r="J181" s="6">
        <v>2.4271856576111375E-3</v>
      </c>
      <c r="K181" s="6">
        <v>3.4050066002282782E-2</v>
      </c>
      <c r="L181" s="6">
        <v>-6.4913521775412764E-2</v>
      </c>
      <c r="M181" s="6">
        <v>-4.1772113356575512E-2</v>
      </c>
      <c r="N181" s="6">
        <v>6.6432355603234725E-2</v>
      </c>
      <c r="O181" s="6">
        <v>4.8783263834420457E-2</v>
      </c>
      <c r="P181" s="6">
        <v>2.4544931188114249E-2</v>
      </c>
      <c r="S181" s="6">
        <f t="shared" si="29"/>
        <v>2.6387126565075521E-2</v>
      </c>
      <c r="T181" s="6">
        <f t="shared" si="30"/>
        <v>1.899918460753118E-2</v>
      </c>
      <c r="U181" s="6">
        <f t="shared" si="31"/>
        <v>1.9801935168388289E-2</v>
      </c>
      <c r="V181" s="6">
        <f t="shared" si="32"/>
        <v>1.6514664510755023E-2</v>
      </c>
      <c r="W181" s="6">
        <f t="shared" si="33"/>
        <v>1.9908039423390707E-2</v>
      </c>
      <c r="X181" s="6">
        <f t="shared" si="34"/>
        <v>1.832396313759363E-2</v>
      </c>
      <c r="Y181" s="6">
        <f t="shared" si="35"/>
        <v>2.8195532294325677E-2</v>
      </c>
      <c r="Z181" s="6">
        <f t="shared" si="36"/>
        <v>1.0566067193441334E-2</v>
      </c>
      <c r="AA181" s="6">
        <f t="shared" si="37"/>
        <v>2.8781380659749826E-2</v>
      </c>
      <c r="AB181" s="6">
        <f t="shared" si="38"/>
        <v>-6.7167645146653215E-2</v>
      </c>
      <c r="AC181" s="6">
        <f t="shared" si="39"/>
        <v>-4.5930867116420908E-2</v>
      </c>
      <c r="AD181" s="6">
        <f t="shared" si="40"/>
        <v>5.4155003925793643E-2</v>
      </c>
      <c r="AE181" s="6">
        <f t="shared" si="41"/>
        <v>5.1854330482746715E-2</v>
      </c>
      <c r="AF181" s="6">
        <f t="shared" si="42"/>
        <v>2.80726325125598E-2</v>
      </c>
    </row>
    <row r="182" spans="3:32" x14ac:dyDescent="0.3">
      <c r="C182" s="6">
        <v>1.516939926256883E-2</v>
      </c>
      <c r="D182" s="6">
        <v>4.7616001947276582E-2</v>
      </c>
      <c r="E182" s="6">
        <v>2.1532086573450491E-2</v>
      </c>
      <c r="F182" s="6">
        <v>1.1232820325697741E-2</v>
      </c>
      <c r="G182" s="6">
        <v>-0.16031755181549134</v>
      </c>
      <c r="H182" s="6">
        <v>4.090588934740786E-2</v>
      </c>
      <c r="I182" s="6">
        <v>7.4700194211285445E-2</v>
      </c>
      <c r="J182" s="6">
        <v>2.4213086890103454E-3</v>
      </c>
      <c r="K182" s="6">
        <v>-6.2993674864920161E-3</v>
      </c>
      <c r="L182" s="6">
        <v>1.8679367752880517E-2</v>
      </c>
      <c r="M182" s="6">
        <v>1.6965534158296668E-2</v>
      </c>
      <c r="N182" s="6">
        <v>-3.1293497639092616E-2</v>
      </c>
      <c r="O182" s="6">
        <v>8.0063939321431757E-2</v>
      </c>
      <c r="P182" s="6">
        <v>-1.1138729026325293E-2</v>
      </c>
      <c r="S182" s="6">
        <f t="shared" si="29"/>
        <v>1.3381381274758896E-2</v>
      </c>
      <c r="T182" s="6">
        <f t="shared" si="30"/>
        <v>3.7786525450832081E-2</v>
      </c>
      <c r="U182" s="6">
        <f t="shared" si="31"/>
        <v>1.8972732427240763E-2</v>
      </c>
      <c r="V182" s="6">
        <f t="shared" si="32"/>
        <v>8.5234719902266345E-3</v>
      </c>
      <c r="W182" s="6">
        <f t="shared" si="33"/>
        <v>-0.16117432962810213</v>
      </c>
      <c r="X182" s="6">
        <f t="shared" si="34"/>
        <v>3.9426249626178231E-2</v>
      </c>
      <c r="Y182" s="6">
        <f t="shared" si="35"/>
        <v>7.0834606901089517E-2</v>
      </c>
      <c r="Z182" s="6">
        <f t="shared" si="36"/>
        <v>1.0560190224840543E-2</v>
      </c>
      <c r="AA182" s="6">
        <f t="shared" si="37"/>
        <v>-1.1568052829024969E-2</v>
      </c>
      <c r="AB182" s="6">
        <f t="shared" si="38"/>
        <v>1.6425244381640072E-2</v>
      </c>
      <c r="AC182" s="6">
        <f t="shared" si="39"/>
        <v>1.2806780398451276E-2</v>
      </c>
      <c r="AD182" s="6">
        <f t="shared" si="40"/>
        <v>-4.3570849316533697E-2</v>
      </c>
      <c r="AE182" s="6">
        <f t="shared" si="41"/>
        <v>8.3135005969758008E-2</v>
      </c>
      <c r="AF182" s="6">
        <f t="shared" si="42"/>
        <v>-7.6110277018797412E-3</v>
      </c>
    </row>
    <row r="183" spans="3:32" x14ac:dyDescent="0.3">
      <c r="C183" s="6">
        <v>-3.7319814063391285E-2</v>
      </c>
      <c r="D183" s="6">
        <v>1.7624876782112813E-3</v>
      </c>
      <c r="E183" s="6">
        <v>9.6897112886791519E-3</v>
      </c>
      <c r="F183" s="6">
        <v>5.6839538702649767E-3</v>
      </c>
      <c r="G183" s="6">
        <v>9.7328753826107783E-2</v>
      </c>
      <c r="H183" s="6">
        <v>-6.9067862132547652E-3</v>
      </c>
      <c r="I183" s="6">
        <v>-2.1499038945456135E-2</v>
      </c>
      <c r="J183" s="6">
        <v>-4.0721233776555454E-2</v>
      </c>
      <c r="K183" s="6">
        <v>2.5732956315064778E-2</v>
      </c>
      <c r="L183" s="6">
        <v>-3.4660743180097021E-2</v>
      </c>
      <c r="M183" s="6">
        <v>-1.970216505296005E-2</v>
      </c>
      <c r="N183" s="6">
        <v>7.3056011941667845E-2</v>
      </c>
      <c r="O183" s="6">
        <v>-5.3508283379192917E-2</v>
      </c>
      <c r="P183" s="6">
        <v>-4.7403447201208627E-2</v>
      </c>
      <c r="S183" s="6">
        <f t="shared" si="29"/>
        <v>-3.9107832051201219E-2</v>
      </c>
      <c r="T183" s="6">
        <f t="shared" si="30"/>
        <v>-8.0669888182332162E-3</v>
      </c>
      <c r="U183" s="6">
        <f t="shared" si="31"/>
        <v>7.1303571424694255E-3</v>
      </c>
      <c r="V183" s="6">
        <f t="shared" si="32"/>
        <v>2.9746055347938702E-3</v>
      </c>
      <c r="W183" s="6">
        <f t="shared" si="33"/>
        <v>9.6471976013496996E-2</v>
      </c>
      <c r="X183" s="6">
        <f t="shared" si="34"/>
        <v>-8.3864259344843973E-3</v>
      </c>
      <c r="Y183" s="6">
        <f t="shared" si="35"/>
        <v>-2.5364626255652063E-2</v>
      </c>
      <c r="Z183" s="6">
        <f t="shared" si="36"/>
        <v>-3.2582352240725254E-2</v>
      </c>
      <c r="AA183" s="6">
        <f t="shared" si="37"/>
        <v>2.0464270972531826E-2</v>
      </c>
      <c r="AB183" s="6">
        <f t="shared" si="38"/>
        <v>-3.6914866551337466E-2</v>
      </c>
      <c r="AC183" s="6">
        <f t="shared" si="39"/>
        <v>-2.3860918812805443E-2</v>
      </c>
      <c r="AD183" s="6">
        <f t="shared" si="40"/>
        <v>6.0778660264226764E-2</v>
      </c>
      <c r="AE183" s="6">
        <f t="shared" si="41"/>
        <v>-5.0437216730866659E-2</v>
      </c>
      <c r="AF183" s="6">
        <f t="shared" si="42"/>
        <v>-4.3875745876763073E-2</v>
      </c>
    </row>
    <row r="184" spans="3:32" x14ac:dyDescent="0.3">
      <c r="C184" s="6">
        <v>2.2896962054607065E-2</v>
      </c>
      <c r="D184" s="6">
        <v>1.3155322322074356E-2</v>
      </c>
      <c r="E184" s="6">
        <v>5.1241239423098278E-3</v>
      </c>
      <c r="F184" s="6">
        <v>-4.7062682487584974E-2</v>
      </c>
      <c r="G184" s="6">
        <v>-9.7302573182123341E-3</v>
      </c>
      <c r="H184" s="6">
        <v>-1.1427611971982485E-2</v>
      </c>
      <c r="I184" s="6">
        <v>-7.6178202069536677E-4</v>
      </c>
      <c r="J184" s="6">
        <v>8.7774858212234415E-3</v>
      </c>
      <c r="K184" s="6">
        <v>-9.0290292780446004E-3</v>
      </c>
      <c r="L184" s="6">
        <v>0.23946547372803861</v>
      </c>
      <c r="M184" s="6">
        <v>-1.7888025758474413E-3</v>
      </c>
      <c r="N184" s="6">
        <v>-7.2806701432350895E-4</v>
      </c>
      <c r="O184" s="6">
        <v>8.4735348851728565E-2</v>
      </c>
      <c r="P184" s="6">
        <v>1.7591968360093652E-2</v>
      </c>
      <c r="S184" s="6">
        <f t="shared" si="29"/>
        <v>2.1108944066797131E-2</v>
      </c>
      <c r="T184" s="6">
        <f t="shared" si="30"/>
        <v>3.3258458256298588E-3</v>
      </c>
      <c r="U184" s="6">
        <f t="shared" si="31"/>
        <v>2.5647697961001009E-3</v>
      </c>
      <c r="V184" s="6">
        <f t="shared" si="32"/>
        <v>-4.9772030823056083E-2</v>
      </c>
      <c r="W184" s="6">
        <f t="shared" si="33"/>
        <v>-1.0587035130823123E-2</v>
      </c>
      <c r="X184" s="6">
        <f t="shared" si="34"/>
        <v>-1.2907251693212118E-2</v>
      </c>
      <c r="Y184" s="6">
        <f t="shared" si="35"/>
        <v>-4.6273693308912962E-3</v>
      </c>
      <c r="Z184" s="6">
        <f t="shared" si="36"/>
        <v>1.6916367357053638E-2</v>
      </c>
      <c r="AA184" s="6">
        <f t="shared" si="37"/>
        <v>-1.4297714620577554E-2</v>
      </c>
      <c r="AB184" s="6">
        <f t="shared" si="38"/>
        <v>0.23721135035679816</v>
      </c>
      <c r="AC184" s="6">
        <f t="shared" si="39"/>
        <v>-5.9475563356928343E-3</v>
      </c>
      <c r="AD184" s="6">
        <f t="shared" si="40"/>
        <v>-1.3005418691764586E-2</v>
      </c>
      <c r="AE184" s="6">
        <f t="shared" si="41"/>
        <v>8.7806415500054816E-2</v>
      </c>
      <c r="AF184" s="6">
        <f t="shared" si="42"/>
        <v>2.1119669684539204E-2</v>
      </c>
    </row>
    <row r="185" spans="3:32" x14ac:dyDescent="0.3">
      <c r="C185" s="6">
        <v>3.9793076529873232E-4</v>
      </c>
      <c r="D185" s="6">
        <v>9.2240411423765711E-2</v>
      </c>
      <c r="E185" s="6">
        <v>3.810023776107499E-2</v>
      </c>
      <c r="F185" s="6">
        <v>6.8920857372153824E-2</v>
      </c>
      <c r="G185" s="6">
        <v>4.5525713898407682E-3</v>
      </c>
      <c r="H185" s="6">
        <v>6.2885909247458072E-2</v>
      </c>
      <c r="I185" s="6">
        <v>7.2462091642270049E-2</v>
      </c>
      <c r="J185" s="6">
        <v>8.4928476840620604E-2</v>
      </c>
      <c r="K185" s="6">
        <v>4.7219292012535413E-2</v>
      </c>
      <c r="L185" s="6">
        <v>0.13635265718293113</v>
      </c>
      <c r="M185" s="6">
        <v>8.8472471877799233E-2</v>
      </c>
      <c r="N185" s="6">
        <v>-4.8957694589341849E-2</v>
      </c>
      <c r="O185" s="6">
        <v>7.0892535299747622E-2</v>
      </c>
      <c r="P185" s="6">
        <v>4.9881794290786577E-3</v>
      </c>
      <c r="S185" s="6">
        <f t="shared" si="29"/>
        <v>-1.3900872225112014E-3</v>
      </c>
      <c r="T185" s="6">
        <f t="shared" si="30"/>
        <v>8.2410934927321211E-2</v>
      </c>
      <c r="U185" s="6">
        <f t="shared" si="31"/>
        <v>3.5540883614865265E-2</v>
      </c>
      <c r="V185" s="6">
        <f t="shared" si="32"/>
        <v>6.6211509036682714E-2</v>
      </c>
      <c r="W185" s="6">
        <f t="shared" si="33"/>
        <v>3.6957935772299788E-3</v>
      </c>
      <c r="X185" s="6">
        <f t="shared" si="34"/>
        <v>6.1406269526228442E-2</v>
      </c>
      <c r="Y185" s="6">
        <f t="shared" si="35"/>
        <v>6.8596504332074121E-2</v>
      </c>
      <c r="Z185" s="6">
        <f t="shared" si="36"/>
        <v>9.3067358376450804E-2</v>
      </c>
      <c r="AA185" s="6">
        <f t="shared" si="37"/>
        <v>4.1950606670002458E-2</v>
      </c>
      <c r="AB185" s="6">
        <f t="shared" si="38"/>
        <v>0.13409853381169068</v>
      </c>
      <c r="AC185" s="6">
        <f t="shared" si="39"/>
        <v>8.4313718117953837E-2</v>
      </c>
      <c r="AD185" s="6">
        <f t="shared" si="40"/>
        <v>-6.123504626678293E-2</v>
      </c>
      <c r="AE185" s="6">
        <f t="shared" si="41"/>
        <v>7.3963601948073873E-2</v>
      </c>
      <c r="AF185" s="6">
        <f t="shared" si="42"/>
        <v>8.51588075352421E-3</v>
      </c>
    </row>
    <row r="186" spans="3:32" x14ac:dyDescent="0.3">
      <c r="C186" s="6">
        <v>6.0168158463101098E-2</v>
      </c>
      <c r="D186" s="6">
        <v>1.0028782530897366E-2</v>
      </c>
      <c r="E186" s="6">
        <v>5.8304513867416963E-3</v>
      </c>
      <c r="F186" s="6">
        <v>5.5856705578670009E-3</v>
      </c>
      <c r="G186" s="6">
        <v>-2.5917754823379213E-2</v>
      </c>
      <c r="H186" s="6">
        <v>4.9248954455159005E-4</v>
      </c>
      <c r="I186" s="6">
        <v>-2.0129548496222855E-2</v>
      </c>
      <c r="J186" s="6">
        <v>6.1164141656875406E-2</v>
      </c>
      <c r="K186" s="6">
        <v>2.9150599242108867E-2</v>
      </c>
      <c r="L186" s="6">
        <v>6.6833293055972307E-3</v>
      </c>
      <c r="M186" s="6">
        <v>2.2684057554109766E-2</v>
      </c>
      <c r="N186" s="6">
        <v>2.7312146559508619E-2</v>
      </c>
      <c r="O186" s="6">
        <v>1.518207347149555E-2</v>
      </c>
      <c r="P186" s="6">
        <v>2.5484213588283936E-3</v>
      </c>
      <c r="S186" s="6">
        <f t="shared" si="29"/>
        <v>5.8380140475291165E-2</v>
      </c>
      <c r="T186" s="6">
        <f t="shared" si="30"/>
        <v>1.9930603445286917E-4</v>
      </c>
      <c r="U186" s="6">
        <f t="shared" si="31"/>
        <v>3.2710972405319695E-3</v>
      </c>
      <c r="V186" s="6">
        <f t="shared" si="32"/>
        <v>2.8763222223958944E-3</v>
      </c>
      <c r="W186" s="6">
        <f t="shared" si="33"/>
        <v>-2.6774532635990004E-2</v>
      </c>
      <c r="X186" s="6">
        <f t="shared" si="34"/>
        <v>-9.8715017667804199E-4</v>
      </c>
      <c r="Y186" s="6">
        <f t="shared" si="35"/>
        <v>-2.3995135806418783E-2</v>
      </c>
      <c r="Z186" s="6">
        <f t="shared" si="36"/>
        <v>6.9303023192705607E-2</v>
      </c>
      <c r="AA186" s="6">
        <f t="shared" si="37"/>
        <v>2.3881913899575911E-2</v>
      </c>
      <c r="AB186" s="6">
        <f t="shared" si="38"/>
        <v>4.4292059343567841E-3</v>
      </c>
      <c r="AC186" s="6">
        <f t="shared" si="39"/>
        <v>1.8525303794264373E-2</v>
      </c>
      <c r="AD186" s="6">
        <f t="shared" si="40"/>
        <v>1.5034794882067541E-2</v>
      </c>
      <c r="AE186" s="6">
        <f t="shared" si="41"/>
        <v>1.8253140119821806E-2</v>
      </c>
      <c r="AF186" s="6">
        <f t="shared" si="42"/>
        <v>6.0761226832739459E-3</v>
      </c>
    </row>
    <row r="187" spans="3:32" x14ac:dyDescent="0.3">
      <c r="C187" s="6">
        <v>-1.1254857332060055E-2</v>
      </c>
      <c r="D187" s="6">
        <v>3.4420223886479154E-2</v>
      </c>
      <c r="E187" s="6">
        <v>8.9407476712208746E-3</v>
      </c>
      <c r="F187" s="6">
        <v>3.669524855985365E-3</v>
      </c>
      <c r="G187" s="6">
        <v>-5.8518756187781696E-3</v>
      </c>
      <c r="H187" s="6">
        <v>7.1806387522621046E-3</v>
      </c>
      <c r="I187" s="6">
        <v>-2.0883810112867873E-3</v>
      </c>
      <c r="J187" s="6">
        <v>-1.7410668305896888E-2</v>
      </c>
      <c r="K187" s="6">
        <v>-7.1866086836187226E-2</v>
      </c>
      <c r="L187" s="6">
        <v>8.4210944540470567E-2</v>
      </c>
      <c r="M187" s="6">
        <v>1.8622906206319078E-2</v>
      </c>
      <c r="N187" s="6">
        <v>5.6008270358962761E-2</v>
      </c>
      <c r="O187" s="6">
        <v>8.1237048366293411E-3</v>
      </c>
      <c r="P187" s="6">
        <v>-6.8193278509843747E-2</v>
      </c>
      <c r="S187" s="6">
        <f t="shared" si="29"/>
        <v>-1.3042875319869989E-2</v>
      </c>
      <c r="T187" s="6">
        <f t="shared" si="30"/>
        <v>2.4590747390034657E-2</v>
      </c>
      <c r="U187" s="6">
        <f t="shared" si="31"/>
        <v>6.3813935250111482E-3</v>
      </c>
      <c r="V187" s="6">
        <f t="shared" si="32"/>
        <v>9.6017652051425852E-4</v>
      </c>
      <c r="W187" s="6">
        <f t="shared" si="33"/>
        <v>-6.7086534313889595E-3</v>
      </c>
      <c r="X187" s="6">
        <f t="shared" si="34"/>
        <v>5.7009990310324726E-3</v>
      </c>
      <c r="Y187" s="6">
        <f t="shared" si="35"/>
        <v>-5.9539683214827168E-3</v>
      </c>
      <c r="Z187" s="6">
        <f t="shared" si="36"/>
        <v>-9.2717867700666916E-3</v>
      </c>
      <c r="AA187" s="6">
        <f t="shared" si="37"/>
        <v>-7.7134772178720182E-2</v>
      </c>
      <c r="AB187" s="6">
        <f t="shared" si="38"/>
        <v>8.1956821169230115E-2</v>
      </c>
      <c r="AC187" s="6">
        <f t="shared" si="39"/>
        <v>1.4464152446473685E-2</v>
      </c>
      <c r="AD187" s="6">
        <f t="shared" si="40"/>
        <v>4.373091868152168E-2</v>
      </c>
      <c r="AE187" s="6">
        <f t="shared" si="41"/>
        <v>1.1194771484955599E-2</v>
      </c>
      <c r="AF187" s="6">
        <f t="shared" si="42"/>
        <v>-6.4665577185398199E-2</v>
      </c>
    </row>
    <row r="188" spans="3:32" x14ac:dyDescent="0.3">
      <c r="C188" s="6">
        <v>9.4710422952809772E-5</v>
      </c>
      <c r="D188" s="6">
        <v>4.4414853349060708E-2</v>
      </c>
      <c r="E188" s="6">
        <v>1.3282609404760705E-2</v>
      </c>
      <c r="F188" s="6">
        <v>2.6668247082161273E-2</v>
      </c>
      <c r="G188" s="6">
        <v>5.0200228068426445E-2</v>
      </c>
      <c r="H188" s="6">
        <v>4.9207679919768526E-3</v>
      </c>
      <c r="I188" s="6">
        <v>-1.8610880460639745E-2</v>
      </c>
      <c r="J188" s="6">
        <v>9.4211882055262222E-2</v>
      </c>
      <c r="K188" s="6">
        <v>-5.2178951383191514E-3</v>
      </c>
      <c r="L188" s="6">
        <v>8.1151044745264606E-2</v>
      </c>
      <c r="M188" s="6">
        <v>-5.1629919475920223E-2</v>
      </c>
      <c r="N188" s="6">
        <v>7.7299816596389528E-2</v>
      </c>
      <c r="O188" s="6">
        <v>4.7188917104098997E-2</v>
      </c>
      <c r="P188" s="6">
        <v>1.9562175245167342E-2</v>
      </c>
      <c r="S188" s="6">
        <f t="shared" si="29"/>
        <v>-1.693307564857124E-3</v>
      </c>
      <c r="T188" s="6">
        <f t="shared" si="30"/>
        <v>3.4585376852616215E-2</v>
      </c>
      <c r="U188" s="6">
        <f t="shared" si="31"/>
        <v>1.0723255258550978E-2</v>
      </c>
      <c r="V188" s="6">
        <f t="shared" si="32"/>
        <v>2.3958898746690167E-2</v>
      </c>
      <c r="W188" s="6">
        <f t="shared" si="33"/>
        <v>4.9343450255815657E-2</v>
      </c>
      <c r="X188" s="6">
        <f t="shared" si="34"/>
        <v>3.4411282707472205E-3</v>
      </c>
      <c r="Y188" s="6">
        <f t="shared" si="35"/>
        <v>-2.2476467770835673E-2</v>
      </c>
      <c r="Z188" s="6">
        <f t="shared" si="36"/>
        <v>0.10235076359109242</v>
      </c>
      <c r="AA188" s="6">
        <f t="shared" si="37"/>
        <v>-1.0486580480852105E-2</v>
      </c>
      <c r="AB188" s="6">
        <f t="shared" si="38"/>
        <v>7.8896921374024154E-2</v>
      </c>
      <c r="AC188" s="6">
        <f t="shared" si="39"/>
        <v>-5.5788673235765619E-2</v>
      </c>
      <c r="AD188" s="6">
        <f t="shared" si="40"/>
        <v>6.5022464918948447E-2</v>
      </c>
      <c r="AE188" s="6">
        <f t="shared" si="41"/>
        <v>5.0259983752425255E-2</v>
      </c>
      <c r="AF188" s="6">
        <f t="shared" si="42"/>
        <v>2.3089876569612894E-2</v>
      </c>
    </row>
    <row r="189" spans="3:32" x14ac:dyDescent="0.3">
      <c r="C189" s="6">
        <v>1.2704259702162508E-2</v>
      </c>
      <c r="D189" s="6">
        <v>6.3022381991541471E-3</v>
      </c>
      <c r="E189" s="6">
        <v>7.1501437699780001E-3</v>
      </c>
      <c r="F189" s="6">
        <v>4.2942299930265639E-2</v>
      </c>
      <c r="G189" s="6">
        <v>-4.2099416578350937E-2</v>
      </c>
      <c r="H189" s="6">
        <v>2.3210605532976956E-2</v>
      </c>
      <c r="I189" s="6">
        <v>1.1856507457525582E-2</v>
      </c>
      <c r="J189" s="6">
        <v>-2.4268127272437923E-2</v>
      </c>
      <c r="K189" s="6">
        <v>-1.7036475952182266E-2</v>
      </c>
      <c r="L189" s="6">
        <v>-6.9336648028779591E-2</v>
      </c>
      <c r="M189" s="6">
        <v>7.697420895792906E-3</v>
      </c>
      <c r="N189" s="6">
        <v>3.3814697113590864E-2</v>
      </c>
      <c r="O189" s="6">
        <v>-3.4570805408825955E-2</v>
      </c>
      <c r="P189" s="6">
        <v>-4.0088194563730242E-4</v>
      </c>
      <c r="S189" s="6">
        <f t="shared" si="29"/>
        <v>1.0916241714352574E-2</v>
      </c>
      <c r="T189" s="6">
        <f t="shared" si="30"/>
        <v>-3.5272382972903497E-3</v>
      </c>
      <c r="U189" s="6">
        <f t="shared" si="31"/>
        <v>4.5907896237682728E-3</v>
      </c>
      <c r="V189" s="6">
        <f t="shared" si="32"/>
        <v>4.0232951594794529E-2</v>
      </c>
      <c r="W189" s="6">
        <f t="shared" si="33"/>
        <v>-4.2956194390961724E-2</v>
      </c>
      <c r="X189" s="6">
        <f t="shared" si="34"/>
        <v>2.1730965811747324E-2</v>
      </c>
      <c r="Y189" s="6">
        <f t="shared" si="35"/>
        <v>7.9909201473296523E-3</v>
      </c>
      <c r="Z189" s="6">
        <f t="shared" si="36"/>
        <v>-1.6129245736607727E-2</v>
      </c>
      <c r="AA189" s="6">
        <f t="shared" si="37"/>
        <v>-2.2305161294715221E-2</v>
      </c>
      <c r="AB189" s="6">
        <f t="shared" si="38"/>
        <v>-7.1590771400020042E-2</v>
      </c>
      <c r="AC189" s="6">
        <f t="shared" si="39"/>
        <v>3.5386671359475125E-3</v>
      </c>
      <c r="AD189" s="6">
        <f t="shared" si="40"/>
        <v>2.1537345436149786E-2</v>
      </c>
      <c r="AE189" s="6">
        <f t="shared" si="41"/>
        <v>-3.1499738760499697E-2</v>
      </c>
      <c r="AF189" s="6">
        <f t="shared" si="42"/>
        <v>3.1268193788082494E-3</v>
      </c>
    </row>
    <row r="190" spans="3:32" x14ac:dyDescent="0.3">
      <c r="C190" s="6">
        <v>-5.5267991778916913E-2</v>
      </c>
      <c r="D190" s="6">
        <v>1.2672082797072644E-3</v>
      </c>
      <c r="E190" s="6">
        <v>2.0042682055769194E-2</v>
      </c>
      <c r="F190" s="6">
        <v>-2.1187787450786845E-2</v>
      </c>
      <c r="G190" s="6">
        <v>-4.3421131760917012E-2</v>
      </c>
      <c r="H190" s="6">
        <v>-7.4846099803514865E-2</v>
      </c>
      <c r="I190" s="6">
        <v>5.1054027959032348E-2</v>
      </c>
      <c r="J190" s="6">
        <v>-7.6551708342856475E-2</v>
      </c>
      <c r="K190" s="6">
        <v>-4.6499662342441794E-2</v>
      </c>
      <c r="L190" s="6">
        <v>-0.21880608921809042</v>
      </c>
      <c r="M190" s="6">
        <v>-4.9168152127620803E-2</v>
      </c>
      <c r="N190" s="6">
        <v>-2.894123478918726E-2</v>
      </c>
      <c r="O190" s="6">
        <v>-0.11936551214537142</v>
      </c>
      <c r="P190" s="6">
        <v>-5.2827976383108453E-2</v>
      </c>
      <c r="S190" s="6">
        <f t="shared" si="29"/>
        <v>-5.7056009766726846E-2</v>
      </c>
      <c r="T190" s="6">
        <f t="shared" si="30"/>
        <v>-8.5622682167372319E-3</v>
      </c>
      <c r="U190" s="6">
        <f t="shared" si="31"/>
        <v>1.7483327909559466E-2</v>
      </c>
      <c r="V190" s="6">
        <f t="shared" si="32"/>
        <v>-2.3897135786257951E-2</v>
      </c>
      <c r="W190" s="6">
        <f t="shared" si="33"/>
        <v>-4.4277909573527799E-2</v>
      </c>
      <c r="X190" s="6">
        <f t="shared" si="34"/>
        <v>-7.6325739524744501E-2</v>
      </c>
      <c r="Y190" s="6">
        <f t="shared" si="35"/>
        <v>4.718844064883642E-2</v>
      </c>
      <c r="Z190" s="6">
        <f t="shared" si="36"/>
        <v>-6.8412826807026275E-2</v>
      </c>
      <c r="AA190" s="6">
        <f t="shared" si="37"/>
        <v>-5.176834768497475E-2</v>
      </c>
      <c r="AB190" s="6">
        <f t="shared" si="38"/>
        <v>-0.22106021258933087</v>
      </c>
      <c r="AC190" s="6">
        <f t="shared" si="39"/>
        <v>-5.3326905887466199E-2</v>
      </c>
      <c r="AD190" s="6">
        <f t="shared" si="40"/>
        <v>-4.1218586466628335E-2</v>
      </c>
      <c r="AE190" s="6">
        <f t="shared" si="41"/>
        <v>-0.11629444549704517</v>
      </c>
      <c r="AF190" s="6">
        <f t="shared" si="42"/>
        <v>-4.9300275058662898E-2</v>
      </c>
    </row>
    <row r="191" spans="3:32" x14ac:dyDescent="0.3">
      <c r="C191" s="6">
        <v>0.12510210274156713</v>
      </c>
      <c r="D191" s="6">
        <v>5.0400655717339808E-2</v>
      </c>
      <c r="E191" s="6">
        <v>-3.9573726549483063E-3</v>
      </c>
      <c r="F191" s="6">
        <v>6.2957670919635514E-2</v>
      </c>
      <c r="G191" s="6">
        <v>8.5520548339267866E-2</v>
      </c>
      <c r="H191" s="6">
        <v>3.6306108933200416E-2</v>
      </c>
      <c r="I191" s="6">
        <v>2.5394470690087597E-2</v>
      </c>
      <c r="J191" s="6">
        <v>-0.19993431840383932</v>
      </c>
      <c r="K191" s="6">
        <v>-5.0909230444430645E-2</v>
      </c>
      <c r="L191" s="6">
        <v>-1.3275309717576208E-2</v>
      </c>
      <c r="M191" s="6">
        <v>3.0035691281185384E-2</v>
      </c>
      <c r="N191" s="6">
        <v>0.1921903762067543</v>
      </c>
      <c r="O191" s="6">
        <v>3.9590929493666098E-2</v>
      </c>
      <c r="P191" s="6">
        <v>8.4187392136146014E-3</v>
      </c>
      <c r="S191" s="6">
        <f t="shared" si="29"/>
        <v>0.1233140847537572</v>
      </c>
      <c r="T191" s="6">
        <f t="shared" si="30"/>
        <v>4.0571179220895315E-2</v>
      </c>
      <c r="U191" s="6">
        <f t="shared" si="31"/>
        <v>-6.5167268011580327E-3</v>
      </c>
      <c r="V191" s="6">
        <f t="shared" si="32"/>
        <v>6.0248322584164404E-2</v>
      </c>
      <c r="W191" s="6">
        <f t="shared" si="33"/>
        <v>8.4663770526657078E-2</v>
      </c>
      <c r="X191" s="6">
        <f t="shared" si="34"/>
        <v>3.4826469211970787E-2</v>
      </c>
      <c r="Y191" s="6">
        <f t="shared" si="35"/>
        <v>2.1528883379891669E-2</v>
      </c>
      <c r="Z191" s="6">
        <f t="shared" si="36"/>
        <v>-0.19179543686800912</v>
      </c>
      <c r="AA191" s="6">
        <f t="shared" si="37"/>
        <v>-5.61779157869636E-2</v>
      </c>
      <c r="AB191" s="6">
        <f t="shared" si="38"/>
        <v>-1.5529433088816654E-2</v>
      </c>
      <c r="AC191" s="6">
        <f t="shared" si="39"/>
        <v>2.5876937521339991E-2</v>
      </c>
      <c r="AD191" s="6">
        <f t="shared" si="40"/>
        <v>0.17991302452931324</v>
      </c>
      <c r="AE191" s="6">
        <f t="shared" si="41"/>
        <v>4.2661996141992356E-2</v>
      </c>
      <c r="AF191" s="6">
        <f t="shared" si="42"/>
        <v>1.1946440538060153E-2</v>
      </c>
    </row>
    <row r="192" spans="3:32" x14ac:dyDescent="0.3">
      <c r="C192" s="6">
        <v>9.7193458305482976E-3</v>
      </c>
      <c r="D192" s="6">
        <v>-1.2391732295163497E-2</v>
      </c>
      <c r="E192" s="6">
        <v>-3.58853207463576E-3</v>
      </c>
      <c r="F192" s="6">
        <v>1.2237397360410983E-2</v>
      </c>
      <c r="G192" s="6">
        <v>2.7567003719651032E-3</v>
      </c>
      <c r="H192" s="6">
        <v>3.6766902421703163E-2</v>
      </c>
      <c r="I192" s="6">
        <v>2.0495658033841117E-2</v>
      </c>
      <c r="J192" s="6">
        <v>-3.5718082602079232E-2</v>
      </c>
      <c r="K192" s="6">
        <v>8.0010750748730625E-3</v>
      </c>
      <c r="L192" s="6">
        <v>2.2322568695960155E-2</v>
      </c>
      <c r="M192" s="6">
        <v>3.3380349921579539E-2</v>
      </c>
      <c r="N192" s="6">
        <v>-5.3784966618256692E-2</v>
      </c>
      <c r="O192" s="6">
        <v>8.1659179407049476E-2</v>
      </c>
      <c r="P192" s="6">
        <v>2.169942097072906E-2</v>
      </c>
      <c r="S192" s="6">
        <f t="shared" si="29"/>
        <v>7.9313278427383636E-3</v>
      </c>
      <c r="T192" s="6">
        <f t="shared" si="30"/>
        <v>-2.2221208791607994E-2</v>
      </c>
      <c r="U192" s="6">
        <f t="shared" si="31"/>
        <v>-6.1478862208454868E-3</v>
      </c>
      <c r="V192" s="6">
        <f t="shared" si="32"/>
        <v>9.5280490249398768E-3</v>
      </c>
      <c r="W192" s="6">
        <f t="shared" si="33"/>
        <v>1.8999225593543138E-3</v>
      </c>
      <c r="X192" s="6">
        <f t="shared" si="34"/>
        <v>3.5287262700473533E-2</v>
      </c>
      <c r="Y192" s="6">
        <f t="shared" si="35"/>
        <v>1.6630070723645189E-2</v>
      </c>
      <c r="Z192" s="6">
        <f t="shared" si="36"/>
        <v>-2.7579201066249035E-2</v>
      </c>
      <c r="AA192" s="6">
        <f t="shared" si="37"/>
        <v>2.7323897323401087E-3</v>
      </c>
      <c r="AB192" s="6">
        <f t="shared" si="38"/>
        <v>2.0068445324719707E-2</v>
      </c>
      <c r="AC192" s="6">
        <f t="shared" si="39"/>
        <v>2.9221596161734146E-2</v>
      </c>
      <c r="AD192" s="6">
        <f t="shared" si="40"/>
        <v>-6.6062318295697767E-2</v>
      </c>
      <c r="AE192" s="6">
        <f t="shared" si="41"/>
        <v>8.4730246055375727E-2</v>
      </c>
      <c r="AF192" s="6">
        <f t="shared" si="42"/>
        <v>2.5227122295174612E-2</v>
      </c>
    </row>
    <row r="193" spans="2:48" x14ac:dyDescent="0.3">
      <c r="C193" s="6">
        <v>-1.6676123903947196E-2</v>
      </c>
      <c r="D193" s="6">
        <v>-1.3726362150135884E-2</v>
      </c>
      <c r="E193" s="6">
        <v>-2.5191131585880294E-2</v>
      </c>
      <c r="F193" s="6">
        <v>1.0683289003007603E-2</v>
      </c>
      <c r="G193" s="6">
        <v>2.8186843011121804E-2</v>
      </c>
      <c r="H193" s="6">
        <v>-9.5245028189404439E-3</v>
      </c>
      <c r="I193" s="6">
        <v>-3.9537103634758035E-2</v>
      </c>
      <c r="J193" s="6">
        <v>6.9686693160932152E-3</v>
      </c>
      <c r="K193" s="6">
        <v>-1.7326145014324747E-2</v>
      </c>
      <c r="L193" s="6">
        <v>7.2168496471627652E-3</v>
      </c>
      <c r="M193" s="6">
        <v>4.425454150886364E-2</v>
      </c>
      <c r="N193" s="6">
        <v>-0.10984207994961644</v>
      </c>
      <c r="O193" s="6">
        <v>4.2605760952507218E-2</v>
      </c>
      <c r="P193" s="6">
        <v>0.12005917812402891</v>
      </c>
      <c r="S193" s="6">
        <f t="shared" si="29"/>
        <v>-1.846414189175713E-2</v>
      </c>
      <c r="T193" s="6">
        <f t="shared" si="30"/>
        <v>-2.3555838646580382E-2</v>
      </c>
      <c r="U193" s="6">
        <f t="shared" si="31"/>
        <v>-2.7750485732090022E-2</v>
      </c>
      <c r="V193" s="6">
        <f t="shared" si="32"/>
        <v>7.9739406675364971E-3</v>
      </c>
      <c r="W193" s="6">
        <f t="shared" si="33"/>
        <v>2.7330065198511014E-2</v>
      </c>
      <c r="X193" s="6">
        <f t="shared" si="34"/>
        <v>-1.1004142540170077E-2</v>
      </c>
      <c r="Y193" s="6">
        <f t="shared" si="35"/>
        <v>-4.3402690944953963E-2</v>
      </c>
      <c r="Z193" s="6">
        <f t="shared" si="36"/>
        <v>1.5107550851923411E-2</v>
      </c>
      <c r="AA193" s="6">
        <f t="shared" si="37"/>
        <v>-2.2594830356857699E-2</v>
      </c>
      <c r="AB193" s="6">
        <f t="shared" si="38"/>
        <v>4.9627262759223186E-3</v>
      </c>
      <c r="AC193" s="6">
        <f t="shared" si="39"/>
        <v>4.0095787749018244E-2</v>
      </c>
      <c r="AD193" s="6">
        <f t="shared" si="40"/>
        <v>-0.12211943162705752</v>
      </c>
      <c r="AE193" s="6">
        <f t="shared" si="41"/>
        <v>4.5676827600833476E-2</v>
      </c>
      <c r="AF193" s="6">
        <f t="shared" si="42"/>
        <v>0.12358687944847446</v>
      </c>
    </row>
    <row r="194" spans="2:48" x14ac:dyDescent="0.3">
      <c r="C194" s="6">
        <v>1.9048194970694411E-2</v>
      </c>
      <c r="D194" s="6">
        <v>-2.1638121674068093E-2</v>
      </c>
      <c r="E194" s="6">
        <v>-1.0651728954093041E-3</v>
      </c>
      <c r="F194" s="6">
        <v>3.2556574621584185E-2</v>
      </c>
      <c r="G194" s="6">
        <v>-1.822333328895202E-2</v>
      </c>
      <c r="H194" s="6">
        <v>6.9893415391157881E-4</v>
      </c>
      <c r="I194" s="6">
        <v>-2.1547680329279891E-2</v>
      </c>
      <c r="J194" s="6">
        <v>-8.3682496705166903E-3</v>
      </c>
      <c r="K194" s="6">
        <v>7.4622792240671967E-3</v>
      </c>
      <c r="L194" s="6">
        <v>-4.904969448356019E-2</v>
      </c>
      <c r="M194" s="6">
        <v>-3.191201831047713E-2</v>
      </c>
      <c r="N194" s="6">
        <v>-1.2870680127604882E-2</v>
      </c>
      <c r="O194" s="6">
        <v>2.4532103517381141E-2</v>
      </c>
      <c r="P194" s="6">
        <v>-1.281364777043118E-2</v>
      </c>
      <c r="S194" s="6">
        <f t="shared" si="29"/>
        <v>1.7260176982884477E-2</v>
      </c>
      <c r="T194" s="6">
        <f t="shared" si="30"/>
        <v>-3.146759817051259E-2</v>
      </c>
      <c r="U194" s="6">
        <f t="shared" si="31"/>
        <v>-3.6245270416190309E-3</v>
      </c>
      <c r="V194" s="6">
        <f t="shared" si="32"/>
        <v>2.9847226286113079E-2</v>
      </c>
      <c r="W194" s="6">
        <f t="shared" si="33"/>
        <v>-1.9080111101562811E-2</v>
      </c>
      <c r="X194" s="6">
        <f t="shared" si="34"/>
        <v>-7.8070556731805324E-4</v>
      </c>
      <c r="Y194" s="6">
        <f t="shared" si="35"/>
        <v>-2.5413267639475819E-2</v>
      </c>
      <c r="Z194" s="6">
        <f t="shared" si="36"/>
        <v>-2.2936813468649349E-4</v>
      </c>
      <c r="AA194" s="6">
        <f t="shared" si="37"/>
        <v>2.1935938815342429E-3</v>
      </c>
      <c r="AB194" s="6">
        <f t="shared" si="38"/>
        <v>-5.1303817854800635E-2</v>
      </c>
      <c r="AC194" s="6">
        <f t="shared" si="39"/>
        <v>-3.6070772070322527E-2</v>
      </c>
      <c r="AD194" s="6">
        <f t="shared" si="40"/>
        <v>-2.5148031805045962E-2</v>
      </c>
      <c r="AE194" s="6">
        <f t="shared" si="41"/>
        <v>2.7603170165707399E-2</v>
      </c>
      <c r="AF194" s="6">
        <f t="shared" si="42"/>
        <v>-9.2859464459856284E-3</v>
      </c>
    </row>
    <row r="195" spans="2:48" x14ac:dyDescent="0.3">
      <c r="C195" s="6">
        <v>3.2005783814422532E-2</v>
      </c>
      <c r="D195" s="6">
        <v>-4.1975681539510132E-2</v>
      </c>
      <c r="E195" s="6">
        <v>-2.3341614174711103E-2</v>
      </c>
      <c r="F195" s="6">
        <v>9.8715972939157806E-2</v>
      </c>
      <c r="G195" s="6">
        <v>4.9578583429737401E-2</v>
      </c>
      <c r="H195" s="6">
        <v>1.4436771232957042E-2</v>
      </c>
      <c r="I195" s="6">
        <v>1.8442664698035603E-2</v>
      </c>
      <c r="J195" s="6">
        <v>2.3530497410194036E-2</v>
      </c>
      <c r="K195" s="6">
        <v>-1.4429784563927898E-2</v>
      </c>
      <c r="L195" s="6">
        <v>-1.8124781709864209E-2</v>
      </c>
      <c r="M195" s="6">
        <v>-2.988205448192079E-2</v>
      </c>
      <c r="N195" s="6">
        <v>-2.3240346218120832E-2</v>
      </c>
      <c r="O195" s="6">
        <v>-1.3764555170614071E-2</v>
      </c>
      <c r="P195" s="6">
        <v>2.7379057241779959E-2</v>
      </c>
      <c r="S195" s="6">
        <f t="shared" si="29"/>
        <v>3.0217765826612598E-2</v>
      </c>
      <c r="T195" s="6">
        <f t="shared" si="30"/>
        <v>-5.1805158035954632E-2</v>
      </c>
      <c r="U195" s="6">
        <f t="shared" si="31"/>
        <v>-2.5900968320920831E-2</v>
      </c>
      <c r="V195" s="6">
        <f t="shared" si="32"/>
        <v>9.6006624603686697E-2</v>
      </c>
      <c r="W195" s="6">
        <f t="shared" si="33"/>
        <v>4.8721805617126614E-2</v>
      </c>
      <c r="X195" s="6">
        <f t="shared" si="34"/>
        <v>1.2957131511727411E-2</v>
      </c>
      <c r="Y195" s="6">
        <f t="shared" si="35"/>
        <v>1.4577077387839673E-2</v>
      </c>
      <c r="Z195" s="6">
        <f t="shared" si="36"/>
        <v>3.1669378946024229E-2</v>
      </c>
      <c r="AA195" s="6">
        <f t="shared" si="37"/>
        <v>-1.9698469906460854E-2</v>
      </c>
      <c r="AB195" s="6">
        <f t="shared" si="38"/>
        <v>-2.0378905081104653E-2</v>
      </c>
      <c r="AC195" s="6">
        <f t="shared" si="39"/>
        <v>-3.4040808241766182E-2</v>
      </c>
      <c r="AD195" s="6">
        <f t="shared" si="40"/>
        <v>-3.551769789556191E-2</v>
      </c>
      <c r="AE195" s="6">
        <f t="shared" si="41"/>
        <v>-1.0693488522287813E-2</v>
      </c>
      <c r="AF195" s="6">
        <f t="shared" si="42"/>
        <v>3.090675856622551E-2</v>
      </c>
    </row>
    <row r="196" spans="2:48" x14ac:dyDescent="0.3">
      <c r="C196" s="6">
        <v>-2.3726205833086097E-2</v>
      </c>
      <c r="D196" s="6">
        <v>6.2658236967909467E-2</v>
      </c>
      <c r="E196" s="6">
        <v>2.9656865492419617E-2</v>
      </c>
      <c r="F196" s="6">
        <v>2.4381199290507111E-2</v>
      </c>
      <c r="G196" s="6">
        <v>0.12093240554020449</v>
      </c>
      <c r="H196" s="6">
        <v>-1.8155467413785025E-2</v>
      </c>
      <c r="I196" s="6">
        <v>4.1643517914331241E-3</v>
      </c>
      <c r="J196" s="6">
        <v>4.0955688647372019E-3</v>
      </c>
      <c r="K196" s="6">
        <v>4.3275701780135269E-2</v>
      </c>
      <c r="L196" s="6">
        <v>7.7098494861805145E-2</v>
      </c>
      <c r="M196" s="6">
        <v>5.2452090796990494E-2</v>
      </c>
      <c r="N196" s="6">
        <v>0.11301840270238588</v>
      </c>
      <c r="O196" s="6">
        <v>-7.5885692999549644E-3</v>
      </c>
      <c r="P196" s="6">
        <v>3.5786749394344157E-3</v>
      </c>
      <c r="S196" s="6">
        <f t="shared" si="29"/>
        <v>-2.5514223820896031E-2</v>
      </c>
      <c r="T196" s="6">
        <f t="shared" si="30"/>
        <v>5.2828760471464967E-2</v>
      </c>
      <c r="U196" s="6">
        <f t="shared" si="31"/>
        <v>2.7097511346209888E-2</v>
      </c>
      <c r="V196" s="6">
        <f t="shared" si="32"/>
        <v>2.1671850955036005E-2</v>
      </c>
      <c r="W196" s="6">
        <f t="shared" si="33"/>
        <v>0.1200756277275937</v>
      </c>
      <c r="X196" s="6">
        <f t="shared" si="34"/>
        <v>-1.9635107135014658E-2</v>
      </c>
      <c r="Y196" s="6">
        <f t="shared" si="35"/>
        <v>2.987644812371946E-4</v>
      </c>
      <c r="Z196" s="6">
        <f t="shared" si="36"/>
        <v>1.22344504005674E-2</v>
      </c>
      <c r="AA196" s="6">
        <f t="shared" si="37"/>
        <v>3.8007016437602313E-2</v>
      </c>
      <c r="AB196" s="6">
        <f t="shared" si="38"/>
        <v>7.4844371490564693E-2</v>
      </c>
      <c r="AC196" s="6">
        <f t="shared" si="39"/>
        <v>4.8293337037145098E-2</v>
      </c>
      <c r="AD196" s="6">
        <f t="shared" si="40"/>
        <v>0.10074105102494479</v>
      </c>
      <c r="AE196" s="6">
        <f t="shared" si="41"/>
        <v>-4.5175026516287072E-3</v>
      </c>
      <c r="AF196" s="6">
        <f t="shared" si="42"/>
        <v>7.1063762638799675E-3</v>
      </c>
    </row>
    <row r="197" spans="2:48" x14ac:dyDescent="0.3">
      <c r="C197" s="6">
        <v>4.7676731312762365E-2</v>
      </c>
      <c r="D197" s="6">
        <v>-6.4882170684038313E-3</v>
      </c>
      <c r="E197" s="6">
        <v>1.5625469931662771E-2</v>
      </c>
      <c r="F197" s="6">
        <v>5.6198189221352224E-2</v>
      </c>
      <c r="G197" s="6">
        <v>7.3340967395882514E-2</v>
      </c>
      <c r="H197" s="6">
        <v>1.4490169332226367E-2</v>
      </c>
      <c r="I197" s="6">
        <v>2.9715935786815265E-2</v>
      </c>
      <c r="J197" s="6">
        <v>0.10590532634959142</v>
      </c>
      <c r="K197" s="6">
        <v>0.14182356262202814</v>
      </c>
      <c r="L197" s="6">
        <v>5.8378707996297526E-2</v>
      </c>
      <c r="M197" s="6">
        <v>2.6956364701997911E-2</v>
      </c>
      <c r="N197" s="6">
        <v>6.1972231556516585E-2</v>
      </c>
      <c r="O197" s="6">
        <v>7.4002168841979632E-2</v>
      </c>
      <c r="P197" s="6">
        <v>2.141073733352435E-3</v>
      </c>
      <c r="S197" s="6">
        <f t="shared" si="29"/>
        <v>4.5888713324952431E-2</v>
      </c>
      <c r="T197" s="6">
        <f t="shared" si="30"/>
        <v>-1.6317693564848329E-2</v>
      </c>
      <c r="U197" s="6">
        <f t="shared" si="31"/>
        <v>1.3066115785453044E-2</v>
      </c>
      <c r="V197" s="6">
        <f t="shared" si="32"/>
        <v>5.3488840885881114E-2</v>
      </c>
      <c r="W197" s="6">
        <f t="shared" si="33"/>
        <v>7.2484189583271727E-2</v>
      </c>
      <c r="X197" s="6">
        <f t="shared" si="34"/>
        <v>1.3010529610996736E-2</v>
      </c>
      <c r="Y197" s="6">
        <f t="shared" si="35"/>
        <v>2.5850348476619336E-2</v>
      </c>
      <c r="Z197" s="6">
        <f t="shared" si="36"/>
        <v>0.11404420788542162</v>
      </c>
      <c r="AA197" s="6">
        <f t="shared" si="37"/>
        <v>0.1365548772794952</v>
      </c>
      <c r="AB197" s="6">
        <f t="shared" si="38"/>
        <v>5.6124584625057081E-2</v>
      </c>
      <c r="AC197" s="6">
        <f t="shared" si="39"/>
        <v>2.2797610942152519E-2</v>
      </c>
      <c r="AD197" s="6">
        <f t="shared" si="40"/>
        <v>4.9694879879075504E-2</v>
      </c>
      <c r="AE197" s="6">
        <f t="shared" si="41"/>
        <v>7.7073235490305883E-2</v>
      </c>
      <c r="AF197" s="6">
        <f t="shared" si="42"/>
        <v>5.6687750577979869E-3</v>
      </c>
    </row>
    <row r="198" spans="2:48" x14ac:dyDescent="0.3">
      <c r="C198" s="6">
        <v>3.9768894380055562E-2</v>
      </c>
      <c r="D198" s="6">
        <v>8.5668111147343875E-3</v>
      </c>
      <c r="E198" s="6">
        <v>-1.2570717027502081E-2</v>
      </c>
      <c r="F198" s="6">
        <v>-3.2640650532644852E-2</v>
      </c>
      <c r="G198" s="6">
        <v>3.3079752829257195E-2</v>
      </c>
      <c r="H198" s="6">
        <v>-5.1866430686859935E-2</v>
      </c>
      <c r="I198" s="6">
        <v>-4.5509879951136541E-2</v>
      </c>
      <c r="J198" s="6">
        <v>1.3390340059584258E-2</v>
      </c>
      <c r="K198" s="6">
        <v>-4.2955067492453224E-2</v>
      </c>
      <c r="L198" s="6">
        <v>-9.1262434848408056E-2</v>
      </c>
      <c r="M198" s="6">
        <v>-6.0926078245324622E-4</v>
      </c>
      <c r="N198" s="6">
        <v>-2.6782354205162957E-2</v>
      </c>
      <c r="O198" s="6">
        <v>-2.1651456570134151E-2</v>
      </c>
      <c r="P198" s="6">
        <v>4.1501215669912245E-3</v>
      </c>
      <c r="S198" s="6">
        <f t="shared" si="29"/>
        <v>3.7980876392245629E-2</v>
      </c>
      <c r="T198" s="6">
        <f t="shared" si="30"/>
        <v>-1.2626653817101093E-3</v>
      </c>
      <c r="U198" s="6">
        <f t="shared" si="31"/>
        <v>-1.5130071173711807E-2</v>
      </c>
      <c r="V198" s="6">
        <f t="shared" si="32"/>
        <v>-3.5349998868115962E-2</v>
      </c>
      <c r="W198" s="6">
        <f t="shared" si="33"/>
        <v>3.2222975016646407E-2</v>
      </c>
      <c r="X198" s="6">
        <f t="shared" si="34"/>
        <v>-5.3346070408089565E-2</v>
      </c>
      <c r="Y198" s="6">
        <f t="shared" si="35"/>
        <v>-4.9375467261332469E-2</v>
      </c>
      <c r="Z198" s="6">
        <f t="shared" si="36"/>
        <v>2.1529221595414455E-2</v>
      </c>
      <c r="AA198" s="6">
        <f t="shared" si="37"/>
        <v>-4.8223752834986179E-2</v>
      </c>
      <c r="AB198" s="6">
        <f t="shared" si="38"/>
        <v>-9.3516558219648507E-2</v>
      </c>
      <c r="AC198" s="6">
        <f t="shared" si="39"/>
        <v>-4.7680145422986393E-3</v>
      </c>
      <c r="AD198" s="6">
        <f t="shared" si="40"/>
        <v>-3.9059705882604032E-2</v>
      </c>
      <c r="AE198" s="6">
        <f t="shared" si="41"/>
        <v>-1.8580389921807893E-2</v>
      </c>
      <c r="AF198" s="6">
        <f t="shared" si="42"/>
        <v>7.6778228914367759E-3</v>
      </c>
    </row>
    <row r="199" spans="2:48" x14ac:dyDescent="0.3">
      <c r="C199" s="6">
        <v>9.9712596823596112E-3</v>
      </c>
      <c r="D199" s="6">
        <v>5.1568243958481599E-2</v>
      </c>
      <c r="E199" s="6">
        <v>1.1450247085688954E-2</v>
      </c>
      <c r="F199" s="6">
        <v>-4.838489587460932E-3</v>
      </c>
      <c r="G199" s="6">
        <v>-2.4293623169081461E-2</v>
      </c>
      <c r="H199" s="6">
        <v>-1.2292564547297443E-3</v>
      </c>
      <c r="I199" s="6">
        <v>-4.5651565316047402E-2</v>
      </c>
      <c r="J199" s="6">
        <v>3.2126498764878504E-2</v>
      </c>
      <c r="K199" s="6">
        <v>1.7420393174790941E-2</v>
      </c>
      <c r="L199" s="6">
        <v>0.19533145520196873</v>
      </c>
      <c r="M199" s="6">
        <v>-1.8970063866662289E-2</v>
      </c>
      <c r="N199" s="6">
        <v>-2.5668760433835577E-2</v>
      </c>
      <c r="O199" s="6">
        <v>4.1785385731568848E-2</v>
      </c>
      <c r="P199" s="6">
        <v>-4.291466501723562E-2</v>
      </c>
      <c r="S199" s="6">
        <f t="shared" ref="S199:S200" si="43">C199-C$203</f>
        <v>8.1832416945496773E-3</v>
      </c>
      <c r="T199" s="6">
        <f t="shared" ref="T199:T200" si="44">D199-D$203</f>
        <v>4.1738767462037099E-2</v>
      </c>
      <c r="U199" s="6">
        <f t="shared" ref="U199:U200" si="45">E199-E$203</f>
        <v>8.890892939479228E-3</v>
      </c>
      <c r="V199" s="6">
        <f t="shared" ref="V199:V200" si="46">F199-F$203</f>
        <v>-7.547837922932038E-3</v>
      </c>
      <c r="W199" s="6">
        <f t="shared" ref="W199:W200" si="47">G199-G$203</f>
        <v>-2.5150400981692252E-2</v>
      </c>
      <c r="X199" s="6">
        <f t="shared" ref="X199:X200" si="48">H199-H$203</f>
        <v>-2.7088961759593761E-3</v>
      </c>
      <c r="Y199" s="6">
        <f t="shared" ref="Y199:Y200" si="49">I199-I$203</f>
        <v>-4.951715262624333E-2</v>
      </c>
      <c r="Z199" s="6">
        <f t="shared" ref="Z199:Z200" si="50">J199-J$203</f>
        <v>4.0265380300708697E-2</v>
      </c>
      <c r="AA199" s="6">
        <f t="shared" ref="AA199:AA200" si="51">K199-K$203</f>
        <v>1.2151707832257988E-2</v>
      </c>
      <c r="AB199" s="6">
        <f t="shared" ref="AB199:AB200" si="52">L199-L$203</f>
        <v>0.19307733183072828</v>
      </c>
      <c r="AC199" s="6">
        <f t="shared" ref="AC199:AC200" si="53">M199-M$203</f>
        <v>-2.3128817626507682E-2</v>
      </c>
      <c r="AD199" s="6">
        <f t="shared" ref="AD199:AD200" si="54">N199-N$203</f>
        <v>-3.7946112111276659E-2</v>
      </c>
      <c r="AE199" s="6">
        <f t="shared" ref="AE199:AE200" si="55">O199-O$203</f>
        <v>4.4856452379895106E-2</v>
      </c>
      <c r="AF199" s="6">
        <f t="shared" ref="AF199:AF200" si="56">P199-P$203</f>
        <v>-3.9386963692790065E-2</v>
      </c>
    </row>
    <row r="200" spans="2:48" x14ac:dyDescent="0.3">
      <c r="C200" s="6">
        <v>-5.0677456737145084E-2</v>
      </c>
      <c r="D200" s="6">
        <v>-2.4058552908910263E-2</v>
      </c>
      <c r="E200" s="6">
        <v>-1.2428318797625971E-2</v>
      </c>
      <c r="F200" s="6">
        <v>-3.6441615311596433E-2</v>
      </c>
      <c r="G200" s="6">
        <v>-3.8756451304986173E-2</v>
      </c>
      <c r="H200" s="6">
        <v>-1.4407884364709968E-2</v>
      </c>
      <c r="I200" s="6">
        <v>-7.4301473296585745E-3</v>
      </c>
      <c r="J200" s="6">
        <v>-9.320466961017812E-2</v>
      </c>
      <c r="K200" s="6">
        <v>7.686557966491165E-3</v>
      </c>
      <c r="L200" s="6">
        <v>-6.2460090322571458E-2</v>
      </c>
      <c r="M200" s="6">
        <v>-3.3687395983675247E-2</v>
      </c>
      <c r="N200" s="6">
        <v>1.3600967172725074E-2</v>
      </c>
      <c r="O200" s="6">
        <v>-0.12094160559479879</v>
      </c>
      <c r="P200" s="6">
        <v>-8.4346816110179162E-3</v>
      </c>
      <c r="S200" s="6">
        <f t="shared" si="43"/>
        <v>-5.2465474724955018E-2</v>
      </c>
      <c r="T200" s="6">
        <f t="shared" si="44"/>
        <v>-3.3888029405354764E-2</v>
      </c>
      <c r="U200" s="6">
        <f t="shared" si="45"/>
        <v>-1.4987672943835698E-2</v>
      </c>
      <c r="V200" s="6">
        <f t="shared" si="46"/>
        <v>-3.9150963647067542E-2</v>
      </c>
      <c r="W200" s="6">
        <f t="shared" si="47"/>
        <v>-3.961322911759696E-2</v>
      </c>
      <c r="X200" s="6">
        <f t="shared" si="48"/>
        <v>-1.5887524085939599E-2</v>
      </c>
      <c r="Y200" s="6">
        <f t="shared" si="49"/>
        <v>-1.1295734639854504E-2</v>
      </c>
      <c r="Z200" s="6">
        <f t="shared" si="50"/>
        <v>-8.506578807434792E-2</v>
      </c>
      <c r="AA200" s="6">
        <f t="shared" si="51"/>
        <v>2.4178726239582112E-3</v>
      </c>
      <c r="AB200" s="6">
        <f t="shared" si="52"/>
        <v>-6.4714213693811903E-2</v>
      </c>
      <c r="AC200" s="6">
        <f t="shared" si="53"/>
        <v>-3.7846149743520643E-2</v>
      </c>
      <c r="AD200" s="6">
        <f t="shared" si="54"/>
        <v>1.3236154952839963E-3</v>
      </c>
      <c r="AE200" s="6">
        <f t="shared" si="55"/>
        <v>-0.11787053894647254</v>
      </c>
      <c r="AF200" s="6">
        <f t="shared" si="56"/>
        <v>-4.9069802865723648E-3</v>
      </c>
    </row>
    <row r="203" spans="2:48" x14ac:dyDescent="0.3">
      <c r="B203" s="2" t="s">
        <v>11</v>
      </c>
      <c r="C203">
        <f>AVERAGE(C6:C200)</f>
        <v>1.7880179878099337E-3</v>
      </c>
      <c r="D203">
        <f t="shared" ref="D203:P203" si="57">AVERAGE(D6:D200)</f>
        <v>9.8294764964444968E-3</v>
      </c>
      <c r="E203">
        <f t="shared" si="57"/>
        <v>2.5593541462097268E-3</v>
      </c>
      <c r="F203">
        <f t="shared" si="57"/>
        <v>2.7093483354711065E-3</v>
      </c>
      <c r="G203">
        <f t="shared" si="57"/>
        <v>8.567778126107895E-4</v>
      </c>
      <c r="H203">
        <f t="shared" si="57"/>
        <v>1.479639721229632E-3</v>
      </c>
      <c r="I203">
        <f t="shared" si="57"/>
        <v>3.8655873101959295E-3</v>
      </c>
      <c r="J203">
        <f t="shared" si="57"/>
        <v>-8.1388815358301968E-3</v>
      </c>
      <c r="K203">
        <f t="shared" si="57"/>
        <v>5.2686853425329538E-3</v>
      </c>
      <c r="L203">
        <f t="shared" si="57"/>
        <v>2.2541233712404466E-3</v>
      </c>
      <c r="M203">
        <f t="shared" si="57"/>
        <v>4.1587537598453935E-3</v>
      </c>
      <c r="N203">
        <f t="shared" si="57"/>
        <v>1.2277351677441078E-2</v>
      </c>
      <c r="O203">
        <f t="shared" si="57"/>
        <v>-3.0710666483262576E-3</v>
      </c>
      <c r="P203">
        <f t="shared" si="57"/>
        <v>-3.5277013244455519E-3</v>
      </c>
    </row>
    <row r="206" spans="2:48" x14ac:dyDescent="0.3">
      <c r="C206" s="23" t="s">
        <v>57</v>
      </c>
      <c r="D206" s="23"/>
      <c r="E206" s="23"/>
      <c r="F206" s="23"/>
      <c r="G206" s="23"/>
      <c r="H206" s="23"/>
      <c r="I206" s="23"/>
      <c r="J206" s="23"/>
      <c r="K206" s="23"/>
      <c r="L206" s="23"/>
      <c r="M206" s="23"/>
      <c r="N206" s="23"/>
      <c r="O206" s="23"/>
      <c r="P206" s="23"/>
      <c r="S206" s="23" t="s">
        <v>72</v>
      </c>
      <c r="T206" s="23"/>
      <c r="U206" s="23"/>
      <c r="V206" s="23"/>
      <c r="W206" s="23"/>
      <c r="X206" s="23"/>
      <c r="Y206" s="23"/>
      <c r="Z206" s="23"/>
      <c r="AA206" s="23"/>
      <c r="AB206" s="23"/>
      <c r="AC206" s="23"/>
      <c r="AD206" s="23"/>
      <c r="AE206" s="23"/>
      <c r="AF206" s="23"/>
      <c r="AI206" s="23" t="s">
        <v>73</v>
      </c>
      <c r="AJ206" s="23"/>
      <c r="AK206" s="23"/>
      <c r="AL206" s="23"/>
      <c r="AM206" s="23"/>
      <c r="AN206" s="23"/>
      <c r="AO206" s="23"/>
      <c r="AP206" s="23"/>
      <c r="AQ206" s="23"/>
      <c r="AR206" s="23"/>
      <c r="AS206" s="23"/>
      <c r="AT206" s="23"/>
      <c r="AU206" s="23"/>
      <c r="AV206" s="23"/>
    </row>
    <row r="207" spans="2:48" x14ac:dyDescent="0.3">
      <c r="C207" s="18" t="s">
        <v>3</v>
      </c>
      <c r="D207" s="18" t="s">
        <v>4</v>
      </c>
      <c r="E207" s="18" t="s">
        <v>5</v>
      </c>
      <c r="F207" s="18" t="s">
        <v>6</v>
      </c>
      <c r="G207" s="18" t="s">
        <v>7</v>
      </c>
      <c r="H207" s="18" t="s">
        <v>8</v>
      </c>
      <c r="I207" s="18" t="s">
        <v>9</v>
      </c>
      <c r="J207" s="18" t="s">
        <v>24</v>
      </c>
      <c r="K207" s="18" t="s">
        <v>25</v>
      </c>
      <c r="L207" s="18" t="s">
        <v>26</v>
      </c>
      <c r="M207" s="18" t="s">
        <v>27</v>
      </c>
      <c r="N207" s="18" t="s">
        <v>28</v>
      </c>
      <c r="O207" s="18" t="s">
        <v>29</v>
      </c>
      <c r="P207" s="18" t="s">
        <v>30</v>
      </c>
      <c r="S207" s="18" t="s">
        <v>3</v>
      </c>
      <c r="T207" s="18" t="s">
        <v>4</v>
      </c>
      <c r="U207" s="18" t="s">
        <v>5</v>
      </c>
      <c r="V207" s="18" t="s">
        <v>6</v>
      </c>
      <c r="W207" s="18" t="s">
        <v>7</v>
      </c>
      <c r="X207" s="18" t="s">
        <v>8</v>
      </c>
      <c r="Y207" s="18" t="s">
        <v>9</v>
      </c>
      <c r="Z207" s="18" t="s">
        <v>24</v>
      </c>
      <c r="AA207" s="18" t="s">
        <v>25</v>
      </c>
      <c r="AB207" s="18" t="s">
        <v>26</v>
      </c>
      <c r="AC207" s="18" t="s">
        <v>27</v>
      </c>
      <c r="AD207" s="18" t="s">
        <v>28</v>
      </c>
      <c r="AE207" s="18" t="s">
        <v>29</v>
      </c>
      <c r="AF207" s="18" t="s">
        <v>30</v>
      </c>
      <c r="AI207" s="18" t="s">
        <v>3</v>
      </c>
      <c r="AJ207" s="18" t="s">
        <v>4</v>
      </c>
      <c r="AK207" s="18" t="s">
        <v>5</v>
      </c>
      <c r="AL207" s="18" t="s">
        <v>6</v>
      </c>
      <c r="AM207" s="18" t="s">
        <v>7</v>
      </c>
      <c r="AN207" s="18" t="s">
        <v>8</v>
      </c>
      <c r="AO207" s="18" t="s">
        <v>9</v>
      </c>
      <c r="AP207" s="18" t="s">
        <v>24</v>
      </c>
      <c r="AQ207" s="18" t="s">
        <v>25</v>
      </c>
      <c r="AR207" s="18" t="s">
        <v>26</v>
      </c>
      <c r="AS207" s="18" t="s">
        <v>27</v>
      </c>
      <c r="AT207" s="18" t="s">
        <v>28</v>
      </c>
      <c r="AU207" s="18" t="s">
        <v>29</v>
      </c>
      <c r="AV207" s="18" t="s">
        <v>30</v>
      </c>
    </row>
    <row r="208" spans="2:48" x14ac:dyDescent="0.3">
      <c r="B208" s="2" t="s">
        <v>34</v>
      </c>
      <c r="C208" s="21">
        <f>AVERAGE(C6:C200)</f>
        <v>1.7880179878099337E-3</v>
      </c>
      <c r="D208" s="21">
        <f t="shared" ref="D208:P208" si="58">AVERAGE(D6:D200)</f>
        <v>9.8294764964444968E-3</v>
      </c>
      <c r="E208" s="21">
        <f t="shared" si="58"/>
        <v>2.5593541462097268E-3</v>
      </c>
      <c r="F208" s="21">
        <f t="shared" si="58"/>
        <v>2.7093483354711065E-3</v>
      </c>
      <c r="G208" s="21">
        <f t="shared" si="58"/>
        <v>8.567778126107895E-4</v>
      </c>
      <c r="H208" s="21">
        <f t="shared" si="58"/>
        <v>1.479639721229632E-3</v>
      </c>
      <c r="I208" s="21">
        <f t="shared" si="58"/>
        <v>3.8655873101959295E-3</v>
      </c>
      <c r="J208" s="21">
        <f t="shared" si="58"/>
        <v>-8.1388815358301968E-3</v>
      </c>
      <c r="K208" s="21">
        <f t="shared" si="58"/>
        <v>5.2686853425329538E-3</v>
      </c>
      <c r="L208" s="21">
        <f t="shared" si="58"/>
        <v>2.2541233712404466E-3</v>
      </c>
      <c r="M208" s="21">
        <f t="shared" si="58"/>
        <v>4.1587537598453935E-3</v>
      </c>
      <c r="N208" s="21">
        <f t="shared" si="58"/>
        <v>1.2277351677441078E-2</v>
      </c>
      <c r="O208" s="21">
        <f t="shared" si="58"/>
        <v>-3.0710666483262576E-3</v>
      </c>
      <c r="P208" s="21">
        <f t="shared" si="58"/>
        <v>-3.5277013244455519E-3</v>
      </c>
      <c r="R208" s="2" t="s">
        <v>46</v>
      </c>
      <c r="S208" s="4">
        <f>C208*4</f>
        <v>7.1520719512397348E-3</v>
      </c>
      <c r="T208" s="4">
        <f t="shared" ref="T208:AF209" si="59">D208*4</f>
        <v>3.9317905985777987E-2</v>
      </c>
      <c r="U208" s="4">
        <f t="shared" si="59"/>
        <v>1.0237416584838907E-2</v>
      </c>
      <c r="V208" s="4">
        <f t="shared" si="59"/>
        <v>1.0837393341884426E-2</v>
      </c>
      <c r="W208" s="4">
        <f t="shared" si="59"/>
        <v>3.427111250443158E-3</v>
      </c>
      <c r="X208" s="4">
        <f t="shared" si="59"/>
        <v>5.9185588849185282E-3</v>
      </c>
      <c r="Y208" s="4">
        <f t="shared" si="59"/>
        <v>1.5462349240783718E-2</v>
      </c>
      <c r="Z208" s="4">
        <f t="shared" si="59"/>
        <v>-3.2555526143320787E-2</v>
      </c>
      <c r="AA208" s="4">
        <f t="shared" si="59"/>
        <v>2.1074741370131815E-2</v>
      </c>
      <c r="AB208" s="4">
        <f t="shared" si="59"/>
        <v>9.0164934849617864E-3</v>
      </c>
      <c r="AC208" s="4">
        <f t="shared" si="59"/>
        <v>1.6635015039381574E-2</v>
      </c>
      <c r="AD208" s="4">
        <f t="shared" si="59"/>
        <v>4.9109406709764311E-2</v>
      </c>
      <c r="AE208" s="4">
        <f t="shared" si="59"/>
        <v>-1.228426659330503E-2</v>
      </c>
      <c r="AF208" s="4">
        <f t="shared" si="59"/>
        <v>-1.4110805297782207E-2</v>
      </c>
      <c r="AH208" s="2" t="s">
        <v>46</v>
      </c>
      <c r="AI208" s="4">
        <f>C208*52</f>
        <v>9.297693536611655E-2</v>
      </c>
      <c r="AJ208" s="4">
        <f t="shared" ref="AJ208:AV210" si="60">D208*52</f>
        <v>0.51113277781511379</v>
      </c>
      <c r="AK208" s="4">
        <f t="shared" si="60"/>
        <v>0.13308641560290579</v>
      </c>
      <c r="AL208" s="4">
        <f t="shared" si="60"/>
        <v>0.14088611344449753</v>
      </c>
      <c r="AM208" s="4">
        <f t="shared" si="60"/>
        <v>4.4552446255761054E-2</v>
      </c>
      <c r="AN208" s="4">
        <f t="shared" si="60"/>
        <v>7.694126550394087E-2</v>
      </c>
      <c r="AO208" s="4">
        <f t="shared" si="60"/>
        <v>0.20101054013018832</v>
      </c>
      <c r="AP208" s="4">
        <f t="shared" si="60"/>
        <v>-0.42322183986317025</v>
      </c>
      <c r="AQ208" s="4">
        <f t="shared" si="60"/>
        <v>0.27397163781171358</v>
      </c>
      <c r="AR208" s="4">
        <f t="shared" si="60"/>
        <v>0.11721441530450322</v>
      </c>
      <c r="AS208" s="4">
        <f t="shared" si="60"/>
        <v>0.21625519551196046</v>
      </c>
      <c r="AT208" s="4">
        <f t="shared" si="60"/>
        <v>0.63842228722693606</v>
      </c>
      <c r="AU208" s="4">
        <f t="shared" si="60"/>
        <v>-0.15969546571296539</v>
      </c>
      <c r="AV208" s="4">
        <f t="shared" si="60"/>
        <v>-0.18344046887116869</v>
      </c>
    </row>
    <row r="209" spans="2:48" x14ac:dyDescent="0.3">
      <c r="B209" s="2" t="s">
        <v>15</v>
      </c>
      <c r="C209" s="4">
        <f>_xlfn.VAR.S(C6:C200)</f>
        <v>1.5550219565839208E-3</v>
      </c>
      <c r="D209" s="4">
        <f t="shared" ref="D209:P209" si="61">_xlfn.VAR.S(D6:D200)</f>
        <v>4.9013337905554084E-3</v>
      </c>
      <c r="E209" s="4">
        <f t="shared" si="61"/>
        <v>1.1744356562309011E-3</v>
      </c>
      <c r="F209" s="4">
        <f t="shared" si="61"/>
        <v>2.0062446886327016E-3</v>
      </c>
      <c r="G209" s="4">
        <f t="shared" si="61"/>
        <v>6.8715594997377357E-3</v>
      </c>
      <c r="H209" s="4">
        <f t="shared" si="61"/>
        <v>2.2646222446490909E-3</v>
      </c>
      <c r="I209" s="4">
        <f t="shared" si="61"/>
        <v>3.7446710887202089E-3</v>
      </c>
      <c r="J209" s="4">
        <f t="shared" si="61"/>
        <v>9.4381038564608985E-3</v>
      </c>
      <c r="K209" s="4">
        <f t="shared" si="61"/>
        <v>4.8007586528298592E-3</v>
      </c>
      <c r="L209" s="4">
        <f t="shared" si="61"/>
        <v>1.6775544162076956E-2</v>
      </c>
      <c r="M209" s="4">
        <f t="shared" si="61"/>
        <v>3.8176522338482202E-3</v>
      </c>
      <c r="N209" s="4">
        <f t="shared" si="61"/>
        <v>8.823014300621896E-3</v>
      </c>
      <c r="O209" s="4">
        <f t="shared" si="61"/>
        <v>9.825011165943854E-3</v>
      </c>
      <c r="P209" s="4">
        <f t="shared" si="61"/>
        <v>3.1326741394400218E-3</v>
      </c>
      <c r="R209" s="2" t="s">
        <v>18</v>
      </c>
      <c r="S209" s="4">
        <f>C209*4</f>
        <v>6.2200878263356831E-3</v>
      </c>
      <c r="T209" s="4">
        <f t="shared" si="59"/>
        <v>1.9605335162221633E-2</v>
      </c>
      <c r="U209" s="4">
        <f t="shared" si="59"/>
        <v>4.6977426249236046E-3</v>
      </c>
      <c r="V209" s="4">
        <f t="shared" si="59"/>
        <v>8.0249787545308062E-3</v>
      </c>
      <c r="W209" s="4">
        <f t="shared" si="59"/>
        <v>2.7486237998950943E-2</v>
      </c>
      <c r="X209" s="4">
        <f t="shared" si="59"/>
        <v>9.0584889785963636E-3</v>
      </c>
      <c r="Y209" s="4">
        <f t="shared" si="59"/>
        <v>1.4978684354880836E-2</v>
      </c>
      <c r="Z209" s="4">
        <f t="shared" si="59"/>
        <v>3.7752415425843594E-2</v>
      </c>
      <c r="AA209" s="4">
        <f t="shared" si="59"/>
        <v>1.9203034611319437E-2</v>
      </c>
      <c r="AB209" s="4">
        <f t="shared" si="59"/>
        <v>6.7102176648307824E-2</v>
      </c>
      <c r="AC209" s="4">
        <f t="shared" si="59"/>
        <v>1.5270608935392881E-2</v>
      </c>
      <c r="AD209" s="4">
        <f t="shared" si="59"/>
        <v>3.5292057202487584E-2</v>
      </c>
      <c r="AE209" s="4">
        <f t="shared" si="59"/>
        <v>3.9300044663775416E-2</v>
      </c>
      <c r="AF209" s="4">
        <f t="shared" si="59"/>
        <v>1.2530696557760087E-2</v>
      </c>
      <c r="AH209" s="2" t="s">
        <v>18</v>
      </c>
      <c r="AI209" s="4">
        <f>C209*52</f>
        <v>8.0861141742363876E-2</v>
      </c>
      <c r="AJ209" s="4">
        <f t="shared" si="60"/>
        <v>0.25486935710888126</v>
      </c>
      <c r="AK209" s="4">
        <f t="shared" si="60"/>
        <v>6.1070654124006862E-2</v>
      </c>
      <c r="AL209" s="4">
        <f t="shared" si="60"/>
        <v>0.10432472380890048</v>
      </c>
      <c r="AM209" s="4">
        <f t="shared" si="60"/>
        <v>0.35732109398636225</v>
      </c>
      <c r="AN209" s="4">
        <f t="shared" si="60"/>
        <v>0.11776035672175272</v>
      </c>
      <c r="AO209" s="4">
        <f t="shared" si="60"/>
        <v>0.19472289661345085</v>
      </c>
      <c r="AP209" s="4">
        <f t="shared" si="60"/>
        <v>0.49078140053596675</v>
      </c>
      <c r="AQ209" s="4">
        <f t="shared" si="60"/>
        <v>0.24963944994715268</v>
      </c>
      <c r="AR209" s="4">
        <f t="shared" si="60"/>
        <v>0.87232829642800169</v>
      </c>
      <c r="AS209" s="4">
        <f t="shared" si="60"/>
        <v>0.19851791616010744</v>
      </c>
      <c r="AT209" s="4">
        <f t="shared" si="60"/>
        <v>0.45879674363233858</v>
      </c>
      <c r="AU209" s="4">
        <f t="shared" si="60"/>
        <v>0.51090058062908039</v>
      </c>
      <c r="AV209" s="4">
        <f t="shared" si="60"/>
        <v>0.16289905525088114</v>
      </c>
    </row>
    <row r="210" spans="2:48" x14ac:dyDescent="0.3">
      <c r="B210" s="2" t="s">
        <v>63</v>
      </c>
      <c r="C210" s="4">
        <f>SQRT(C209)</f>
        <v>3.9433766705501527E-2</v>
      </c>
      <c r="D210" s="4">
        <f t="shared" ref="D210:P210" si="62">SQRT(D209)</f>
        <v>7.0009526427161378E-2</v>
      </c>
      <c r="E210" s="4">
        <f t="shared" si="62"/>
        <v>3.4270040213441551E-2</v>
      </c>
      <c r="F210" s="4">
        <f t="shared" si="62"/>
        <v>4.4791122877560256E-2</v>
      </c>
      <c r="G210" s="4">
        <f t="shared" si="62"/>
        <v>8.2894870165395249E-2</v>
      </c>
      <c r="H210" s="4">
        <f t="shared" si="62"/>
        <v>4.7588047287623503E-2</v>
      </c>
      <c r="I210" s="4">
        <f t="shared" si="62"/>
        <v>6.1193717722656867E-2</v>
      </c>
      <c r="J210" s="4">
        <f t="shared" si="62"/>
        <v>9.7149904047615504E-2</v>
      </c>
      <c r="K210" s="4">
        <f t="shared" si="62"/>
        <v>6.9287507191627698E-2</v>
      </c>
      <c r="L210" s="4">
        <f t="shared" si="62"/>
        <v>0.12952043916724865</v>
      </c>
      <c r="M210" s="4">
        <f t="shared" si="62"/>
        <v>6.1787152660146269E-2</v>
      </c>
      <c r="N210" s="4">
        <f t="shared" si="62"/>
        <v>9.3930901734316896E-2</v>
      </c>
      <c r="O210" s="4">
        <f t="shared" si="62"/>
        <v>9.9121194332715004E-2</v>
      </c>
      <c r="P210" s="4">
        <f t="shared" si="62"/>
        <v>5.5970296939001692E-2</v>
      </c>
      <c r="R210" s="2" t="s">
        <v>63</v>
      </c>
      <c r="S210" s="4">
        <f>SQRT(S209)</f>
        <v>7.8867533411003055E-2</v>
      </c>
      <c r="T210" s="4">
        <f t="shared" ref="T210:AF210" si="63">SQRT(T209)</f>
        <v>0.14001905285432276</v>
      </c>
      <c r="U210" s="4">
        <f t="shared" si="63"/>
        <v>6.8540080426883102E-2</v>
      </c>
      <c r="V210" s="4">
        <f t="shared" si="63"/>
        <v>8.9582245755120513E-2</v>
      </c>
      <c r="W210" s="4">
        <f t="shared" si="63"/>
        <v>0.1657897403307905</v>
      </c>
      <c r="X210" s="4">
        <f t="shared" si="63"/>
        <v>9.5176094575247006E-2</v>
      </c>
      <c r="Y210" s="4">
        <f t="shared" si="63"/>
        <v>0.12238743544531373</v>
      </c>
      <c r="Z210" s="4">
        <f t="shared" si="63"/>
        <v>0.19429980809523101</v>
      </c>
      <c r="AA210" s="4">
        <f t="shared" si="63"/>
        <v>0.1385750143832554</v>
      </c>
      <c r="AB210" s="4">
        <f t="shared" si="63"/>
        <v>0.25904087833449729</v>
      </c>
      <c r="AC210" s="4">
        <f t="shared" si="63"/>
        <v>0.12357430532029254</v>
      </c>
      <c r="AD210" s="4">
        <f t="shared" si="63"/>
        <v>0.18786180346863379</v>
      </c>
      <c r="AE210" s="4">
        <f t="shared" si="63"/>
        <v>0.19824238866543001</v>
      </c>
      <c r="AF210" s="4">
        <f t="shared" si="63"/>
        <v>0.11194059387800338</v>
      </c>
      <c r="AH210" s="2" t="s">
        <v>63</v>
      </c>
      <c r="AI210" s="4">
        <f>C210*52</f>
        <v>2.0505558686860796</v>
      </c>
      <c r="AJ210" s="4">
        <f t="shared" si="60"/>
        <v>3.6404953742123918</v>
      </c>
      <c r="AK210" s="4">
        <f t="shared" si="60"/>
        <v>1.7820420910989607</v>
      </c>
      <c r="AL210" s="4">
        <f t="shared" si="60"/>
        <v>2.3291383896331332</v>
      </c>
      <c r="AM210" s="4">
        <f t="shared" si="60"/>
        <v>4.310533248600553</v>
      </c>
      <c r="AN210" s="4">
        <f t="shared" si="60"/>
        <v>2.4745784589564224</v>
      </c>
      <c r="AO210" s="4">
        <f t="shared" si="60"/>
        <v>3.1820733215781569</v>
      </c>
      <c r="AP210" s="4">
        <f t="shared" si="60"/>
        <v>5.0517950104760061</v>
      </c>
      <c r="AQ210" s="4">
        <f t="shared" si="60"/>
        <v>3.6029503739646405</v>
      </c>
      <c r="AR210" s="4">
        <f t="shared" si="60"/>
        <v>6.7350628366969296</v>
      </c>
      <c r="AS210" s="4">
        <f t="shared" si="60"/>
        <v>3.212931938327606</v>
      </c>
      <c r="AT210" s="4">
        <f t="shared" si="60"/>
        <v>4.8844068901844784</v>
      </c>
      <c r="AU210" s="4">
        <f t="shared" si="60"/>
        <v>5.1543021053011806</v>
      </c>
      <c r="AV210" s="4">
        <f t="shared" si="60"/>
        <v>2.910455440828088</v>
      </c>
    </row>
  </sheetData>
  <mergeCells count="33">
    <mergeCell ref="H4:H5"/>
    <mergeCell ref="C4:C5"/>
    <mergeCell ref="C206:P206"/>
    <mergeCell ref="S206:AF206"/>
    <mergeCell ref="AI206:AV206"/>
    <mergeCell ref="AF4:AF5"/>
    <mergeCell ref="Z4:Z5"/>
    <mergeCell ref="AA4:AA5"/>
    <mergeCell ref="AB4:AB5"/>
    <mergeCell ref="AC4:AC5"/>
    <mergeCell ref="AD4:AD5"/>
    <mergeCell ref="AE4:AE5"/>
    <mergeCell ref="P4:P5"/>
    <mergeCell ref="D4:D5"/>
    <mergeCell ref="E4:E5"/>
    <mergeCell ref="F4:F5"/>
    <mergeCell ref="G4:G5"/>
    <mergeCell ref="I4:I5"/>
    <mergeCell ref="C3:P3"/>
    <mergeCell ref="S3:AF3"/>
    <mergeCell ref="S4:S5"/>
    <mergeCell ref="T4:T5"/>
    <mergeCell ref="U4:U5"/>
    <mergeCell ref="V4:V5"/>
    <mergeCell ref="W4:W5"/>
    <mergeCell ref="X4:X5"/>
    <mergeCell ref="Y4:Y5"/>
    <mergeCell ref="J4:J5"/>
    <mergeCell ref="K4:K5"/>
    <mergeCell ref="L4:L5"/>
    <mergeCell ref="M4:M5"/>
    <mergeCell ref="N4:N5"/>
    <mergeCell ref="O4:O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EBCA4-993F-46DE-BB2B-BA7CD9CC360E}">
  <dimension ref="B3:AF67"/>
  <sheetViews>
    <sheetView topLeftCell="A46" workbookViewId="0">
      <selection activeCell="D67" sqref="D67"/>
    </sheetView>
  </sheetViews>
  <sheetFormatPr defaultRowHeight="14.4" x14ac:dyDescent="0.3"/>
  <cols>
    <col min="4" max="4" width="11.44140625" customWidth="1"/>
  </cols>
  <sheetData>
    <row r="3" spans="2:32" x14ac:dyDescent="0.3">
      <c r="C3" s="23" t="s">
        <v>55</v>
      </c>
      <c r="D3" s="23"/>
      <c r="E3" s="23"/>
      <c r="F3" s="23"/>
      <c r="G3" s="23"/>
      <c r="H3" s="23"/>
      <c r="I3" s="23"/>
      <c r="J3" s="23"/>
      <c r="K3" s="23"/>
      <c r="L3" s="23"/>
      <c r="M3" s="23"/>
      <c r="N3" s="23"/>
      <c r="O3" s="23"/>
      <c r="P3" s="23"/>
      <c r="S3" s="23" t="s">
        <v>13</v>
      </c>
      <c r="T3" s="23"/>
      <c r="U3" s="23"/>
      <c r="V3" s="23"/>
      <c r="W3" s="23"/>
      <c r="X3" s="23"/>
      <c r="Y3" s="23"/>
      <c r="Z3" s="23"/>
      <c r="AA3" s="23"/>
      <c r="AB3" s="23"/>
      <c r="AC3" s="23"/>
      <c r="AD3" s="23"/>
      <c r="AE3" s="23"/>
      <c r="AF3" s="23"/>
    </row>
    <row r="4" spans="2:32" x14ac:dyDescent="0.3">
      <c r="C4" s="18" t="s">
        <v>3</v>
      </c>
      <c r="D4" s="18" t="s">
        <v>4</v>
      </c>
      <c r="E4" s="18" t="s">
        <v>5</v>
      </c>
      <c r="F4" s="18" t="s">
        <v>6</v>
      </c>
      <c r="G4" s="18" t="s">
        <v>7</v>
      </c>
      <c r="H4" s="18" t="s">
        <v>8</v>
      </c>
      <c r="I4" s="18" t="s">
        <v>9</v>
      </c>
      <c r="J4" s="18" t="s">
        <v>24</v>
      </c>
      <c r="K4" s="18" t="s">
        <v>25</v>
      </c>
      <c r="L4" s="18" t="s">
        <v>26</v>
      </c>
      <c r="M4" s="18" t="s">
        <v>27</v>
      </c>
      <c r="N4" s="18" t="s">
        <v>28</v>
      </c>
      <c r="O4" s="18" t="s">
        <v>29</v>
      </c>
      <c r="P4" s="18" t="s">
        <v>30</v>
      </c>
      <c r="S4" s="18" t="s">
        <v>3</v>
      </c>
      <c r="T4" s="18" t="s">
        <v>4</v>
      </c>
      <c r="U4" s="18" t="s">
        <v>5</v>
      </c>
      <c r="V4" s="18" t="s">
        <v>6</v>
      </c>
      <c r="W4" s="18" t="s">
        <v>7</v>
      </c>
      <c r="X4" s="18" t="s">
        <v>8</v>
      </c>
      <c r="Y4" s="18" t="s">
        <v>9</v>
      </c>
      <c r="Z4" s="18" t="s">
        <v>24</v>
      </c>
      <c r="AA4" s="18" t="s">
        <v>25</v>
      </c>
      <c r="AB4" s="18" t="s">
        <v>26</v>
      </c>
      <c r="AC4" s="18" t="s">
        <v>27</v>
      </c>
      <c r="AD4" s="18" t="s">
        <v>28</v>
      </c>
      <c r="AE4" s="18" t="s">
        <v>29</v>
      </c>
      <c r="AF4" s="18" t="s">
        <v>30</v>
      </c>
    </row>
    <row r="5" spans="2:32" x14ac:dyDescent="0.3">
      <c r="B5" s="18" t="s">
        <v>3</v>
      </c>
      <c r="C5" s="20" cm="1">
        <f t="array" ref="C5:P18">MMULT(TRANSPOSE('Combined Portfolio Returns '!S6:AF200),'Combined Portfolio Returns '!S6:AF200)/(195-1)</f>
        <v>1.5550219565839212E-3</v>
      </c>
      <c r="D5" s="20">
        <v>1.327122847057105E-3</v>
      </c>
      <c r="E5" s="20">
        <v>7.3193836081525735E-4</v>
      </c>
      <c r="F5" s="20">
        <v>9.9369454789545691E-4</v>
      </c>
      <c r="G5" s="20">
        <v>1.5952190525660957E-3</v>
      </c>
      <c r="H5" s="20">
        <v>9.6416762261103764E-4</v>
      </c>
      <c r="I5" s="20">
        <v>8.9366059646770911E-4</v>
      </c>
      <c r="J5" s="20">
        <v>8.8699316906765135E-4</v>
      </c>
      <c r="K5" s="20">
        <v>1.1642862113430341E-3</v>
      </c>
      <c r="L5" s="20">
        <v>1.9189195588967343E-3</v>
      </c>
      <c r="M5" s="20">
        <v>8.4401830312769502E-4</v>
      </c>
      <c r="N5" s="20">
        <v>1.3833050948663535E-3</v>
      </c>
      <c r="O5" s="20">
        <v>1.7947576794059567E-3</v>
      </c>
      <c r="P5" s="20">
        <v>9.6854881214523242E-4</v>
      </c>
      <c r="R5" s="18" t="s">
        <v>3</v>
      </c>
      <c r="S5" cm="1">
        <f t="array" ref="S5:AF18">MINVERSE(_xlfn.ANCHORARRAY(C5))</f>
        <v>1217.7245070111442</v>
      </c>
      <c r="T5">
        <v>-46.982916280152601</v>
      </c>
      <c r="U5">
        <v>-205.03188752666088</v>
      </c>
      <c r="V5">
        <v>-286.66890040081506</v>
      </c>
      <c r="W5">
        <v>-142.09731995778364</v>
      </c>
      <c r="X5">
        <v>-35.640188888827403</v>
      </c>
      <c r="Y5">
        <v>8.9056450495629598</v>
      </c>
      <c r="Z5">
        <v>10.714757009750336</v>
      </c>
      <c r="AA5">
        <v>-28.894993479952216</v>
      </c>
      <c r="AB5">
        <v>21.107443351520413</v>
      </c>
      <c r="AC5">
        <v>-60.1159275433712</v>
      </c>
      <c r="AD5">
        <v>57.310382817038999</v>
      </c>
      <c r="AE5">
        <v>-76.658193156531198</v>
      </c>
      <c r="AF5">
        <v>-52.18596330412494</v>
      </c>
    </row>
    <row r="6" spans="2:32" x14ac:dyDescent="0.3">
      <c r="B6" s="18" t="s">
        <v>4</v>
      </c>
      <c r="C6">
        <v>1.327122847057105E-3</v>
      </c>
      <c r="D6">
        <v>4.9013337905554092E-3</v>
      </c>
      <c r="E6">
        <v>1.6247621180596077E-3</v>
      </c>
      <c r="F6">
        <v>1.4361164604928872E-3</v>
      </c>
      <c r="G6">
        <v>2.6392849552401556E-3</v>
      </c>
      <c r="H6">
        <v>1.9675214626557382E-3</v>
      </c>
      <c r="I6">
        <v>1.8025163896304962E-3</v>
      </c>
      <c r="J6">
        <v>1.7558337827580227E-3</v>
      </c>
      <c r="K6">
        <v>2.5179257668152227E-3</v>
      </c>
      <c r="L6">
        <v>4.4075716277955394E-3</v>
      </c>
      <c r="M6">
        <v>2.0872361898418759E-3</v>
      </c>
      <c r="N6">
        <v>3.4933285584314664E-3</v>
      </c>
      <c r="O6">
        <v>3.1054124807419954E-3</v>
      </c>
      <c r="P6">
        <v>1.67919684201542E-3</v>
      </c>
      <c r="R6" s="18" t="s">
        <v>4</v>
      </c>
      <c r="S6">
        <v>-46.982916280152615</v>
      </c>
      <c r="T6">
        <v>476.75108410969631</v>
      </c>
      <c r="U6">
        <v>-419.87597361023956</v>
      </c>
      <c r="V6">
        <v>47.220414971428283</v>
      </c>
      <c r="W6">
        <v>-33.382397937713385</v>
      </c>
      <c r="X6">
        <v>-63.173260287971772</v>
      </c>
      <c r="Y6">
        <v>11.191259972900991</v>
      </c>
      <c r="Z6">
        <v>-14.470595551539832</v>
      </c>
      <c r="AA6">
        <v>-19.253135525360626</v>
      </c>
      <c r="AB6">
        <v>-13.191314924438872</v>
      </c>
      <c r="AC6">
        <v>-71.770646135827221</v>
      </c>
      <c r="AD6">
        <v>-52.754653682838835</v>
      </c>
      <c r="AE6">
        <v>-8.0697121679980643</v>
      </c>
      <c r="AF6">
        <v>13.951578229829504</v>
      </c>
    </row>
    <row r="7" spans="2:32" x14ac:dyDescent="0.3">
      <c r="B7" s="18" t="s">
        <v>5</v>
      </c>
      <c r="C7">
        <v>7.3193836081525735E-4</v>
      </c>
      <c r="D7">
        <v>1.6247621180596077E-3</v>
      </c>
      <c r="E7">
        <v>1.1744356562309016E-3</v>
      </c>
      <c r="F7">
        <v>9.2737939477269672E-4</v>
      </c>
      <c r="G7">
        <v>1.2199969479343056E-3</v>
      </c>
      <c r="H7">
        <v>1.080662496444424E-3</v>
      </c>
      <c r="I7">
        <v>1.2203673629553147E-3</v>
      </c>
      <c r="J7">
        <v>7.4103175995676859E-4</v>
      </c>
      <c r="K7">
        <v>1.2524327992730849E-3</v>
      </c>
      <c r="L7">
        <v>1.9484149966242802E-3</v>
      </c>
      <c r="M7">
        <v>8.387675502282612E-4</v>
      </c>
      <c r="N7">
        <v>1.4271644182995388E-3</v>
      </c>
      <c r="O7">
        <v>1.401944040366167E-3</v>
      </c>
      <c r="P7">
        <v>8.4476781852577988E-4</v>
      </c>
      <c r="R7" s="18" t="s">
        <v>5</v>
      </c>
      <c r="S7">
        <v>-205.0318875266608</v>
      </c>
      <c r="T7">
        <v>-419.87597361023956</v>
      </c>
      <c r="U7">
        <v>2474.1209838632863</v>
      </c>
      <c r="V7">
        <v>-310.65715300417025</v>
      </c>
      <c r="W7">
        <v>-33.858148195127761</v>
      </c>
      <c r="X7">
        <v>-296.95433270730848</v>
      </c>
      <c r="Y7">
        <v>-325.07516003729444</v>
      </c>
      <c r="Z7">
        <v>38.027697440414634</v>
      </c>
      <c r="AA7">
        <v>-127.85874499382631</v>
      </c>
      <c r="AB7">
        <v>-17.890849890327129</v>
      </c>
      <c r="AC7">
        <v>46.488225853334363</v>
      </c>
      <c r="AD7">
        <v>49.360415449133932</v>
      </c>
      <c r="AE7">
        <v>59.343558581156941</v>
      </c>
      <c r="AF7">
        <v>-61.822019684952487</v>
      </c>
    </row>
    <row r="8" spans="2:32" x14ac:dyDescent="0.3">
      <c r="B8" s="18" t="s">
        <v>6</v>
      </c>
      <c r="C8">
        <v>9.9369454789545691E-4</v>
      </c>
      <c r="D8">
        <v>1.4361164604928872E-3</v>
      </c>
      <c r="E8">
        <v>9.2737939477269672E-4</v>
      </c>
      <c r="F8">
        <v>2.006244688632699E-3</v>
      </c>
      <c r="G8">
        <v>1.4658289069215708E-3</v>
      </c>
      <c r="H8">
        <v>1.3394594078366708E-3</v>
      </c>
      <c r="I8">
        <v>1.2672061936300036E-3</v>
      </c>
      <c r="J8">
        <v>1.2628896535333781E-3</v>
      </c>
      <c r="K8">
        <v>1.4253139278244786E-3</v>
      </c>
      <c r="L8">
        <v>2.2999812111528443E-3</v>
      </c>
      <c r="M8">
        <v>7.8200912339975056E-4</v>
      </c>
      <c r="N8">
        <v>1.7282904674416893E-3</v>
      </c>
      <c r="O8">
        <v>1.9446031116541525E-3</v>
      </c>
      <c r="P8">
        <v>1.081155980175336E-3</v>
      </c>
      <c r="R8" s="18" t="s">
        <v>6</v>
      </c>
      <c r="S8">
        <v>-286.66890040081518</v>
      </c>
      <c r="T8">
        <v>47.220414971428063</v>
      </c>
      <c r="U8">
        <v>-310.65715300416997</v>
      </c>
      <c r="V8">
        <v>1068.1534014339429</v>
      </c>
      <c r="W8">
        <v>6.0191347880294881</v>
      </c>
      <c r="X8">
        <v>-293.90451148045599</v>
      </c>
      <c r="Y8">
        <v>-64.090317688708581</v>
      </c>
      <c r="Z8">
        <v>-39.447522436445162</v>
      </c>
      <c r="AA8">
        <v>-30.260642575451936</v>
      </c>
      <c r="AB8">
        <v>-9.5760722790567456</v>
      </c>
      <c r="AC8">
        <v>112.38325647621822</v>
      </c>
      <c r="AD8">
        <v>-28.035687605462101</v>
      </c>
      <c r="AE8">
        <v>-21.878794536431876</v>
      </c>
      <c r="AF8">
        <v>-49.64938325933764</v>
      </c>
    </row>
    <row r="9" spans="2:32" x14ac:dyDescent="0.3">
      <c r="B9" s="18" t="s">
        <v>7</v>
      </c>
      <c r="C9">
        <v>1.5952190525660957E-3</v>
      </c>
      <c r="D9">
        <v>2.6392849552401556E-3</v>
      </c>
      <c r="E9">
        <v>1.2199969479343056E-3</v>
      </c>
      <c r="F9">
        <v>1.4658289069215708E-3</v>
      </c>
      <c r="G9">
        <v>6.8715594997377331E-3</v>
      </c>
      <c r="H9">
        <v>1.7677302295025427E-3</v>
      </c>
      <c r="I9">
        <v>1.1190289986841E-3</v>
      </c>
      <c r="J9">
        <v>1.4640090113914529E-3</v>
      </c>
      <c r="K9">
        <v>2.1592934274844641E-3</v>
      </c>
      <c r="L9">
        <v>5.0752837830794935E-3</v>
      </c>
      <c r="M9">
        <v>1.1670307151664383E-3</v>
      </c>
      <c r="N9">
        <v>3.7896956050208373E-3</v>
      </c>
      <c r="O9">
        <v>2.9959187117918418E-3</v>
      </c>
      <c r="P9">
        <v>1.8494147868953589E-3</v>
      </c>
      <c r="R9" s="18" t="s">
        <v>7</v>
      </c>
      <c r="S9">
        <v>-142.09731995778361</v>
      </c>
      <c r="T9">
        <v>-33.382397937713378</v>
      </c>
      <c r="U9">
        <v>-33.858148195127654</v>
      </c>
      <c r="V9">
        <v>6.019134788029544</v>
      </c>
      <c r="W9">
        <v>252.71513598288792</v>
      </c>
      <c r="X9">
        <v>-40.902005057377885</v>
      </c>
      <c r="Y9">
        <v>33.308681252061476</v>
      </c>
      <c r="Z9">
        <v>-1.5283550757612967</v>
      </c>
      <c r="AA9">
        <v>-1.8856138666890088</v>
      </c>
      <c r="AB9">
        <v>-36.633338686836574</v>
      </c>
      <c r="AC9">
        <v>65.623151215677098</v>
      </c>
      <c r="AD9">
        <v>-53.279997003046375</v>
      </c>
      <c r="AE9">
        <v>8.757960088385417</v>
      </c>
      <c r="AF9">
        <v>-34.024073428608993</v>
      </c>
    </row>
    <row r="10" spans="2:32" x14ac:dyDescent="0.3">
      <c r="B10" s="18" t="s">
        <v>8</v>
      </c>
      <c r="C10">
        <v>9.6416762261103764E-4</v>
      </c>
      <c r="D10">
        <v>1.9675214626557382E-3</v>
      </c>
      <c r="E10">
        <v>1.080662496444424E-3</v>
      </c>
      <c r="F10">
        <v>1.3394594078366708E-3</v>
      </c>
      <c r="G10">
        <v>1.7677302295025427E-3</v>
      </c>
      <c r="H10">
        <v>2.2646222446490913E-3</v>
      </c>
      <c r="I10">
        <v>1.522470056154855E-3</v>
      </c>
      <c r="J10">
        <v>1.425433779109659E-3</v>
      </c>
      <c r="K10">
        <v>1.8245291587605805E-3</v>
      </c>
      <c r="L10">
        <v>3.0980420807688522E-3</v>
      </c>
      <c r="M10">
        <v>1.3956085923355263E-3</v>
      </c>
      <c r="N10">
        <v>2.2864684762857641E-3</v>
      </c>
      <c r="O10">
        <v>2.1715951128364369E-3</v>
      </c>
      <c r="P10">
        <v>1.2718169424595204E-3</v>
      </c>
      <c r="R10" s="18" t="s">
        <v>8</v>
      </c>
      <c r="S10">
        <v>-35.640188888827282</v>
      </c>
      <c r="T10">
        <v>-63.17326028797185</v>
      </c>
      <c r="U10">
        <v>-296.95433270730899</v>
      </c>
      <c r="V10">
        <v>-293.9045114804556</v>
      </c>
      <c r="W10">
        <v>-40.902005057377671</v>
      </c>
      <c r="X10">
        <v>1148.5602602517677</v>
      </c>
      <c r="Y10">
        <v>-116.86745313018739</v>
      </c>
      <c r="Z10">
        <v>-33.359008594215098</v>
      </c>
      <c r="AA10">
        <v>-66.108912420563485</v>
      </c>
      <c r="AB10">
        <v>-30.504373891407813</v>
      </c>
      <c r="AC10">
        <v>-94.258779762403236</v>
      </c>
      <c r="AD10">
        <v>-42.316762423945178</v>
      </c>
      <c r="AE10">
        <v>27.9175228022347</v>
      </c>
      <c r="AF10">
        <v>-37.139378412959161</v>
      </c>
    </row>
    <row r="11" spans="2:32" x14ac:dyDescent="0.3">
      <c r="B11" s="18" t="s">
        <v>9</v>
      </c>
      <c r="C11">
        <v>8.9366059646770911E-4</v>
      </c>
      <c r="D11">
        <v>1.8025163896304962E-3</v>
      </c>
      <c r="E11">
        <v>1.2203673629553147E-3</v>
      </c>
      <c r="F11">
        <v>1.2672061936300036E-3</v>
      </c>
      <c r="G11">
        <v>1.1190289986841E-3</v>
      </c>
      <c r="H11">
        <v>1.522470056154855E-3</v>
      </c>
      <c r="I11">
        <v>3.7446710887202106E-3</v>
      </c>
      <c r="J11">
        <v>8.914812428640074E-4</v>
      </c>
      <c r="K11">
        <v>1.5640110823640317E-3</v>
      </c>
      <c r="L11">
        <v>2.4427294398943434E-3</v>
      </c>
      <c r="M11">
        <v>1.3235843076778477E-3</v>
      </c>
      <c r="N11">
        <v>1.8743211495355751E-3</v>
      </c>
      <c r="O11">
        <v>2.5187148983832051E-3</v>
      </c>
      <c r="P11">
        <v>1.1655967907200028E-3</v>
      </c>
      <c r="R11" s="18" t="s">
        <v>9</v>
      </c>
      <c r="S11">
        <v>8.905645049562894</v>
      </c>
      <c r="T11">
        <v>11.191259972900996</v>
      </c>
      <c r="U11">
        <v>-325.07516003729438</v>
      </c>
      <c r="V11">
        <v>-64.090317688708609</v>
      </c>
      <c r="W11">
        <v>33.308681252061504</v>
      </c>
      <c r="X11">
        <v>-116.86745313018736</v>
      </c>
      <c r="Y11">
        <v>457.98036014066298</v>
      </c>
      <c r="Z11">
        <v>20.496308939857343</v>
      </c>
      <c r="AA11">
        <v>2.9654348783162541</v>
      </c>
      <c r="AB11">
        <v>7.4670465161493311</v>
      </c>
      <c r="AC11">
        <v>-35.876626382072914</v>
      </c>
      <c r="AD11">
        <v>10.250982796886861</v>
      </c>
      <c r="AE11">
        <v>-58.72517337432523</v>
      </c>
      <c r="AF11">
        <v>9.006344478271318</v>
      </c>
    </row>
    <row r="12" spans="2:32" x14ac:dyDescent="0.3">
      <c r="B12" s="18" t="s">
        <v>24</v>
      </c>
      <c r="C12">
        <v>8.8699316906765135E-4</v>
      </c>
      <c r="D12">
        <v>1.7558337827580227E-3</v>
      </c>
      <c r="E12">
        <v>7.4103175995676859E-4</v>
      </c>
      <c r="F12">
        <v>1.2628896535333781E-3</v>
      </c>
      <c r="G12">
        <v>1.4640090113914529E-3</v>
      </c>
      <c r="H12">
        <v>1.425433779109659E-3</v>
      </c>
      <c r="I12">
        <v>8.914812428640074E-4</v>
      </c>
      <c r="J12">
        <v>9.4381038564609002E-3</v>
      </c>
      <c r="K12">
        <v>2.3154569978208524E-3</v>
      </c>
      <c r="L12">
        <v>3.75999307877573E-3</v>
      </c>
      <c r="M12">
        <v>1.5440184850889992E-3</v>
      </c>
      <c r="N12">
        <v>1.2471033541780327E-3</v>
      </c>
      <c r="O12">
        <v>3.3082391129457258E-3</v>
      </c>
      <c r="P12">
        <v>1.3680207078341814E-3</v>
      </c>
      <c r="R12" s="18" t="s">
        <v>24</v>
      </c>
      <c r="S12">
        <v>10.714757009750279</v>
      </c>
      <c r="T12">
        <v>-14.470595551539787</v>
      </c>
      <c r="U12">
        <v>38.027697440414627</v>
      </c>
      <c r="V12">
        <v>-39.447522436445155</v>
      </c>
      <c r="W12">
        <v>-1.5283550757612669</v>
      </c>
      <c r="X12">
        <v>-33.35900859421519</v>
      </c>
      <c r="Y12">
        <v>20.496308939857361</v>
      </c>
      <c r="Z12">
        <v>138.45793877822328</v>
      </c>
      <c r="AA12">
        <v>-48.577670029128548</v>
      </c>
      <c r="AB12">
        <v>-13.322872464151626</v>
      </c>
      <c r="AC12">
        <v>-11.180977039809857</v>
      </c>
      <c r="AD12">
        <v>43.089076683697947</v>
      </c>
      <c r="AE12">
        <v>-33.54382672043063</v>
      </c>
      <c r="AF12">
        <v>-0.47528520285967846</v>
      </c>
    </row>
    <row r="13" spans="2:32" x14ac:dyDescent="0.3">
      <c r="B13" s="18" t="s">
        <v>25</v>
      </c>
      <c r="C13">
        <v>1.1642862113430341E-3</v>
      </c>
      <c r="D13">
        <v>2.5179257668152227E-3</v>
      </c>
      <c r="E13">
        <v>1.2524327992730849E-3</v>
      </c>
      <c r="F13">
        <v>1.4253139278244786E-3</v>
      </c>
      <c r="G13">
        <v>2.1592934274844641E-3</v>
      </c>
      <c r="H13">
        <v>1.8245291587605805E-3</v>
      </c>
      <c r="I13">
        <v>1.5640110823640317E-3</v>
      </c>
      <c r="J13">
        <v>2.3154569978208524E-3</v>
      </c>
      <c r="K13">
        <v>4.8007586528298609E-3</v>
      </c>
      <c r="L13">
        <v>3.7986976879687859E-3</v>
      </c>
      <c r="M13">
        <v>2.0580367655207293E-3</v>
      </c>
      <c r="N13">
        <v>3.633458698195226E-3</v>
      </c>
      <c r="O13">
        <v>3.1261636632104539E-3</v>
      </c>
      <c r="P13">
        <v>1.673078284223138E-3</v>
      </c>
      <c r="R13" s="18" t="s">
        <v>25</v>
      </c>
      <c r="S13">
        <v>-28.89499347995233</v>
      </c>
      <c r="T13">
        <v>-19.253135525360559</v>
      </c>
      <c r="U13">
        <v>-127.85874499382638</v>
      </c>
      <c r="V13">
        <v>-30.260642575451886</v>
      </c>
      <c r="W13">
        <v>-1.8856138666890656</v>
      </c>
      <c r="X13">
        <v>-66.108912420563513</v>
      </c>
      <c r="Y13">
        <v>2.9654348783162745</v>
      </c>
      <c r="Z13">
        <v>-48.577670029128555</v>
      </c>
      <c r="AA13">
        <v>409.62348736523728</v>
      </c>
      <c r="AB13">
        <v>9.6492131190961885</v>
      </c>
      <c r="AC13">
        <v>-68.977408070521605</v>
      </c>
      <c r="AD13">
        <v>-87.184914895088838</v>
      </c>
      <c r="AE13">
        <v>-3.479026416567589</v>
      </c>
      <c r="AF13">
        <v>-9.3390340459016752</v>
      </c>
    </row>
    <row r="14" spans="2:32" x14ac:dyDescent="0.3">
      <c r="B14" s="18" t="s">
        <v>26</v>
      </c>
      <c r="C14">
        <v>1.9189195588967343E-3</v>
      </c>
      <c r="D14">
        <v>4.4075716277955394E-3</v>
      </c>
      <c r="E14">
        <v>1.9484149966242802E-3</v>
      </c>
      <c r="F14">
        <v>2.2999812111528443E-3</v>
      </c>
      <c r="G14">
        <v>5.0752837830794935E-3</v>
      </c>
      <c r="H14">
        <v>3.0980420807688522E-3</v>
      </c>
      <c r="I14">
        <v>2.4427294398943434E-3</v>
      </c>
      <c r="J14">
        <v>3.75999307877573E-3</v>
      </c>
      <c r="K14">
        <v>3.7986976879687859E-3</v>
      </c>
      <c r="L14">
        <v>1.6775544162076949E-2</v>
      </c>
      <c r="M14">
        <v>3.878975112370404E-3</v>
      </c>
      <c r="N14">
        <v>6.2803709502877907E-3</v>
      </c>
      <c r="O14">
        <v>6.4787933874069824E-3</v>
      </c>
      <c r="P14">
        <v>3.3662723575431366E-3</v>
      </c>
      <c r="R14" s="18" t="s">
        <v>26</v>
      </c>
      <c r="S14">
        <v>21.107443351520534</v>
      </c>
      <c r="T14">
        <v>-13.191314924438789</v>
      </c>
      <c r="U14">
        <v>-17.89084989032699</v>
      </c>
      <c r="V14">
        <v>-9.5760722790565662</v>
      </c>
      <c r="W14">
        <v>-36.633338686836566</v>
      </c>
      <c r="X14">
        <v>-30.504373891408488</v>
      </c>
      <c r="Y14">
        <v>7.4670465161494519</v>
      </c>
      <c r="Z14">
        <v>-13.322872464151622</v>
      </c>
      <c r="AA14">
        <v>9.6492131190962951</v>
      </c>
      <c r="AB14">
        <v>110.99921031756919</v>
      </c>
      <c r="AC14">
        <v>-47.45373390231979</v>
      </c>
      <c r="AD14">
        <v>-21.070402791909579</v>
      </c>
      <c r="AE14">
        <v>-21.773731915770053</v>
      </c>
      <c r="AF14">
        <v>-16.176102224465666</v>
      </c>
    </row>
    <row r="15" spans="2:32" x14ac:dyDescent="0.3">
      <c r="B15" s="18" t="s">
        <v>27</v>
      </c>
      <c r="C15">
        <v>8.4401830312769502E-4</v>
      </c>
      <c r="D15">
        <v>2.0872361898418759E-3</v>
      </c>
      <c r="E15">
        <v>8.387675502282612E-4</v>
      </c>
      <c r="F15">
        <v>7.8200912339975056E-4</v>
      </c>
      <c r="G15">
        <v>1.1670307151664383E-3</v>
      </c>
      <c r="H15">
        <v>1.3956085923355263E-3</v>
      </c>
      <c r="I15">
        <v>1.3235843076778477E-3</v>
      </c>
      <c r="J15">
        <v>1.5440184850889992E-3</v>
      </c>
      <c r="K15">
        <v>2.0580367655207293E-3</v>
      </c>
      <c r="L15">
        <v>3.878975112370404E-3</v>
      </c>
      <c r="M15">
        <v>3.8176522338482185E-3</v>
      </c>
      <c r="N15">
        <v>2.6607827957285074E-3</v>
      </c>
      <c r="O15">
        <v>2.7435415514348443E-3</v>
      </c>
      <c r="P15">
        <v>1.5599430242390481E-3</v>
      </c>
      <c r="R15" s="18" t="s">
        <v>27</v>
      </c>
      <c r="S15">
        <v>-60.115927543371185</v>
      </c>
      <c r="T15">
        <v>-71.770646135827235</v>
      </c>
      <c r="U15">
        <v>46.488225853334605</v>
      </c>
      <c r="V15">
        <v>112.38325647621826</v>
      </c>
      <c r="W15">
        <v>65.623151215677112</v>
      </c>
      <c r="X15">
        <v>-94.258779762403549</v>
      </c>
      <c r="Y15">
        <v>-35.876626382072921</v>
      </c>
      <c r="Z15">
        <v>-11.180977039809839</v>
      </c>
      <c r="AA15">
        <v>-68.977408070521591</v>
      </c>
      <c r="AB15">
        <v>-47.453733902319797</v>
      </c>
      <c r="AC15">
        <v>464.00724262601273</v>
      </c>
      <c r="AD15">
        <v>-33.013231041564417</v>
      </c>
      <c r="AE15">
        <v>-15.952196215103411</v>
      </c>
      <c r="AF15">
        <v>-77.185287421170102</v>
      </c>
    </row>
    <row r="16" spans="2:32" x14ac:dyDescent="0.3">
      <c r="B16" s="18" t="s">
        <v>28</v>
      </c>
      <c r="C16">
        <v>1.3833050948663535E-3</v>
      </c>
      <c r="D16">
        <v>3.4933285584314664E-3</v>
      </c>
      <c r="E16">
        <v>1.4271644182995388E-3</v>
      </c>
      <c r="F16">
        <v>1.7282904674416893E-3</v>
      </c>
      <c r="G16">
        <v>3.7896956050208373E-3</v>
      </c>
      <c r="H16">
        <v>2.2864684762857641E-3</v>
      </c>
      <c r="I16">
        <v>1.8743211495355751E-3</v>
      </c>
      <c r="J16">
        <v>1.2471033541780327E-3</v>
      </c>
      <c r="K16">
        <v>3.633458698195226E-3</v>
      </c>
      <c r="L16">
        <v>6.2803709502877907E-3</v>
      </c>
      <c r="M16">
        <v>2.6607827957285074E-3</v>
      </c>
      <c r="N16">
        <v>8.8230143006219081E-3</v>
      </c>
      <c r="O16">
        <v>5.0216596877703783E-3</v>
      </c>
      <c r="P16">
        <v>2.5039770002502847E-3</v>
      </c>
      <c r="R16" s="18" t="s">
        <v>28</v>
      </c>
      <c r="S16">
        <v>57.310382817038786</v>
      </c>
      <c r="T16">
        <v>-52.754653682838828</v>
      </c>
      <c r="U16">
        <v>49.360415449134067</v>
      </c>
      <c r="V16">
        <v>-28.035687605462101</v>
      </c>
      <c r="W16">
        <v>-53.279997003046304</v>
      </c>
      <c r="X16">
        <v>-42.316762423945356</v>
      </c>
      <c r="Y16">
        <v>10.250982796886889</v>
      </c>
      <c r="Z16">
        <v>43.089076683697982</v>
      </c>
      <c r="AA16">
        <v>-87.184914895088852</v>
      </c>
      <c r="AB16">
        <v>-21.070402791909565</v>
      </c>
      <c r="AC16">
        <v>-33.013231041564403</v>
      </c>
      <c r="AD16">
        <v>246.93172851326648</v>
      </c>
      <c r="AE16">
        <v>-54.58984954511152</v>
      </c>
      <c r="AF16">
        <v>-23.505020333015615</v>
      </c>
    </row>
    <row r="17" spans="2:32" x14ac:dyDescent="0.3">
      <c r="B17" s="18" t="s">
        <v>29</v>
      </c>
      <c r="C17">
        <v>1.7947576794059567E-3</v>
      </c>
      <c r="D17">
        <v>3.1054124807419954E-3</v>
      </c>
      <c r="E17">
        <v>1.401944040366167E-3</v>
      </c>
      <c r="F17">
        <v>1.9446031116541525E-3</v>
      </c>
      <c r="G17">
        <v>2.9959187117918418E-3</v>
      </c>
      <c r="H17">
        <v>2.1715951128364369E-3</v>
      </c>
      <c r="I17">
        <v>2.5187148983832051E-3</v>
      </c>
      <c r="J17">
        <v>3.3082391129457258E-3</v>
      </c>
      <c r="K17">
        <v>3.1261636632104539E-3</v>
      </c>
      <c r="L17">
        <v>6.4787933874069824E-3</v>
      </c>
      <c r="M17">
        <v>2.7435415514348443E-3</v>
      </c>
      <c r="N17">
        <v>5.0216596877703783E-3</v>
      </c>
      <c r="O17">
        <v>9.8250111659438505E-3</v>
      </c>
      <c r="P17">
        <v>3.173337274005864E-3</v>
      </c>
      <c r="R17" s="18" t="s">
        <v>29</v>
      </c>
      <c r="S17">
        <v>-76.658193156530913</v>
      </c>
      <c r="T17">
        <v>-8.0697121679981212</v>
      </c>
      <c r="U17">
        <v>59.343558581156927</v>
      </c>
      <c r="V17">
        <v>-21.878794536431933</v>
      </c>
      <c r="W17">
        <v>8.757960088385353</v>
      </c>
      <c r="X17">
        <v>27.917522802234828</v>
      </c>
      <c r="Y17">
        <v>-58.725173374325294</v>
      </c>
      <c r="Z17">
        <v>-33.543826720430644</v>
      </c>
      <c r="AA17">
        <v>-3.4790264165675833</v>
      </c>
      <c r="AB17">
        <v>-21.773731915769979</v>
      </c>
      <c r="AC17">
        <v>-15.952196215103443</v>
      </c>
      <c r="AD17">
        <v>-54.589849545111555</v>
      </c>
      <c r="AE17">
        <v>210.94815683389126</v>
      </c>
      <c r="AF17">
        <v>-97.284381687442931</v>
      </c>
    </row>
    <row r="18" spans="2:32" x14ac:dyDescent="0.3">
      <c r="B18" s="18" t="s">
        <v>30</v>
      </c>
      <c r="C18">
        <v>9.6854881214523242E-4</v>
      </c>
      <c r="D18">
        <v>1.67919684201542E-3</v>
      </c>
      <c r="E18">
        <v>8.4476781852577988E-4</v>
      </c>
      <c r="F18">
        <v>1.081155980175336E-3</v>
      </c>
      <c r="G18">
        <v>1.8494147868953589E-3</v>
      </c>
      <c r="H18">
        <v>1.2718169424595204E-3</v>
      </c>
      <c r="I18">
        <v>1.1655967907200028E-3</v>
      </c>
      <c r="J18">
        <v>1.3680207078341814E-3</v>
      </c>
      <c r="K18">
        <v>1.673078284223138E-3</v>
      </c>
      <c r="L18">
        <v>3.3662723575431366E-3</v>
      </c>
      <c r="M18">
        <v>1.5599430242390481E-3</v>
      </c>
      <c r="N18">
        <v>2.5039770002502847E-3</v>
      </c>
      <c r="O18">
        <v>3.173337274005864E-3</v>
      </c>
      <c r="P18">
        <v>3.1326741394400192E-3</v>
      </c>
      <c r="R18" s="18" t="s">
        <v>30</v>
      </c>
      <c r="S18">
        <v>-52.185963304125231</v>
      </c>
      <c r="T18">
        <v>13.951578229829492</v>
      </c>
      <c r="U18">
        <v>-61.822019684952572</v>
      </c>
      <c r="V18">
        <v>-49.649383259337725</v>
      </c>
      <c r="W18">
        <v>-34.024073428608936</v>
      </c>
      <c r="X18">
        <v>-37.139378412958749</v>
      </c>
      <c r="Y18">
        <v>9.0063444782713287</v>
      </c>
      <c r="Z18">
        <v>-0.47528520285968295</v>
      </c>
      <c r="AA18">
        <v>-9.3390340459017374</v>
      </c>
      <c r="AB18">
        <v>-16.176102224465776</v>
      </c>
      <c r="AC18">
        <v>-77.185287421170088</v>
      </c>
      <c r="AD18">
        <v>-23.505020333015572</v>
      </c>
      <c r="AE18">
        <v>-97.284381687442931</v>
      </c>
      <c r="AF18">
        <v>571.83977415134791</v>
      </c>
    </row>
    <row r="21" spans="2:32" x14ac:dyDescent="0.3">
      <c r="R21" s="18" t="s">
        <v>52</v>
      </c>
      <c r="S21">
        <v>1</v>
      </c>
      <c r="T21">
        <v>1</v>
      </c>
      <c r="U21">
        <v>1</v>
      </c>
      <c r="V21">
        <v>1</v>
      </c>
      <c r="W21">
        <v>1</v>
      </c>
      <c r="X21">
        <v>1</v>
      </c>
      <c r="Y21">
        <v>1</v>
      </c>
      <c r="Z21">
        <v>1</v>
      </c>
      <c r="AA21">
        <v>1</v>
      </c>
      <c r="AB21">
        <v>1</v>
      </c>
      <c r="AC21">
        <v>1</v>
      </c>
      <c r="AD21">
        <v>1</v>
      </c>
      <c r="AE21">
        <v>1</v>
      </c>
      <c r="AF21">
        <v>1</v>
      </c>
    </row>
    <row r="27" spans="2:32" x14ac:dyDescent="0.3">
      <c r="B27" s="23" t="s">
        <v>60</v>
      </c>
      <c r="C27" s="23"/>
      <c r="D27" s="23"/>
      <c r="E27" s="23"/>
      <c r="F27" s="23"/>
      <c r="G27" s="23"/>
      <c r="H27" s="23"/>
      <c r="I27" s="23"/>
      <c r="J27" s="23"/>
      <c r="K27" s="23"/>
      <c r="L27" s="23"/>
      <c r="M27" s="23"/>
      <c r="N27" s="23"/>
      <c r="O27" s="23"/>
      <c r="P27" s="23"/>
      <c r="Q27" s="23"/>
      <c r="R27" s="23"/>
      <c r="S27" s="23"/>
      <c r="T27" s="23"/>
      <c r="U27" s="23"/>
      <c r="V27" s="23"/>
      <c r="W27" s="23"/>
    </row>
    <row r="30" spans="2:32" x14ac:dyDescent="0.3">
      <c r="B30" s="2" t="s">
        <v>61</v>
      </c>
      <c r="C30" cm="1">
        <f t="array" ref="C30:P30">MMULT(S21:AF21,_xlfn.ANCHORARRAY(S5))/SUM(MMULT(S21:AF21,_xlfn.ANCHORARRAY(S5)))</f>
        <v>0.29977403554825904</v>
      </c>
      <c r="D30">
        <v>-0.15229711886748612</v>
      </c>
      <c r="E30">
        <v>0.68232771672481385</v>
      </c>
      <c r="F30">
        <v>7.8271874254941295E-2</v>
      </c>
      <c r="G30">
        <v>-8.7752328399538625E-3</v>
      </c>
      <c r="H30">
        <v>1.9919231661205173E-2</v>
      </c>
      <c r="I30">
        <v>-3.0695646896499295E-2</v>
      </c>
      <c r="J30">
        <v>4.3124727224851868E-2</v>
      </c>
      <c r="K30">
        <v>-5.4677867397416424E-2</v>
      </c>
      <c r="L30">
        <v>-6.1583459699174226E-2</v>
      </c>
      <c r="M30">
        <v>0.1357219675822619</v>
      </c>
      <c r="N30">
        <v>8.7947845034820459E-3</v>
      </c>
      <c r="O30">
        <v>-6.678376751446638E-2</v>
      </c>
      <c r="P30">
        <v>0.10687875571518077</v>
      </c>
    </row>
    <row r="33" spans="2:23" x14ac:dyDescent="0.3">
      <c r="B33" s="2" t="s">
        <v>34</v>
      </c>
      <c r="C33" s="4">
        <f>SUMPRODUCT(_xlfn.ANCHORARRAY(C30),'Combined Portfolio Returns '!AI208:AV208)</f>
        <v>3.2410058552925822E-2</v>
      </c>
    </row>
    <row r="34" spans="2:23" x14ac:dyDescent="0.3">
      <c r="B34" s="2" t="s">
        <v>15</v>
      </c>
      <c r="C34" s="4" cm="1">
        <f t="array" ref="C34">MMULT(_xlfn.ANCHORARRAY(C30),MMULT(_xlfn.ANCHORARRAY(C5),TRANSPOSE(_xlfn.ANCHORARRAY(C30))))</f>
        <v>7.8580520936562715E-4</v>
      </c>
    </row>
    <row r="35" spans="2:23" x14ac:dyDescent="0.3">
      <c r="B35" s="2" t="s">
        <v>63</v>
      </c>
      <c r="C35" s="4">
        <f>SQRT(C34)</f>
        <v>2.8032217346575121E-2</v>
      </c>
    </row>
    <row r="39" spans="2:23" x14ac:dyDescent="0.3">
      <c r="B39" s="23" t="s">
        <v>39</v>
      </c>
      <c r="C39" s="23"/>
      <c r="D39" s="23"/>
      <c r="E39" s="23"/>
      <c r="F39" s="23"/>
      <c r="G39" s="23"/>
      <c r="H39" s="23"/>
      <c r="I39" s="23"/>
      <c r="J39" s="23"/>
      <c r="K39" s="23"/>
      <c r="L39" s="23"/>
      <c r="M39" s="23"/>
      <c r="N39" s="23"/>
      <c r="O39" s="23"/>
      <c r="P39" s="23"/>
      <c r="Q39" s="23"/>
      <c r="R39" s="23"/>
      <c r="S39" s="23"/>
      <c r="T39" s="23"/>
      <c r="U39" s="23"/>
      <c r="V39" s="23"/>
      <c r="W39" s="23"/>
    </row>
    <row r="42" spans="2:23" x14ac:dyDescent="0.3">
      <c r="C42" s="2" t="s">
        <v>11</v>
      </c>
      <c r="E42" s="2" t="s">
        <v>64</v>
      </c>
      <c r="G42" s="2" t="s">
        <v>74</v>
      </c>
    </row>
    <row r="43" spans="2:23" x14ac:dyDescent="0.3">
      <c r="B43" s="18" t="s">
        <v>3</v>
      </c>
      <c r="C43" s="4">
        <f>'Combined Portfolio Returns '!AI208</f>
        <v>9.297693536611655E-2</v>
      </c>
      <c r="E43" cm="1">
        <f t="array" ref="E43:E56">MMULT(_xlfn.ANCHORARRAY(S5),C43:C56)</f>
        <v>49.674098347976106</v>
      </c>
      <c r="G43">
        <f>E43/SUM(_xlfn.ANCHORARRAY($E$43))</f>
        <v>1.2043842867064609</v>
      </c>
    </row>
    <row r="44" spans="2:23" x14ac:dyDescent="0.3">
      <c r="B44" s="18" t="s">
        <v>4</v>
      </c>
      <c r="C44" s="4">
        <f>'Combined Portfolio Returns '!AJ208</f>
        <v>0.51113277781511379</v>
      </c>
      <c r="E44">
        <v>134.82149126843214</v>
      </c>
      <c r="G44">
        <f t="shared" ref="G44:G56" si="0">E44/SUM(_xlfn.ANCHORARRAY($E$43))</f>
        <v>3.2688441460286275</v>
      </c>
    </row>
    <row r="45" spans="2:23" x14ac:dyDescent="0.3">
      <c r="B45" s="18" t="s">
        <v>5</v>
      </c>
      <c r="C45" s="4">
        <f>'Combined Portfolio Returns '!AK208</f>
        <v>0.13308641560290579</v>
      </c>
      <c r="E45">
        <v>-47.662048266026375</v>
      </c>
      <c r="G45">
        <f t="shared" si="0"/>
        <v>-1.1556006835136829</v>
      </c>
    </row>
    <row r="46" spans="2:23" x14ac:dyDescent="0.3">
      <c r="B46" s="18" t="s">
        <v>6</v>
      </c>
      <c r="C46" s="4">
        <f>'Combined Portfolio Returns '!AL208</f>
        <v>0.14088611344449753</v>
      </c>
      <c r="E46">
        <v>97.686540344838107</v>
      </c>
      <c r="G46">
        <f t="shared" si="0"/>
        <v>2.3684805185564746</v>
      </c>
    </row>
    <row r="47" spans="2:23" x14ac:dyDescent="0.3">
      <c r="B47" s="18" t="s">
        <v>7</v>
      </c>
      <c r="C47" s="4">
        <f>'Combined Portfolio Returns '!AM208</f>
        <v>4.4552446255761054E-2</v>
      </c>
      <c r="E47">
        <v>-38.269968237740684</v>
      </c>
      <c r="G47">
        <f t="shared" si="0"/>
        <v>-0.92788293962396939</v>
      </c>
    </row>
    <row r="48" spans="2:23" x14ac:dyDescent="0.3">
      <c r="B48" s="18" t="s">
        <v>8</v>
      </c>
      <c r="C48" s="4">
        <f>'Combined Portfolio Returns '!AN208</f>
        <v>7.694126550394087E-2</v>
      </c>
      <c r="E48">
        <v>-106.08809624877669</v>
      </c>
      <c r="G48">
        <f t="shared" si="0"/>
        <v>-2.5721822917362549</v>
      </c>
    </row>
    <row r="49" spans="2:7" x14ac:dyDescent="0.3">
      <c r="B49" s="18" t="s">
        <v>9</v>
      </c>
      <c r="C49" s="4">
        <f>'Combined Portfolio Returns '!AO208</f>
        <v>0.20101054013018832</v>
      </c>
      <c r="E49">
        <v>38.33181866411725</v>
      </c>
      <c r="G49">
        <f t="shared" si="0"/>
        <v>0.92938254775237883</v>
      </c>
    </row>
    <row r="50" spans="2:7" x14ac:dyDescent="0.3">
      <c r="B50" s="18" t="s">
        <v>24</v>
      </c>
      <c r="C50" s="4">
        <f>'Combined Portfolio Returns '!AP208</f>
        <v>-0.42322183986317025</v>
      </c>
      <c r="E50">
        <v>-48.345504802821985</v>
      </c>
      <c r="G50">
        <f t="shared" si="0"/>
        <v>-1.1721715794320582</v>
      </c>
    </row>
    <row r="51" spans="2:7" x14ac:dyDescent="0.3">
      <c r="B51" s="18" t="s">
        <v>25</v>
      </c>
      <c r="C51" s="4">
        <f>'Combined Portfolio Returns '!AQ208</f>
        <v>0.27397163781171358</v>
      </c>
      <c r="E51">
        <v>27.225129952303188</v>
      </c>
      <c r="G51">
        <f t="shared" si="0"/>
        <v>0.66009288157378987</v>
      </c>
    </row>
    <row r="52" spans="2:7" x14ac:dyDescent="0.3">
      <c r="B52" s="18" t="s">
        <v>26</v>
      </c>
      <c r="C52" s="4">
        <f>'Combined Portfolio Returns '!AR208</f>
        <v>0.11721441530450322</v>
      </c>
      <c r="E52">
        <v>-6.9649320196646771</v>
      </c>
      <c r="G52">
        <f t="shared" si="0"/>
        <v>-0.16886979253654852</v>
      </c>
    </row>
    <row r="53" spans="2:7" x14ac:dyDescent="0.3">
      <c r="B53" s="18" t="s">
        <v>27</v>
      </c>
      <c r="C53" s="4">
        <f>'Combined Portfolio Returns '!AS208</f>
        <v>0.21625519551196046</v>
      </c>
      <c r="E53">
        <v>44.452080964598892</v>
      </c>
      <c r="G53">
        <f t="shared" si="0"/>
        <v>1.077772714667655</v>
      </c>
    </row>
    <row r="54" spans="2:7" x14ac:dyDescent="0.3">
      <c r="B54" s="18" t="s">
        <v>28</v>
      </c>
      <c r="C54" s="4">
        <f>'Combined Portfolio Returns '!AT208</f>
        <v>0.63842228722693606</v>
      </c>
      <c r="E54">
        <v>96.35894130081671</v>
      </c>
      <c r="G54">
        <f t="shared" si="0"/>
        <v>2.336291923678214</v>
      </c>
    </row>
    <row r="55" spans="2:7" x14ac:dyDescent="0.3">
      <c r="B55" s="18" t="s">
        <v>29</v>
      </c>
      <c r="C55" s="4">
        <f>'Combined Portfolio Returns '!AU208</f>
        <v>-0.15969546571296539</v>
      </c>
      <c r="E55">
        <v>-59.154479068091469</v>
      </c>
      <c r="G55">
        <f t="shared" si="0"/>
        <v>-1.4342429444583644</v>
      </c>
    </row>
    <row r="56" spans="2:7" x14ac:dyDescent="0.3">
      <c r="B56" s="18" t="s">
        <v>30</v>
      </c>
      <c r="C56" s="4">
        <f>'Combined Portfolio Returns '!AV208</f>
        <v>-0.18344046887116869</v>
      </c>
      <c r="E56">
        <v>-140.82067961176418</v>
      </c>
      <c r="G56">
        <f t="shared" si="0"/>
        <v>-3.4142987876627227</v>
      </c>
    </row>
    <row r="58" spans="2:7" x14ac:dyDescent="0.3">
      <c r="F58" s="2" t="s">
        <v>65</v>
      </c>
      <c r="G58">
        <f>SUM(G43:G56)</f>
        <v>1.0000000000000013</v>
      </c>
    </row>
    <row r="62" spans="2:7" x14ac:dyDescent="0.3">
      <c r="C62" s="2" t="s">
        <v>11</v>
      </c>
      <c r="D62" s="4">
        <f>SUMPRODUCT(C43:C56,G43:G56)</f>
        <v>5.1473726977244265</v>
      </c>
    </row>
    <row r="63" spans="2:7" x14ac:dyDescent="0.3">
      <c r="C63" s="2" t="s">
        <v>15</v>
      </c>
      <c r="D63" s="4" cm="1">
        <f t="array" ref="D63">MMULT(TRANSPOSE(G43:G56),MMULT(_xlfn.ANCHORARRAY(C5),G43:G56))</f>
        <v>0.12480175788059836</v>
      </c>
    </row>
    <row r="64" spans="2:7" x14ac:dyDescent="0.3">
      <c r="C64" s="2" t="s">
        <v>63</v>
      </c>
      <c r="D64" s="4">
        <f>SQRT(D63)</f>
        <v>0.35327292265414051</v>
      </c>
    </row>
    <row r="67" spans="3:4" x14ac:dyDescent="0.3">
      <c r="C67" s="2" t="s">
        <v>66</v>
      </c>
      <c r="D67" s="22">
        <f>D62/D64</f>
        <v>14.570527112726898</v>
      </c>
    </row>
  </sheetData>
  <mergeCells count="4">
    <mergeCell ref="S3:AF3"/>
    <mergeCell ref="B27:W27"/>
    <mergeCell ref="B39:W39"/>
    <mergeCell ref="C3:P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04BF9-7F31-496E-96D0-937602882D91}">
  <sheetPr codeName="Sheet5"/>
  <dimension ref="B4:AZ252"/>
  <sheetViews>
    <sheetView zoomScale="86" workbookViewId="0">
      <selection activeCell="B232" sqref="B232"/>
    </sheetView>
  </sheetViews>
  <sheetFormatPr defaultRowHeight="14.4" x14ac:dyDescent="0.3"/>
  <cols>
    <col min="5" max="5" width="13.6640625" customWidth="1"/>
    <col min="17" max="17" width="10.33203125" customWidth="1"/>
  </cols>
  <sheetData>
    <row r="4" spans="2:52" x14ac:dyDescent="0.3">
      <c r="B4" s="30" t="s">
        <v>31</v>
      </c>
      <c r="C4" s="30"/>
      <c r="D4" s="30"/>
      <c r="E4" s="30"/>
      <c r="F4" s="30"/>
      <c r="G4" s="30"/>
      <c r="H4" s="30"/>
      <c r="I4" s="30"/>
      <c r="J4" s="30"/>
      <c r="K4" s="30"/>
      <c r="L4" s="30"/>
      <c r="M4" s="30"/>
      <c r="N4" s="30"/>
      <c r="O4" s="30"/>
      <c r="R4" s="30" t="s">
        <v>51</v>
      </c>
      <c r="S4" s="30"/>
      <c r="T4" s="30"/>
      <c r="U4" s="30"/>
      <c r="V4" s="30"/>
      <c r="W4" s="30"/>
      <c r="X4" s="30"/>
      <c r="Y4" s="30"/>
      <c r="Z4" s="30"/>
      <c r="AA4" s="30"/>
      <c r="AB4" s="30"/>
      <c r="AC4" s="30"/>
      <c r="AD4" s="30"/>
      <c r="AE4" s="30"/>
      <c r="AM4" s="30" t="s">
        <v>32</v>
      </c>
      <c r="AN4" s="30"/>
      <c r="AO4" s="30"/>
      <c r="AP4" s="30"/>
      <c r="AQ4" s="30"/>
      <c r="AR4" s="30"/>
      <c r="AS4" s="30"/>
      <c r="AT4" s="30"/>
      <c r="AU4" s="30"/>
      <c r="AV4" s="30"/>
      <c r="AW4" s="30"/>
      <c r="AX4" s="30"/>
      <c r="AY4" s="30"/>
      <c r="AZ4" s="30"/>
    </row>
    <row r="5" spans="2:52" x14ac:dyDescent="0.3">
      <c r="B5" s="7" t="s">
        <v>3</v>
      </c>
      <c r="C5" s="5" t="s">
        <v>4</v>
      </c>
      <c r="D5" s="5" t="s">
        <v>5</v>
      </c>
      <c r="E5" s="5" t="s">
        <v>6</v>
      </c>
      <c r="F5" s="7" t="s">
        <v>7</v>
      </c>
      <c r="G5" s="5" t="s">
        <v>8</v>
      </c>
      <c r="H5" s="5" t="s">
        <v>9</v>
      </c>
      <c r="I5" s="5" t="s">
        <v>24</v>
      </c>
      <c r="J5" s="5" t="s">
        <v>25</v>
      </c>
      <c r="K5" s="5" t="s">
        <v>26</v>
      </c>
      <c r="L5" s="5" t="s">
        <v>27</v>
      </c>
      <c r="M5" s="5" t="s">
        <v>28</v>
      </c>
      <c r="N5" s="5" t="s">
        <v>29</v>
      </c>
      <c r="O5" s="5" t="s">
        <v>30</v>
      </c>
      <c r="R5" s="7" t="s">
        <v>3</v>
      </c>
      <c r="S5" s="5" t="s">
        <v>4</v>
      </c>
      <c r="T5" s="5" t="s">
        <v>5</v>
      </c>
      <c r="U5" s="5" t="s">
        <v>6</v>
      </c>
      <c r="V5" s="7" t="s">
        <v>7</v>
      </c>
      <c r="W5" s="5" t="s">
        <v>8</v>
      </c>
      <c r="X5" s="5" t="s">
        <v>9</v>
      </c>
      <c r="Y5" s="5" t="s">
        <v>24</v>
      </c>
      <c r="Z5" s="5" t="s">
        <v>25</v>
      </c>
      <c r="AA5" s="5" t="s">
        <v>26</v>
      </c>
      <c r="AB5" s="5" t="s">
        <v>27</v>
      </c>
      <c r="AC5" s="5" t="s">
        <v>28</v>
      </c>
      <c r="AD5" s="5" t="s">
        <v>29</v>
      </c>
      <c r="AE5" s="5" t="s">
        <v>30</v>
      </c>
      <c r="AM5" s="7" t="s">
        <v>3</v>
      </c>
      <c r="AN5" s="5" t="s">
        <v>4</v>
      </c>
      <c r="AO5" s="5" t="s">
        <v>5</v>
      </c>
      <c r="AP5" s="5" t="s">
        <v>6</v>
      </c>
      <c r="AQ5" s="7" t="s">
        <v>7</v>
      </c>
      <c r="AR5" s="5" t="s">
        <v>8</v>
      </c>
      <c r="AS5" s="5" t="s">
        <v>9</v>
      </c>
      <c r="AT5" s="5" t="s">
        <v>24</v>
      </c>
      <c r="AU5" s="5" t="s">
        <v>25</v>
      </c>
      <c r="AV5" s="5" t="s">
        <v>26</v>
      </c>
      <c r="AW5" s="5" t="s">
        <v>27</v>
      </c>
      <c r="AX5" s="5" t="s">
        <v>28</v>
      </c>
      <c r="AY5" s="5" t="s">
        <v>29</v>
      </c>
      <c r="AZ5" s="5" t="s">
        <v>30</v>
      </c>
    </row>
    <row r="6" spans="2:52" x14ac:dyDescent="0.3">
      <c r="B6" s="6" t="s">
        <v>10</v>
      </c>
      <c r="C6" s="6" t="s">
        <v>10</v>
      </c>
      <c r="D6" s="6" t="s">
        <v>10</v>
      </c>
      <c r="E6" s="6" t="s">
        <v>10</v>
      </c>
      <c r="F6" s="6" t="s">
        <v>10</v>
      </c>
      <c r="G6" s="6" t="s">
        <v>10</v>
      </c>
      <c r="H6" s="6" t="s">
        <v>10</v>
      </c>
      <c r="I6" s="6" t="s">
        <v>10</v>
      </c>
      <c r="J6" s="6" t="s">
        <v>10</v>
      </c>
      <c r="K6" s="6" t="s">
        <v>10</v>
      </c>
      <c r="L6" s="6" t="s">
        <v>10</v>
      </c>
      <c r="M6" s="6" t="s">
        <v>10</v>
      </c>
      <c r="N6" s="6" t="s">
        <v>10</v>
      </c>
      <c r="O6" s="6" t="s">
        <v>10</v>
      </c>
      <c r="R6" s="6" t="s">
        <v>10</v>
      </c>
      <c r="S6" s="6" t="s">
        <v>10</v>
      </c>
      <c r="T6" s="6" t="s">
        <v>10</v>
      </c>
      <c r="U6" s="6" t="s">
        <v>10</v>
      </c>
      <c r="V6" s="6" t="s">
        <v>10</v>
      </c>
      <c r="W6" s="6" t="s">
        <v>10</v>
      </c>
      <c r="X6" s="6" t="s">
        <v>10</v>
      </c>
      <c r="Y6" s="6" t="s">
        <v>10</v>
      </c>
      <c r="Z6" s="6" t="s">
        <v>10</v>
      </c>
      <c r="AA6" s="6" t="s">
        <v>10</v>
      </c>
      <c r="AB6" s="6" t="s">
        <v>10</v>
      </c>
      <c r="AC6" s="6" t="s">
        <v>10</v>
      </c>
      <c r="AD6" s="6" t="s">
        <v>10</v>
      </c>
      <c r="AE6" s="6" t="s">
        <v>10</v>
      </c>
      <c r="AM6" s="6" t="s">
        <v>10</v>
      </c>
      <c r="AN6" s="6" t="s">
        <v>10</v>
      </c>
      <c r="AO6" s="6" t="s">
        <v>10</v>
      </c>
      <c r="AP6" s="6" t="s">
        <v>10</v>
      </c>
      <c r="AQ6" s="6" t="s">
        <v>10</v>
      </c>
      <c r="AR6" s="6" t="s">
        <v>10</v>
      </c>
      <c r="AS6" s="6" t="s">
        <v>10</v>
      </c>
      <c r="AT6" s="6" t="s">
        <v>10</v>
      </c>
      <c r="AU6" s="6" t="s">
        <v>10</v>
      </c>
      <c r="AV6" s="6" t="s">
        <v>10</v>
      </c>
      <c r="AW6" s="6" t="s">
        <v>10</v>
      </c>
      <c r="AX6" s="6" t="s">
        <v>10</v>
      </c>
      <c r="AY6" s="6" t="s">
        <v>10</v>
      </c>
      <c r="AZ6" s="6" t="s">
        <v>10</v>
      </c>
    </row>
    <row r="7" spans="2:52" x14ac:dyDescent="0.3">
      <c r="B7" s="13">
        <v>-6.3572134750396206E-2</v>
      </c>
      <c r="C7" s="13">
        <v>-0.14215902243145132</v>
      </c>
      <c r="D7" s="13">
        <v>-4.6756450202727964E-2</v>
      </c>
      <c r="E7" s="13">
        <v>-6.7698081427939594E-2</v>
      </c>
      <c r="F7" s="13">
        <v>-0.10616431165130602</v>
      </c>
      <c r="G7" s="13">
        <v>-0.12813618600467608</v>
      </c>
      <c r="H7" s="13">
        <v>-9.0540014444080247E-2</v>
      </c>
      <c r="I7" s="13">
        <v>-0.16915934859862866</v>
      </c>
      <c r="J7" s="13">
        <v>-7.0145609366759773E-2</v>
      </c>
      <c r="K7" s="13">
        <v>-0.18087062538044882</v>
      </c>
      <c r="L7" s="13">
        <v>-0.14408348070953439</v>
      </c>
      <c r="M7" s="13">
        <v>-0.16830408482592674</v>
      </c>
      <c r="N7" s="13">
        <v>-9.6128522675905131E-2</v>
      </c>
      <c r="O7" s="13">
        <v>-7.8509948564001064E-2</v>
      </c>
      <c r="R7" s="14">
        <f>IF(B7&gt;0,B7*1.2,B7*0.8)</f>
        <v>-5.0857707800316967E-2</v>
      </c>
      <c r="S7" s="14">
        <f t="shared" ref="S7:AE7" si="0">IF(C7&gt;0,C7*1.2,C7*0.8)</f>
        <v>-0.11372721794516105</v>
      </c>
      <c r="T7" s="14">
        <f t="shared" si="0"/>
        <v>-3.7405160162182371E-2</v>
      </c>
      <c r="U7" s="14">
        <f t="shared" si="0"/>
        <v>-5.4158465142351675E-2</v>
      </c>
      <c r="V7" s="14">
        <f t="shared" si="0"/>
        <v>-8.4931449321044822E-2</v>
      </c>
      <c r="W7" s="14">
        <f t="shared" si="0"/>
        <v>-0.10250894880374087</v>
      </c>
      <c r="X7" s="14">
        <f t="shared" si="0"/>
        <v>-7.24320115552642E-2</v>
      </c>
      <c r="Y7" s="14">
        <f t="shared" si="0"/>
        <v>-0.13532747887890292</v>
      </c>
      <c r="Z7" s="14">
        <f t="shared" si="0"/>
        <v>-5.6116487493407821E-2</v>
      </c>
      <c r="AA7" s="14">
        <f t="shared" si="0"/>
        <v>-0.14469650030435907</v>
      </c>
      <c r="AB7" s="14">
        <f t="shared" si="0"/>
        <v>-0.11526678456762751</v>
      </c>
      <c r="AC7" s="14">
        <f t="shared" si="0"/>
        <v>-0.13464326786074141</v>
      </c>
      <c r="AD7" s="14">
        <f t="shared" si="0"/>
        <v>-7.6902818140724111E-2</v>
      </c>
      <c r="AE7" s="14">
        <f t="shared" si="0"/>
        <v>-6.2807958851200857E-2</v>
      </c>
      <c r="AM7" s="14">
        <f>R7-R$204</f>
        <v>-5.8663824220848981E-2</v>
      </c>
      <c r="AN7" s="14">
        <f t="shared" ref="AN7:AZ7" si="1">S7-S$204</f>
        <v>-0.13452392446498107</v>
      </c>
      <c r="AO7" s="14">
        <f t="shared" si="1"/>
        <v>-4.5283096501811809E-2</v>
      </c>
      <c r="AP7" s="14">
        <f t="shared" si="1"/>
        <v>-6.3992973181883087E-2</v>
      </c>
      <c r="AQ7" s="14">
        <f t="shared" si="1"/>
        <v>-9.8754388784808328E-2</v>
      </c>
      <c r="AR7" s="14">
        <f t="shared" si="1"/>
        <v>-0.11102155363337822</v>
      </c>
      <c r="AS7" s="14">
        <f t="shared" si="1"/>
        <v>-8.5245014550103804E-2</v>
      </c>
      <c r="AT7" s="14">
        <f t="shared" si="1"/>
        <v>-0.14072341018944776</v>
      </c>
      <c r="AU7" s="14">
        <f t="shared" si="1"/>
        <v>-7.223998007016566E-2</v>
      </c>
      <c r="AV7" s="14">
        <f t="shared" si="1"/>
        <v>-0.16674788851449351</v>
      </c>
      <c r="AW7" s="14">
        <f t="shared" si="1"/>
        <v>-0.12835457244445189</v>
      </c>
      <c r="AX7" s="14">
        <f t="shared" si="1"/>
        <v>-0.16135212049755729</v>
      </c>
      <c r="AY7" s="14">
        <f t="shared" si="1"/>
        <v>-8.8173749628804018E-2</v>
      </c>
      <c r="AZ7" s="14">
        <f t="shared" si="1"/>
        <v>-6.7422010847921293E-2</v>
      </c>
    </row>
    <row r="8" spans="2:52" x14ac:dyDescent="0.3">
      <c r="B8" s="13">
        <v>4.761372968597441E-2</v>
      </c>
      <c r="C8" s="13">
        <v>-2.2939763762957151E-2</v>
      </c>
      <c r="D8" s="13">
        <v>4.0482782178863287E-2</v>
      </c>
      <c r="E8" s="13">
        <v>2.2754110248512562E-2</v>
      </c>
      <c r="F8" s="13">
        <v>-0.10906483292406909</v>
      </c>
      <c r="G8" s="13">
        <v>9.3504274862719269E-3</v>
      </c>
      <c r="H8" s="13">
        <v>-4.8274131573499673E-3</v>
      </c>
      <c r="I8" s="13">
        <v>-5.4378602247413997E-2</v>
      </c>
      <c r="J8" s="13">
        <v>2.4999053854863642E-2</v>
      </c>
      <c r="K8" s="13">
        <v>-7.7917898215297723E-2</v>
      </c>
      <c r="L8" s="13">
        <v>-2.0520748188451794E-2</v>
      </c>
      <c r="M8" s="13">
        <v>-6.252035698133393E-2</v>
      </c>
      <c r="N8" s="13">
        <v>-5.9335617123882764E-3</v>
      </c>
      <c r="O8" s="13">
        <v>-2.6419349732731186E-2</v>
      </c>
      <c r="R8" s="14">
        <f t="shared" ref="R8:R71" si="2">IF(B8&gt;0,B8*1.2,B8*0.8)</f>
        <v>5.7136475623169286E-2</v>
      </c>
      <c r="S8" s="14">
        <f t="shared" ref="S8:S71" si="3">IF(C8&gt;0,C8*1.2,C8*0.8)</f>
        <v>-1.8351811010365721E-2</v>
      </c>
      <c r="T8" s="14">
        <f t="shared" ref="T8:T71" si="4">IF(D8&gt;0,D8*1.2,D8*0.8)</f>
        <v>4.8579338614635946E-2</v>
      </c>
      <c r="U8" s="14">
        <f t="shared" ref="U8:U71" si="5">IF(E8&gt;0,E8*1.2,E8*0.8)</f>
        <v>2.7304932298215075E-2</v>
      </c>
      <c r="V8" s="14">
        <f t="shared" ref="V8:V71" si="6">IF(F8&gt;0,F8*1.2,F8*0.8)</f>
        <v>-8.7251866339255274E-2</v>
      </c>
      <c r="W8" s="14">
        <f t="shared" ref="W8:W71" si="7">IF(G8&gt;0,G8*1.2,G8*0.8)</f>
        <v>1.1220512983526313E-2</v>
      </c>
      <c r="X8" s="14">
        <f t="shared" ref="X8:X71" si="8">IF(H8&gt;0,H8*1.2,H8*0.8)</f>
        <v>-3.8619305258799741E-3</v>
      </c>
      <c r="Y8" s="14">
        <f t="shared" ref="Y8:Y71" si="9">IF(I8&gt;0,I8*1.2,I8*0.8)</f>
        <v>-4.35028817979312E-2</v>
      </c>
      <c r="Z8" s="14">
        <f t="shared" ref="Z8:Z71" si="10">IF(J8&gt;0,J8*1.2,J8*0.8)</f>
        <v>2.9998864625836369E-2</v>
      </c>
      <c r="AA8" s="14">
        <f t="shared" ref="AA8:AA71" si="11">IF(K8&gt;0,K8*1.2,K8*0.8)</f>
        <v>-6.233431857223818E-2</v>
      </c>
      <c r="AB8" s="14">
        <f t="shared" ref="AB8:AB71" si="12">IF(L8&gt;0,L8*1.2,L8*0.8)</f>
        <v>-1.6416598550761437E-2</v>
      </c>
      <c r="AC8" s="14">
        <f t="shared" ref="AC8:AC71" si="13">IF(M8&gt;0,M8*1.2,M8*0.8)</f>
        <v>-5.0016285585067148E-2</v>
      </c>
      <c r="AD8" s="14">
        <f t="shared" ref="AD8:AD71" si="14">IF(N8&gt;0,N8*1.2,N8*0.8)</f>
        <v>-4.7468493699106213E-3</v>
      </c>
      <c r="AE8" s="14">
        <f t="shared" ref="AE8:AE71" si="15">IF(O8&gt;0,O8*1.2,O8*0.8)</f>
        <v>-2.1135479786184949E-2</v>
      </c>
      <c r="AM8" s="14">
        <f t="shared" ref="AM8:AM71" si="16">R8-R$204</f>
        <v>4.9330359202637272E-2</v>
      </c>
      <c r="AN8" s="14">
        <f t="shared" ref="AN8:AN71" si="17">S8-S$204</f>
        <v>-3.9148517530185729E-2</v>
      </c>
      <c r="AO8" s="14">
        <f t="shared" ref="AO8:AO71" si="18">T8-T$204</f>
        <v>4.0701402275006508E-2</v>
      </c>
      <c r="AP8" s="14">
        <f t="shared" ref="AP8:AP71" si="19">U8-U$204</f>
        <v>1.7470424258683663E-2</v>
      </c>
      <c r="AQ8" s="14">
        <f t="shared" ref="AQ8:AQ71" si="20">V8-V$204</f>
        <v>-0.10107480580301878</v>
      </c>
      <c r="AR8" s="14">
        <f t="shared" ref="AR8:AR71" si="21">W8-W$204</f>
        <v>2.7079081538889591E-3</v>
      </c>
      <c r="AS8" s="14">
        <f t="shared" ref="AS8:AS71" si="22">X8-X$204</f>
        <v>-1.6674933520719571E-2</v>
      </c>
      <c r="AT8" s="14">
        <f t="shared" ref="AT8:AT71" si="23">Y8-Y$204</f>
        <v>-4.8898813108476026E-2</v>
      </c>
      <c r="AU8" s="14">
        <f t="shared" ref="AU8:AU71" si="24">Z8-Z$204</f>
        <v>1.3875372049078533E-2</v>
      </c>
      <c r="AV8" s="14">
        <f t="shared" ref="AV8:AV71" si="25">AA8-AA$204</f>
        <v>-8.4385706782372644E-2</v>
      </c>
      <c r="AW8" s="14">
        <f t="shared" ref="AW8:AW71" si="26">AB8-AB$204</f>
        <v>-2.9504386427585821E-2</v>
      </c>
      <c r="AX8" s="14">
        <f t="shared" ref="AX8:AX71" si="27">AC8-AC$204</f>
        <v>-7.6725138221883024E-2</v>
      </c>
      <c r="AY8" s="14">
        <f t="shared" ref="AY8:AY71" si="28">AD8-AD$204</f>
        <v>-1.6017780857990528E-2</v>
      </c>
      <c r="AZ8" s="14">
        <f t="shared" ref="AZ8:AZ71" si="29">AE8-AE$204</f>
        <v>-2.5749531782905392E-2</v>
      </c>
    </row>
    <row r="9" spans="2:52" x14ac:dyDescent="0.3">
      <c r="B9" s="13">
        <v>1.2021620034401223E-2</v>
      </c>
      <c r="C9" s="13">
        <v>6.2785672310156804E-2</v>
      </c>
      <c r="D9" s="13">
        <v>-7.5545784234543013E-3</v>
      </c>
      <c r="E9" s="13">
        <v>7.1893298100488168E-2</v>
      </c>
      <c r="F9" s="13">
        <v>8.7020238427752639E-2</v>
      </c>
      <c r="G9" s="13">
        <v>9.0639551285646117E-2</v>
      </c>
      <c r="H9" s="13">
        <v>-0.24102647523950496</v>
      </c>
      <c r="I9" s="13">
        <v>0.24615100016531521</v>
      </c>
      <c r="J9" s="13">
        <v>4.8028646173499202E-2</v>
      </c>
      <c r="K9" s="13">
        <v>9.0702420573073969E-2</v>
      </c>
      <c r="L9" s="13">
        <v>5.0938218575134753E-2</v>
      </c>
      <c r="M9" s="13">
        <v>1.7934203871391798E-2</v>
      </c>
      <c r="N9" s="13">
        <v>4.8402788821500793E-2</v>
      </c>
      <c r="O9" s="13">
        <v>2.014519107188059E-3</v>
      </c>
      <c r="R9" s="14">
        <f t="shared" si="2"/>
        <v>1.4425944041281467E-2</v>
      </c>
      <c r="S9" s="14">
        <f t="shared" si="3"/>
        <v>7.5342806772188159E-2</v>
      </c>
      <c r="T9" s="14">
        <f t="shared" si="4"/>
        <v>-6.043662738763441E-3</v>
      </c>
      <c r="U9" s="14">
        <f t="shared" si="5"/>
        <v>8.6271957720585796E-2</v>
      </c>
      <c r="V9" s="14">
        <f t="shared" si="6"/>
        <v>0.10442428611330316</v>
      </c>
      <c r="W9" s="14">
        <f t="shared" si="7"/>
        <v>0.10876746154277533</v>
      </c>
      <c r="X9" s="14">
        <f t="shared" si="8"/>
        <v>-0.19282118019160399</v>
      </c>
      <c r="Y9" s="14">
        <f t="shared" si="9"/>
        <v>0.29538120019837827</v>
      </c>
      <c r="Z9" s="14">
        <f t="shared" si="10"/>
        <v>5.7634375408199039E-2</v>
      </c>
      <c r="AA9" s="14">
        <f t="shared" si="11"/>
        <v>0.10884290468768876</v>
      </c>
      <c r="AB9" s="14">
        <f t="shared" si="12"/>
        <v>6.1125862290161703E-2</v>
      </c>
      <c r="AC9" s="14">
        <f t="shared" si="13"/>
        <v>2.1521044645670156E-2</v>
      </c>
      <c r="AD9" s="14">
        <f t="shared" si="14"/>
        <v>5.808334658580095E-2</v>
      </c>
      <c r="AE9" s="14">
        <f t="shared" si="15"/>
        <v>2.4174229286256705E-3</v>
      </c>
      <c r="AM9" s="14">
        <f t="shared" si="16"/>
        <v>6.6198276207494544E-3</v>
      </c>
      <c r="AN9" s="14">
        <f t="shared" si="17"/>
        <v>5.4546100252368154E-2</v>
      </c>
      <c r="AO9" s="14">
        <f t="shared" si="18"/>
        <v>-1.3921599078392881E-2</v>
      </c>
      <c r="AP9" s="14">
        <f t="shared" si="19"/>
        <v>7.6437449681054384E-2</v>
      </c>
      <c r="AQ9" s="14">
        <f t="shared" si="20"/>
        <v>9.0601346649539671E-2</v>
      </c>
      <c r="AR9" s="14">
        <f t="shared" si="21"/>
        <v>0.10025485671313798</v>
      </c>
      <c r="AS9" s="14">
        <f t="shared" si="22"/>
        <v>-0.20563418318644358</v>
      </c>
      <c r="AT9" s="14">
        <f t="shared" si="23"/>
        <v>0.28998526888783344</v>
      </c>
      <c r="AU9" s="14">
        <f t="shared" si="24"/>
        <v>4.1510882831441206E-2</v>
      </c>
      <c r="AV9" s="14">
        <f t="shared" si="25"/>
        <v>8.6791516477554301E-2</v>
      </c>
      <c r="AW9" s="14">
        <f t="shared" si="26"/>
        <v>4.8038074413337316E-2</v>
      </c>
      <c r="AX9" s="14">
        <f t="shared" si="27"/>
        <v>-5.1878079911457237E-3</v>
      </c>
      <c r="AY9" s="14">
        <f t="shared" si="28"/>
        <v>4.6812415097721043E-2</v>
      </c>
      <c r="AZ9" s="14">
        <f t="shared" si="29"/>
        <v>-2.1966290680947719E-3</v>
      </c>
    </row>
    <row r="10" spans="2:52" x14ac:dyDescent="0.3">
      <c r="B10" s="13">
        <v>-2.1993086553889825E-2</v>
      </c>
      <c r="C10" s="13">
        <v>-1.5330733241042005E-2</v>
      </c>
      <c r="D10" s="13">
        <v>-3.6278063926890335E-2</v>
      </c>
      <c r="E10" s="13">
        <v>-6.4943376616677179E-2</v>
      </c>
      <c r="F10" s="13">
        <v>-7.1021022348914054E-2</v>
      </c>
      <c r="G10" s="13">
        <v>-2.7982400148786848E-2</v>
      </c>
      <c r="H10" s="13">
        <v>-7.685981887726713E-2</v>
      </c>
      <c r="I10" s="13">
        <v>1.4796188302095968E-2</v>
      </c>
      <c r="J10" s="13">
        <v>2.5901690310513169E-2</v>
      </c>
      <c r="K10" s="13">
        <v>4.6276063247088268E-4</v>
      </c>
      <c r="L10" s="13">
        <v>-4.8668714054917156E-2</v>
      </c>
      <c r="M10" s="13">
        <v>1.4576399241950389E-2</v>
      </c>
      <c r="N10" s="13">
        <v>3.2295861640734502E-2</v>
      </c>
      <c r="O10" s="13">
        <v>-2.0046931945290641E-2</v>
      </c>
      <c r="R10" s="14">
        <f t="shared" si="2"/>
        <v>-1.7594469243111862E-2</v>
      </c>
      <c r="S10" s="14">
        <f t="shared" si="3"/>
        <v>-1.2264586592833604E-2</v>
      </c>
      <c r="T10" s="14">
        <f t="shared" si="4"/>
        <v>-2.9022451141512268E-2</v>
      </c>
      <c r="U10" s="14">
        <f t="shared" si="5"/>
        <v>-5.1954701293341746E-2</v>
      </c>
      <c r="V10" s="14">
        <f t="shared" si="6"/>
        <v>-5.6816817879131246E-2</v>
      </c>
      <c r="W10" s="14">
        <f t="shared" si="7"/>
        <v>-2.2385920119029481E-2</v>
      </c>
      <c r="X10" s="14">
        <f t="shared" si="8"/>
        <v>-6.1487855101813704E-2</v>
      </c>
      <c r="Y10" s="14">
        <f t="shared" si="9"/>
        <v>1.775542596251516E-2</v>
      </c>
      <c r="Z10" s="14">
        <f t="shared" si="10"/>
        <v>3.10820283726158E-2</v>
      </c>
      <c r="AA10" s="14">
        <f t="shared" si="11"/>
        <v>5.5531275896505917E-4</v>
      </c>
      <c r="AB10" s="14">
        <f t="shared" si="12"/>
        <v>-3.8934971243933726E-2</v>
      </c>
      <c r="AC10" s="14">
        <f t="shared" si="13"/>
        <v>1.7491679090340467E-2</v>
      </c>
      <c r="AD10" s="14">
        <f t="shared" si="14"/>
        <v>3.87550339688814E-2</v>
      </c>
      <c r="AE10" s="14">
        <f t="shared" si="15"/>
        <v>-1.6037545556232515E-2</v>
      </c>
      <c r="AM10" s="14">
        <f t="shared" si="16"/>
        <v>-2.5400585663643876E-2</v>
      </c>
      <c r="AN10" s="14">
        <f t="shared" si="17"/>
        <v>-3.3061293112653614E-2</v>
      </c>
      <c r="AO10" s="14">
        <f t="shared" si="18"/>
        <v>-3.690038748114171E-2</v>
      </c>
      <c r="AP10" s="14">
        <f t="shared" si="19"/>
        <v>-6.1789209332873157E-2</v>
      </c>
      <c r="AQ10" s="14">
        <f t="shared" si="20"/>
        <v>-7.0639757342894738E-2</v>
      </c>
      <c r="AR10" s="14">
        <f t="shared" si="21"/>
        <v>-3.0898524948666836E-2</v>
      </c>
      <c r="AS10" s="14">
        <f t="shared" si="22"/>
        <v>-7.4300858096653308E-2</v>
      </c>
      <c r="AT10" s="14">
        <f t="shared" si="23"/>
        <v>1.2359494651970334E-2</v>
      </c>
      <c r="AU10" s="14">
        <f t="shared" si="24"/>
        <v>1.4958535795857965E-2</v>
      </c>
      <c r="AV10" s="14">
        <f t="shared" si="25"/>
        <v>-2.1496075451169397E-2</v>
      </c>
      <c r="AW10" s="14">
        <f t="shared" si="26"/>
        <v>-5.2022759120758114E-2</v>
      </c>
      <c r="AX10" s="14">
        <f t="shared" si="27"/>
        <v>-9.2171735464754122E-3</v>
      </c>
      <c r="AY10" s="14">
        <f t="shared" si="28"/>
        <v>2.7484102480801492E-2</v>
      </c>
      <c r="AZ10" s="14">
        <f t="shared" si="29"/>
        <v>-2.0651597552952958E-2</v>
      </c>
    </row>
    <row r="11" spans="2:52" x14ac:dyDescent="0.3">
      <c r="B11" s="13">
        <v>-7.977657360219095E-3</v>
      </c>
      <c r="C11" s="13">
        <v>-1.3028131319026687E-2</v>
      </c>
      <c r="D11" s="13">
        <v>-2.4393545330627372E-2</v>
      </c>
      <c r="E11" s="13">
        <v>-2.9320522619281513E-2</v>
      </c>
      <c r="F11" s="13">
        <v>-3.5294359843344859E-3</v>
      </c>
      <c r="G11" s="13">
        <v>-4.5114333276594261E-3</v>
      </c>
      <c r="H11" s="13">
        <v>-6.292743066361689E-2</v>
      </c>
      <c r="I11" s="13">
        <v>-3.8198192297400832E-2</v>
      </c>
      <c r="J11" s="13">
        <v>-9.7716018837705962E-2</v>
      </c>
      <c r="K11" s="13">
        <v>-2.7993175034050601E-2</v>
      </c>
      <c r="L11" s="13">
        <v>-1.7436485774837533E-2</v>
      </c>
      <c r="M11" s="13">
        <v>-0.17518788458993645</v>
      </c>
      <c r="N11" s="13">
        <v>-0.37690290436082902</v>
      </c>
      <c r="O11" s="13">
        <v>-0.10658849484203209</v>
      </c>
      <c r="R11" s="14">
        <f t="shared" si="2"/>
        <v>-6.3821258881752762E-3</v>
      </c>
      <c r="S11" s="14">
        <f t="shared" si="3"/>
        <v>-1.042250505522135E-2</v>
      </c>
      <c r="T11" s="14">
        <f t="shared" si="4"/>
        <v>-1.95148362645019E-2</v>
      </c>
      <c r="U11" s="14">
        <f t="shared" si="5"/>
        <v>-2.3456418095425213E-2</v>
      </c>
      <c r="V11" s="14">
        <f t="shared" si="6"/>
        <v>-2.8235487874675889E-3</v>
      </c>
      <c r="W11" s="14">
        <f t="shared" si="7"/>
        <v>-3.6091466621275409E-3</v>
      </c>
      <c r="X11" s="14">
        <f t="shared" si="8"/>
        <v>-5.0341944530893516E-2</v>
      </c>
      <c r="Y11" s="14">
        <f t="shared" si="9"/>
        <v>-3.0558553837920666E-2</v>
      </c>
      <c r="Z11" s="14">
        <f t="shared" si="10"/>
        <v>-7.8172815070164769E-2</v>
      </c>
      <c r="AA11" s="14">
        <f t="shared" si="11"/>
        <v>-2.2394540027240482E-2</v>
      </c>
      <c r="AB11" s="14">
        <f t="shared" si="12"/>
        <v>-1.3949188619870026E-2</v>
      </c>
      <c r="AC11" s="14">
        <f t="shared" si="13"/>
        <v>-0.14015030767194916</v>
      </c>
      <c r="AD11" s="14">
        <f t="shared" si="14"/>
        <v>-0.30152232348866326</v>
      </c>
      <c r="AE11" s="14">
        <f t="shared" si="15"/>
        <v>-8.5270795873625682E-2</v>
      </c>
      <c r="AM11" s="14">
        <f t="shared" si="16"/>
        <v>-1.4188242308707289E-2</v>
      </c>
      <c r="AN11" s="14">
        <f t="shared" si="17"/>
        <v>-3.1219211575041358E-2</v>
      </c>
      <c r="AO11" s="14">
        <f t="shared" si="18"/>
        <v>-2.7392772604131338E-2</v>
      </c>
      <c r="AP11" s="14">
        <f t="shared" si="19"/>
        <v>-3.3290926134956621E-2</v>
      </c>
      <c r="AQ11" s="14">
        <f t="shared" si="20"/>
        <v>-1.6646488251231089E-2</v>
      </c>
      <c r="AR11" s="14">
        <f t="shared" si="21"/>
        <v>-1.2121751491764894E-2</v>
      </c>
      <c r="AS11" s="14">
        <f t="shared" si="22"/>
        <v>-6.3154947525733113E-2</v>
      </c>
      <c r="AT11" s="14">
        <f t="shared" si="23"/>
        <v>-3.5954485148465491E-2</v>
      </c>
      <c r="AU11" s="14">
        <f t="shared" si="24"/>
        <v>-9.4296307646922609E-2</v>
      </c>
      <c r="AV11" s="14">
        <f t="shared" si="25"/>
        <v>-4.4445928237374935E-2</v>
      </c>
      <c r="AW11" s="14">
        <f t="shared" si="26"/>
        <v>-2.7036976496694412E-2</v>
      </c>
      <c r="AX11" s="14">
        <f t="shared" si="27"/>
        <v>-0.16685916030876505</v>
      </c>
      <c r="AY11" s="14">
        <f t="shared" si="28"/>
        <v>-0.31279325497674315</v>
      </c>
      <c r="AZ11" s="14">
        <f t="shared" si="29"/>
        <v>-8.9884847870346118E-2</v>
      </c>
    </row>
    <row r="12" spans="2:52" x14ac:dyDescent="0.3">
      <c r="B12" s="13">
        <v>-1.4752638475038295E-2</v>
      </c>
      <c r="C12" s="13">
        <v>2.1758180528716777E-2</v>
      </c>
      <c r="D12" s="13">
        <v>3.2057970458624678E-2</v>
      </c>
      <c r="E12" s="13">
        <v>3.0660107548338148E-2</v>
      </c>
      <c r="F12" s="13">
        <v>-5.6528492559276861E-2</v>
      </c>
      <c r="G12" s="13">
        <v>7.7679166014755011E-3</v>
      </c>
      <c r="H12" s="13">
        <v>2.0738070387927736E-2</v>
      </c>
      <c r="I12" s="13">
        <v>2.9551139435654749E-2</v>
      </c>
      <c r="J12" s="13">
        <v>9.7110974953567741E-2</v>
      </c>
      <c r="K12" s="13">
        <v>-6.7404398708788962E-2</v>
      </c>
      <c r="L12" s="13">
        <v>8.6133176781149293E-3</v>
      </c>
      <c r="M12" s="13">
        <v>4.0023127416511046E-2</v>
      </c>
      <c r="N12" s="13">
        <v>0.216255218136501</v>
      </c>
      <c r="O12" s="13">
        <v>-1.3001610134162626E-2</v>
      </c>
      <c r="R12" s="14">
        <f t="shared" si="2"/>
        <v>-1.1802110780030637E-2</v>
      </c>
      <c r="S12" s="14">
        <f t="shared" si="3"/>
        <v>2.6109816634460131E-2</v>
      </c>
      <c r="T12" s="14">
        <f t="shared" si="4"/>
        <v>3.8469564550349611E-2</v>
      </c>
      <c r="U12" s="14">
        <f t="shared" si="5"/>
        <v>3.6792129058005774E-2</v>
      </c>
      <c r="V12" s="14">
        <f t="shared" si="6"/>
        <v>-4.5222794047421494E-2</v>
      </c>
      <c r="W12" s="14">
        <f t="shared" si="7"/>
        <v>9.3214999217706013E-3</v>
      </c>
      <c r="X12" s="14">
        <f t="shared" si="8"/>
        <v>2.4885684465513282E-2</v>
      </c>
      <c r="Y12" s="14">
        <f t="shared" si="9"/>
        <v>3.5461367322785695E-2</v>
      </c>
      <c r="Z12" s="14">
        <f t="shared" si="10"/>
        <v>0.11653316994428128</v>
      </c>
      <c r="AA12" s="14">
        <f t="shared" si="11"/>
        <v>-5.3923518967031174E-2</v>
      </c>
      <c r="AB12" s="14">
        <f t="shared" si="12"/>
        <v>1.0335981213737916E-2</v>
      </c>
      <c r="AC12" s="14">
        <f t="shared" si="13"/>
        <v>4.8027752899813252E-2</v>
      </c>
      <c r="AD12" s="14">
        <f t="shared" si="14"/>
        <v>0.2595062617638012</v>
      </c>
      <c r="AE12" s="14">
        <f t="shared" si="15"/>
        <v>-1.0401288107330101E-2</v>
      </c>
      <c r="AM12" s="14">
        <f t="shared" si="16"/>
        <v>-1.9608227200562649E-2</v>
      </c>
      <c r="AN12" s="14">
        <f t="shared" si="17"/>
        <v>5.3131101146401231E-3</v>
      </c>
      <c r="AO12" s="14">
        <f t="shared" si="18"/>
        <v>3.0591628210720173E-2</v>
      </c>
      <c r="AP12" s="14">
        <f t="shared" si="19"/>
        <v>2.6957621018474362E-2</v>
      </c>
      <c r="AQ12" s="14">
        <f t="shared" si="20"/>
        <v>-5.9045733511184993E-2</v>
      </c>
      <c r="AR12" s="14">
        <f t="shared" si="21"/>
        <v>8.0889509213324766E-4</v>
      </c>
      <c r="AS12" s="14">
        <f t="shared" si="22"/>
        <v>1.2072681470673684E-2</v>
      </c>
      <c r="AT12" s="14">
        <f t="shared" si="23"/>
        <v>3.0065436012240869E-2</v>
      </c>
      <c r="AU12" s="14">
        <f t="shared" si="24"/>
        <v>0.10040967736752344</v>
      </c>
      <c r="AV12" s="14">
        <f t="shared" si="25"/>
        <v>-7.5974907177165624E-2</v>
      </c>
      <c r="AW12" s="14">
        <f t="shared" si="26"/>
        <v>-2.7518066630864702E-3</v>
      </c>
      <c r="AX12" s="14">
        <f t="shared" si="27"/>
        <v>2.1318900262997372E-2</v>
      </c>
      <c r="AY12" s="14">
        <f t="shared" si="28"/>
        <v>0.24823533027572131</v>
      </c>
      <c r="AZ12" s="14">
        <f t="shared" si="29"/>
        <v>-1.5015340104050545E-2</v>
      </c>
    </row>
    <row r="13" spans="2:52" x14ac:dyDescent="0.3">
      <c r="B13" s="13">
        <v>-1.0243367414760989E-2</v>
      </c>
      <c r="C13" s="13">
        <v>-5.1816261365389575E-2</v>
      </c>
      <c r="D13" s="13">
        <v>-2.5377317701856122E-2</v>
      </c>
      <c r="E13" s="13">
        <v>-1.9146885180062238E-2</v>
      </c>
      <c r="F13" s="13">
        <v>3.4478014125612584E-2</v>
      </c>
      <c r="G13" s="13">
        <v>-5.4450212144599469E-2</v>
      </c>
      <c r="H13" s="13">
        <v>-5.0773315175002567E-2</v>
      </c>
      <c r="I13" s="13">
        <v>-0.16816930050329112</v>
      </c>
      <c r="J13" s="13">
        <v>-1.5078726850447048E-2</v>
      </c>
      <c r="K13" s="13">
        <v>-6.4708190000914129E-2</v>
      </c>
      <c r="L13" s="13">
        <v>-0.1592618710637988</v>
      </c>
      <c r="M13" s="13">
        <v>-4.548264962140984E-2</v>
      </c>
      <c r="N13" s="13">
        <v>-0.13893855821995357</v>
      </c>
      <c r="O13" s="13">
        <v>-0.14007319412846256</v>
      </c>
      <c r="R13" s="14">
        <f t="shared" si="2"/>
        <v>-8.194693931808791E-3</v>
      </c>
      <c r="S13" s="14">
        <f t="shared" si="3"/>
        <v>-4.1453009092311664E-2</v>
      </c>
      <c r="T13" s="14">
        <f t="shared" si="4"/>
        <v>-2.0301854161484899E-2</v>
      </c>
      <c r="U13" s="14">
        <f t="shared" si="5"/>
        <v>-1.5317508144049792E-2</v>
      </c>
      <c r="V13" s="14">
        <f t="shared" si="6"/>
        <v>4.1373616950735097E-2</v>
      </c>
      <c r="W13" s="14">
        <f t="shared" si="7"/>
        <v>-4.3560169715679581E-2</v>
      </c>
      <c r="X13" s="14">
        <f t="shared" si="8"/>
        <v>-4.0618652140002057E-2</v>
      </c>
      <c r="Y13" s="14">
        <f t="shared" si="9"/>
        <v>-0.13453544040263291</v>
      </c>
      <c r="Z13" s="14">
        <f t="shared" si="10"/>
        <v>-1.2062981480357639E-2</v>
      </c>
      <c r="AA13" s="14">
        <f t="shared" si="11"/>
        <v>-5.1766552000731304E-2</v>
      </c>
      <c r="AB13" s="14">
        <f t="shared" si="12"/>
        <v>-0.12740949685103906</v>
      </c>
      <c r="AC13" s="14">
        <f t="shared" si="13"/>
        <v>-3.6386119697127871E-2</v>
      </c>
      <c r="AD13" s="14">
        <f t="shared" si="14"/>
        <v>-0.11115084657596286</v>
      </c>
      <c r="AE13" s="14">
        <f t="shared" si="15"/>
        <v>-0.11205855530277005</v>
      </c>
      <c r="AM13" s="14">
        <f t="shared" si="16"/>
        <v>-1.6000810352340803E-2</v>
      </c>
      <c r="AN13" s="14">
        <f t="shared" si="17"/>
        <v>-6.2249715612131676E-2</v>
      </c>
      <c r="AO13" s="14">
        <f t="shared" si="18"/>
        <v>-2.8179790501114341E-2</v>
      </c>
      <c r="AP13" s="14">
        <f t="shared" si="19"/>
        <v>-2.5152016183581202E-2</v>
      </c>
      <c r="AQ13" s="14">
        <f t="shared" si="20"/>
        <v>2.7550677486971598E-2</v>
      </c>
      <c r="AR13" s="14">
        <f t="shared" si="21"/>
        <v>-5.2072774545316933E-2</v>
      </c>
      <c r="AS13" s="14">
        <f t="shared" si="22"/>
        <v>-5.3431655134841653E-2</v>
      </c>
      <c r="AT13" s="14">
        <f t="shared" si="23"/>
        <v>-0.13993137171317774</v>
      </c>
      <c r="AU13" s="14">
        <f t="shared" si="24"/>
        <v>-2.8186474057115475E-2</v>
      </c>
      <c r="AV13" s="14">
        <f t="shared" si="25"/>
        <v>-7.3817940210865768E-2</v>
      </c>
      <c r="AW13" s="14">
        <f t="shared" si="26"/>
        <v>-0.14049728472786344</v>
      </c>
      <c r="AX13" s="14">
        <f t="shared" si="27"/>
        <v>-6.3094972333943747E-2</v>
      </c>
      <c r="AY13" s="14">
        <f t="shared" si="28"/>
        <v>-0.12242177806404277</v>
      </c>
      <c r="AZ13" s="14">
        <f t="shared" si="29"/>
        <v>-0.11667260729949049</v>
      </c>
    </row>
    <row r="14" spans="2:52" x14ac:dyDescent="0.3">
      <c r="B14" s="13">
        <v>-5.311093960139774E-2</v>
      </c>
      <c r="C14" s="13">
        <v>-3.7304503177517455E-2</v>
      </c>
      <c r="D14" s="13">
        <v>-3.435847586991346E-2</v>
      </c>
      <c r="E14" s="13">
        <v>-1.5585921738829495E-2</v>
      </c>
      <c r="F14" s="13">
        <v>-5.2569260322565543E-2</v>
      </c>
      <c r="G14" s="13">
        <v>-8.2428909736568308E-4</v>
      </c>
      <c r="H14" s="13">
        <v>-6.4251981501514982E-2</v>
      </c>
      <c r="I14" s="13">
        <v>-9.6368460952304266E-2</v>
      </c>
      <c r="J14" s="13">
        <v>6.2308756715451559E-2</v>
      </c>
      <c r="K14" s="13">
        <v>-3.4869409507365771E-2</v>
      </c>
      <c r="L14" s="13">
        <v>3.0700546110786216E-2</v>
      </c>
      <c r="M14" s="13">
        <v>3.8483495939221263E-2</v>
      </c>
      <c r="N14" s="13">
        <v>-0.15696671245848182</v>
      </c>
      <c r="O14" s="13">
        <v>-0.10460605256523982</v>
      </c>
      <c r="R14" s="14">
        <f t="shared" si="2"/>
        <v>-4.2488751681118195E-2</v>
      </c>
      <c r="S14" s="14">
        <f t="shared" si="3"/>
        <v>-2.9843602542013965E-2</v>
      </c>
      <c r="T14" s="14">
        <f t="shared" si="4"/>
        <v>-2.748678069593077E-2</v>
      </c>
      <c r="U14" s="14">
        <f t="shared" si="5"/>
        <v>-1.2468737391063597E-2</v>
      </c>
      <c r="V14" s="14">
        <f t="shared" si="6"/>
        <v>-4.2055408258052436E-2</v>
      </c>
      <c r="W14" s="14">
        <f t="shared" si="7"/>
        <v>-6.5943127789254647E-4</v>
      </c>
      <c r="X14" s="14">
        <f t="shared" si="8"/>
        <v>-5.1401585201211991E-2</v>
      </c>
      <c r="Y14" s="14">
        <f t="shared" si="9"/>
        <v>-7.7094768761843416E-2</v>
      </c>
      <c r="Z14" s="14">
        <f t="shared" si="10"/>
        <v>7.4770508058541865E-2</v>
      </c>
      <c r="AA14" s="14">
        <f t="shared" si="11"/>
        <v>-2.7895527605892617E-2</v>
      </c>
      <c r="AB14" s="14">
        <f t="shared" si="12"/>
        <v>3.6840655332943457E-2</v>
      </c>
      <c r="AC14" s="14">
        <f t="shared" si="13"/>
        <v>4.6180195127065511E-2</v>
      </c>
      <c r="AD14" s="14">
        <f t="shared" si="14"/>
        <v>-0.12557336996678545</v>
      </c>
      <c r="AE14" s="14">
        <f t="shared" si="15"/>
        <v>-8.3684842052191857E-2</v>
      </c>
      <c r="AM14" s="14">
        <f t="shared" si="16"/>
        <v>-5.0294868101650209E-2</v>
      </c>
      <c r="AN14" s="14">
        <f t="shared" si="17"/>
        <v>-5.0640309061833977E-2</v>
      </c>
      <c r="AO14" s="14">
        <f t="shared" si="18"/>
        <v>-3.5364717035560211E-2</v>
      </c>
      <c r="AP14" s="14">
        <f t="shared" si="19"/>
        <v>-2.2303245430595007E-2</v>
      </c>
      <c r="AQ14" s="14">
        <f t="shared" si="20"/>
        <v>-5.5878347721815935E-2</v>
      </c>
      <c r="AR14" s="14">
        <f t="shared" si="21"/>
        <v>-9.1720361075298996E-3</v>
      </c>
      <c r="AS14" s="14">
        <f t="shared" si="22"/>
        <v>-6.4214588196051595E-2</v>
      </c>
      <c r="AT14" s="14">
        <f t="shared" si="23"/>
        <v>-8.2490700072388234E-2</v>
      </c>
      <c r="AU14" s="14">
        <f t="shared" si="24"/>
        <v>5.8647015481784026E-2</v>
      </c>
      <c r="AV14" s="14">
        <f t="shared" si="25"/>
        <v>-4.9946915816027074E-2</v>
      </c>
      <c r="AW14" s="14">
        <f t="shared" si="26"/>
        <v>2.375286745611907E-2</v>
      </c>
      <c r="AX14" s="14">
        <f t="shared" si="27"/>
        <v>1.9471342490249632E-2</v>
      </c>
      <c r="AY14" s="14">
        <f t="shared" si="28"/>
        <v>-0.13684430145486534</v>
      </c>
      <c r="AZ14" s="14">
        <f t="shared" si="29"/>
        <v>-8.8298894048912294E-2</v>
      </c>
    </row>
    <row r="15" spans="2:52" x14ac:dyDescent="0.3">
      <c r="B15" s="13">
        <v>5.8062806666450389E-2</v>
      </c>
      <c r="C15" s="13">
        <v>0.17967854978060122</v>
      </c>
      <c r="D15" s="13">
        <v>7.017520982336925E-2</v>
      </c>
      <c r="E15" s="13">
        <v>4.7076361402382846E-2</v>
      </c>
      <c r="F15" s="13">
        <v>0.12958199265549572</v>
      </c>
      <c r="G15" s="13">
        <v>0.10264242146601493</v>
      </c>
      <c r="H15" s="13">
        <v>0.14317901694381946</v>
      </c>
      <c r="I15" s="13">
        <v>0.18065627747489346</v>
      </c>
      <c r="J15" s="13">
        <v>8.7964353364115927E-2</v>
      </c>
      <c r="K15" s="13">
        <v>0.14981282146910563</v>
      </c>
      <c r="L15" s="13">
        <v>8.1142432853102797E-2</v>
      </c>
      <c r="M15" s="13">
        <v>0.11827067403343312</v>
      </c>
      <c r="N15" s="13">
        <v>0.18416546640366083</v>
      </c>
      <c r="O15" s="13">
        <v>0.16980985630038659</v>
      </c>
      <c r="R15" s="14">
        <f t="shared" si="2"/>
        <v>6.9675367999740459E-2</v>
      </c>
      <c r="S15" s="14">
        <f t="shared" si="3"/>
        <v>0.21561425973672146</v>
      </c>
      <c r="T15" s="14">
        <f t="shared" si="4"/>
        <v>8.4210251788043103E-2</v>
      </c>
      <c r="U15" s="14">
        <f t="shared" si="5"/>
        <v>5.6491633682859414E-2</v>
      </c>
      <c r="V15" s="14">
        <f t="shared" si="6"/>
        <v>0.15549839118659486</v>
      </c>
      <c r="W15" s="14">
        <f t="shared" si="7"/>
        <v>0.12317090575921791</v>
      </c>
      <c r="X15" s="14">
        <f t="shared" si="8"/>
        <v>0.17181482033258336</v>
      </c>
      <c r="Y15" s="14">
        <f t="shared" si="9"/>
        <v>0.21678753296987216</v>
      </c>
      <c r="Z15" s="14">
        <f t="shared" si="10"/>
        <v>0.10555722403693911</v>
      </c>
      <c r="AA15" s="14">
        <f t="shared" si="11"/>
        <v>0.17977538576292676</v>
      </c>
      <c r="AB15" s="14">
        <f t="shared" si="12"/>
        <v>9.7370919423723348E-2</v>
      </c>
      <c r="AC15" s="14">
        <f t="shared" si="13"/>
        <v>0.14192480884011974</v>
      </c>
      <c r="AD15" s="14">
        <f t="shared" si="14"/>
        <v>0.220998559684393</v>
      </c>
      <c r="AE15" s="14">
        <f t="shared" si="15"/>
        <v>0.20377182756046389</v>
      </c>
      <c r="AM15" s="14">
        <f t="shared" si="16"/>
        <v>6.1869251579208445E-2</v>
      </c>
      <c r="AN15" s="14">
        <f t="shared" si="17"/>
        <v>0.19481755321690145</v>
      </c>
      <c r="AO15" s="14">
        <f t="shared" si="18"/>
        <v>7.6332315448413665E-2</v>
      </c>
      <c r="AP15" s="14">
        <f t="shared" si="19"/>
        <v>4.6657125643328003E-2</v>
      </c>
      <c r="AQ15" s="14">
        <f t="shared" si="20"/>
        <v>0.14167545172283136</v>
      </c>
      <c r="AR15" s="14">
        <f t="shared" si="21"/>
        <v>0.11465830092958056</v>
      </c>
      <c r="AS15" s="14">
        <f t="shared" si="22"/>
        <v>0.15900181733774377</v>
      </c>
      <c r="AT15" s="14">
        <f t="shared" si="23"/>
        <v>0.21139160165932733</v>
      </c>
      <c r="AU15" s="14">
        <f t="shared" si="24"/>
        <v>8.9433731460181271E-2</v>
      </c>
      <c r="AV15" s="14">
        <f t="shared" si="25"/>
        <v>0.15772399755279232</v>
      </c>
      <c r="AW15" s="14">
        <f t="shared" si="26"/>
        <v>8.4283131546898968E-2</v>
      </c>
      <c r="AX15" s="14">
        <f t="shared" si="27"/>
        <v>0.11521595620330385</v>
      </c>
      <c r="AY15" s="14">
        <f t="shared" si="28"/>
        <v>0.2097276281963131</v>
      </c>
      <c r="AZ15" s="14">
        <f t="shared" si="29"/>
        <v>0.19915777556374345</v>
      </c>
    </row>
    <row r="16" spans="2:52" x14ac:dyDescent="0.3">
      <c r="B16" s="13">
        <v>6.3440223388508729E-2</v>
      </c>
      <c r="C16" s="13">
        <v>4.5815178878562138E-2</v>
      </c>
      <c r="D16" s="13">
        <v>1.075973367373702E-2</v>
      </c>
      <c r="E16" s="13">
        <v>3.9890097866877756E-2</v>
      </c>
      <c r="F16" s="13">
        <v>0.10996223751992373</v>
      </c>
      <c r="G16" s="13">
        <v>2.1594606393458275E-2</v>
      </c>
      <c r="H16" s="13">
        <v>2.4321885177256412E-2</v>
      </c>
      <c r="I16" s="13">
        <v>-1.6807118316381289E-2</v>
      </c>
      <c r="J16" s="13">
        <v>6.4625631637295081E-2</v>
      </c>
      <c r="K16" s="13">
        <v>4.1325699495325836E-3</v>
      </c>
      <c r="L16" s="13">
        <v>2.0766097743996303E-2</v>
      </c>
      <c r="M16" s="13">
        <v>1.1632546835828496E-2</v>
      </c>
      <c r="N16" s="13">
        <v>-8.8496152769824993E-3</v>
      </c>
      <c r="O16" s="13">
        <v>-2.0416850980650773E-2</v>
      </c>
      <c r="R16" s="14">
        <f t="shared" si="2"/>
        <v>7.6128268066210467E-2</v>
      </c>
      <c r="S16" s="14">
        <f t="shared" si="3"/>
        <v>5.4978214654274563E-2</v>
      </c>
      <c r="T16" s="14">
        <f t="shared" si="4"/>
        <v>1.2911680408484423E-2</v>
      </c>
      <c r="U16" s="14">
        <f t="shared" si="5"/>
        <v>4.7868117440253308E-2</v>
      </c>
      <c r="V16" s="14">
        <f t="shared" si="6"/>
        <v>0.13195468502390847</v>
      </c>
      <c r="W16" s="14">
        <f t="shared" si="7"/>
        <v>2.5913527672149928E-2</v>
      </c>
      <c r="X16" s="14">
        <f t="shared" si="8"/>
        <v>2.9186262212707693E-2</v>
      </c>
      <c r="Y16" s="14">
        <f t="shared" si="9"/>
        <v>-1.3445694653105031E-2</v>
      </c>
      <c r="Z16" s="14">
        <f t="shared" si="10"/>
        <v>7.7550757964754094E-2</v>
      </c>
      <c r="AA16" s="14">
        <f t="shared" si="11"/>
        <v>4.9590839394390998E-3</v>
      </c>
      <c r="AB16" s="14">
        <f t="shared" si="12"/>
        <v>2.4919317292795562E-2</v>
      </c>
      <c r="AC16" s="14">
        <f t="shared" si="13"/>
        <v>1.3959056202994194E-2</v>
      </c>
      <c r="AD16" s="14">
        <f t="shared" si="14"/>
        <v>-7.0796922215859998E-3</v>
      </c>
      <c r="AE16" s="14">
        <f t="shared" si="15"/>
        <v>-1.633348078452062E-2</v>
      </c>
      <c r="AM16" s="14">
        <f t="shared" si="16"/>
        <v>6.8322151645678453E-2</v>
      </c>
      <c r="AN16" s="14">
        <f t="shared" si="17"/>
        <v>3.4181508134454558E-2</v>
      </c>
      <c r="AO16" s="14">
        <f t="shared" si="18"/>
        <v>5.0337440688549839E-3</v>
      </c>
      <c r="AP16" s="14">
        <f t="shared" si="19"/>
        <v>3.8033609400721896E-2</v>
      </c>
      <c r="AQ16" s="14">
        <f t="shared" si="20"/>
        <v>0.11813174556014497</v>
      </c>
      <c r="AR16" s="14">
        <f t="shared" si="21"/>
        <v>1.7400922842512573E-2</v>
      </c>
      <c r="AS16" s="14">
        <f t="shared" si="22"/>
        <v>1.6373259217868093E-2</v>
      </c>
      <c r="AT16" s="14">
        <f t="shared" si="23"/>
        <v>-1.8841625963649855E-2</v>
      </c>
      <c r="AU16" s="14">
        <f t="shared" si="24"/>
        <v>6.1427265387996255E-2</v>
      </c>
      <c r="AV16" s="14">
        <f t="shared" si="25"/>
        <v>-1.7092304270695358E-2</v>
      </c>
      <c r="AW16" s="14">
        <f t="shared" si="26"/>
        <v>1.1831529415971176E-2</v>
      </c>
      <c r="AX16" s="14">
        <f t="shared" si="27"/>
        <v>-1.2749796433821686E-2</v>
      </c>
      <c r="AY16" s="14">
        <f t="shared" si="28"/>
        <v>-1.8350623709665906E-2</v>
      </c>
      <c r="AZ16" s="14">
        <f t="shared" si="29"/>
        <v>-2.0947532781241063E-2</v>
      </c>
    </row>
    <row r="17" spans="2:52" x14ac:dyDescent="0.3">
      <c r="B17" s="13">
        <v>-2.3493693297660751E-3</v>
      </c>
      <c r="C17" s="13">
        <v>-3.6033310061000953E-2</v>
      </c>
      <c r="D17" s="13">
        <v>1.8725061869359596E-2</v>
      </c>
      <c r="E17" s="13">
        <v>-1.078713178046219E-2</v>
      </c>
      <c r="F17" s="13">
        <v>7.0618241853737801E-2</v>
      </c>
      <c r="G17" s="13">
        <v>-7.3706665728985659E-3</v>
      </c>
      <c r="H17" s="13">
        <v>1.3567271040120945E-2</v>
      </c>
      <c r="I17" s="13">
        <v>5.4691468849293705E-2</v>
      </c>
      <c r="J17" s="13">
        <v>2.6235386429847265E-2</v>
      </c>
      <c r="K17" s="13">
        <v>1.3380792533581347E-3</v>
      </c>
      <c r="L17" s="13">
        <v>5.4839553287844588E-2</v>
      </c>
      <c r="M17" s="13">
        <v>6.4201147348314239E-2</v>
      </c>
      <c r="N17" s="13">
        <v>1.4520330524953039E-2</v>
      </c>
      <c r="O17" s="13">
        <v>3.5269876918998272E-2</v>
      </c>
      <c r="R17" s="14">
        <f t="shared" si="2"/>
        <v>-1.8794954638128602E-3</v>
      </c>
      <c r="S17" s="14">
        <f t="shared" si="3"/>
        <v>-2.8826648048800765E-2</v>
      </c>
      <c r="T17" s="14">
        <f t="shared" si="4"/>
        <v>2.2470074243231514E-2</v>
      </c>
      <c r="U17" s="14">
        <f t="shared" si="5"/>
        <v>-8.6297054243697525E-3</v>
      </c>
      <c r="V17" s="14">
        <f t="shared" si="6"/>
        <v>8.4741890224485361E-2</v>
      </c>
      <c r="W17" s="14">
        <f t="shared" si="7"/>
        <v>-5.8965332583188531E-3</v>
      </c>
      <c r="X17" s="14">
        <f t="shared" si="8"/>
        <v>1.6280725248145132E-2</v>
      </c>
      <c r="Y17" s="14">
        <f t="shared" si="9"/>
        <v>6.5629762619152446E-2</v>
      </c>
      <c r="Z17" s="14">
        <f t="shared" si="10"/>
        <v>3.1482463715816714E-2</v>
      </c>
      <c r="AA17" s="14">
        <f t="shared" si="11"/>
        <v>1.6056951040297615E-3</v>
      </c>
      <c r="AB17" s="14">
        <f t="shared" si="12"/>
        <v>6.5807463945413508E-2</v>
      </c>
      <c r="AC17" s="14">
        <f t="shared" si="13"/>
        <v>7.7041376817977084E-2</v>
      </c>
      <c r="AD17" s="14">
        <f t="shared" si="14"/>
        <v>1.7424396629943648E-2</v>
      </c>
      <c r="AE17" s="14">
        <f t="shared" si="15"/>
        <v>4.2323852302797928E-2</v>
      </c>
      <c r="AM17" s="14">
        <f t="shared" si="16"/>
        <v>-9.6856118843448736E-3</v>
      </c>
      <c r="AN17" s="14">
        <f t="shared" si="17"/>
        <v>-4.962335456862077E-2</v>
      </c>
      <c r="AO17" s="14">
        <f t="shared" si="18"/>
        <v>1.4592137903602075E-2</v>
      </c>
      <c r="AP17" s="14">
        <f t="shared" si="19"/>
        <v>-1.8464213463901161E-2</v>
      </c>
      <c r="AQ17" s="14">
        <f t="shared" si="20"/>
        <v>7.0918950760721855E-2</v>
      </c>
      <c r="AR17" s="14">
        <f t="shared" si="21"/>
        <v>-1.4409138087956207E-2</v>
      </c>
      <c r="AS17" s="14">
        <f t="shared" si="22"/>
        <v>3.467722253305534E-3</v>
      </c>
      <c r="AT17" s="14">
        <f t="shared" si="23"/>
        <v>6.023383130860762E-2</v>
      </c>
      <c r="AU17" s="14">
        <f t="shared" si="24"/>
        <v>1.5358971139058878E-2</v>
      </c>
      <c r="AV17" s="14">
        <f t="shared" si="25"/>
        <v>-2.0445693106104695E-2</v>
      </c>
      <c r="AW17" s="14">
        <f t="shared" si="26"/>
        <v>5.2719676068589121E-2</v>
      </c>
      <c r="AX17" s="14">
        <f t="shared" si="27"/>
        <v>5.0332524181161201E-2</v>
      </c>
      <c r="AY17" s="14">
        <f t="shared" si="28"/>
        <v>6.1534651418637416E-3</v>
      </c>
      <c r="AZ17" s="14">
        <f t="shared" si="29"/>
        <v>3.7709800306077484E-2</v>
      </c>
    </row>
    <row r="18" spans="2:52" x14ac:dyDescent="0.3">
      <c r="B18" s="13">
        <v>-2.4507614500773701E-2</v>
      </c>
      <c r="C18" s="13">
        <v>-0.14433998331769271</v>
      </c>
      <c r="D18" s="13">
        <v>-4.1068453691096789E-2</v>
      </c>
      <c r="E18" s="13">
        <v>-5.0186071994870581E-2</v>
      </c>
      <c r="F18" s="13">
        <v>-5.6031488251438596E-2</v>
      </c>
      <c r="G18" s="13">
        <v>-5.7244732355323659E-2</v>
      </c>
      <c r="H18" s="13">
        <v>-1.1270748585339175E-2</v>
      </c>
      <c r="I18" s="13">
        <v>-4.7093289618222123E-2</v>
      </c>
      <c r="J18" s="13">
        <v>-4.3229615846854044E-2</v>
      </c>
      <c r="K18" s="13">
        <v>-0.14986306551261575</v>
      </c>
      <c r="L18" s="13">
        <v>-0.11566604515570807</v>
      </c>
      <c r="M18" s="13">
        <v>-8.5238152212121318E-2</v>
      </c>
      <c r="N18" s="13">
        <v>-9.0115032800027833E-2</v>
      </c>
      <c r="O18" s="13">
        <v>-6.2225207272701283E-2</v>
      </c>
      <c r="R18" s="14">
        <f t="shared" si="2"/>
        <v>-1.9606091600618963E-2</v>
      </c>
      <c r="S18" s="14">
        <f t="shared" si="3"/>
        <v>-0.11547198665415417</v>
      </c>
      <c r="T18" s="14">
        <f t="shared" si="4"/>
        <v>-3.2854762952877432E-2</v>
      </c>
      <c r="U18" s="14">
        <f t="shared" si="5"/>
        <v>-4.0148857595896467E-2</v>
      </c>
      <c r="V18" s="14">
        <f t="shared" si="6"/>
        <v>-4.482519060115088E-2</v>
      </c>
      <c r="W18" s="14">
        <f t="shared" si="7"/>
        <v>-4.5795785884258929E-2</v>
      </c>
      <c r="X18" s="14">
        <f t="shared" si="8"/>
        <v>-9.0165988682713409E-3</v>
      </c>
      <c r="Y18" s="14">
        <f t="shared" si="9"/>
        <v>-3.7674631694577701E-2</v>
      </c>
      <c r="Z18" s="14">
        <f t="shared" si="10"/>
        <v>-3.4583692677483235E-2</v>
      </c>
      <c r="AA18" s="14">
        <f t="shared" si="11"/>
        <v>-0.11989045241009261</v>
      </c>
      <c r="AB18" s="14">
        <f t="shared" si="12"/>
        <v>-9.2532836124566462E-2</v>
      </c>
      <c r="AC18" s="14">
        <f t="shared" si="13"/>
        <v>-6.819052176969706E-2</v>
      </c>
      <c r="AD18" s="14">
        <f t="shared" si="14"/>
        <v>-7.2092026240022269E-2</v>
      </c>
      <c r="AE18" s="14">
        <f t="shared" si="15"/>
        <v>-4.9780165818161026E-2</v>
      </c>
      <c r="AM18" s="14">
        <f t="shared" si="16"/>
        <v>-2.7412208021150977E-2</v>
      </c>
      <c r="AN18" s="14">
        <f t="shared" si="17"/>
        <v>-0.13626869317397419</v>
      </c>
      <c r="AO18" s="14">
        <f t="shared" si="18"/>
        <v>-4.073269929250687E-2</v>
      </c>
      <c r="AP18" s="14">
        <f t="shared" si="19"/>
        <v>-4.9983365635427879E-2</v>
      </c>
      <c r="AQ18" s="14">
        <f t="shared" si="20"/>
        <v>-5.8648130064914379E-2</v>
      </c>
      <c r="AR18" s="14">
        <f t="shared" si="21"/>
        <v>-5.430839071389628E-2</v>
      </c>
      <c r="AS18" s="14">
        <f t="shared" si="22"/>
        <v>-2.1829601863110941E-2</v>
      </c>
      <c r="AT18" s="14">
        <f t="shared" si="23"/>
        <v>-4.3070563005122527E-2</v>
      </c>
      <c r="AU18" s="14">
        <f t="shared" si="24"/>
        <v>-5.0707185254241074E-2</v>
      </c>
      <c r="AV18" s="14">
        <f t="shared" si="25"/>
        <v>-0.14194184062022708</v>
      </c>
      <c r="AW18" s="14">
        <f t="shared" si="26"/>
        <v>-0.10562062400139084</v>
      </c>
      <c r="AX18" s="14">
        <f t="shared" si="27"/>
        <v>-9.4899374406512943E-2</v>
      </c>
      <c r="AY18" s="14">
        <f t="shared" si="28"/>
        <v>-8.3362957728102177E-2</v>
      </c>
      <c r="AZ18" s="14">
        <f t="shared" si="29"/>
        <v>-5.439421781488147E-2</v>
      </c>
    </row>
    <row r="19" spans="2:52" x14ac:dyDescent="0.3">
      <c r="B19" s="13">
        <v>-2.8626201796738353E-2</v>
      </c>
      <c r="C19" s="13">
        <v>-8.3870670890374796E-2</v>
      </c>
      <c r="D19" s="13">
        <v>-5.9448847673579767E-2</v>
      </c>
      <c r="E19" s="13">
        <v>-5.0468366521953939E-2</v>
      </c>
      <c r="F19" s="13">
        <v>-4.0294337287791124E-2</v>
      </c>
      <c r="G19" s="13">
        <v>-1.7964359381116433E-2</v>
      </c>
      <c r="H19" s="13">
        <v>-5.6198458193926819E-2</v>
      </c>
      <c r="I19" s="13">
        <v>-7.2061373638917015E-2</v>
      </c>
      <c r="J19" s="13">
        <v>7.5063344559852987E-2</v>
      </c>
      <c r="K19" s="13">
        <v>-8.8628192216535118E-2</v>
      </c>
      <c r="L19" s="13">
        <v>1.9466086625123183E-2</v>
      </c>
      <c r="M19" s="13">
        <v>-2.2293916959212796E-2</v>
      </c>
      <c r="N19" s="13">
        <v>-2.9900502587615466E-2</v>
      </c>
      <c r="O19" s="13">
        <v>-5.3343103750311E-3</v>
      </c>
      <c r="R19" s="14">
        <f t="shared" si="2"/>
        <v>-2.2900961437390684E-2</v>
      </c>
      <c r="S19" s="14">
        <f t="shared" si="3"/>
        <v>-6.7096536712299842E-2</v>
      </c>
      <c r="T19" s="14">
        <f t="shared" si="4"/>
        <v>-4.7559078138863814E-2</v>
      </c>
      <c r="U19" s="14">
        <f t="shared" si="5"/>
        <v>-4.0374693217563151E-2</v>
      </c>
      <c r="V19" s="14">
        <f t="shared" si="6"/>
        <v>-3.2235469830232899E-2</v>
      </c>
      <c r="W19" s="14">
        <f t="shared" si="7"/>
        <v>-1.4371487504893147E-2</v>
      </c>
      <c r="X19" s="14">
        <f t="shared" si="8"/>
        <v>-4.4958766555141458E-2</v>
      </c>
      <c r="Y19" s="14">
        <f t="shared" si="9"/>
        <v>-5.7649098911133616E-2</v>
      </c>
      <c r="Z19" s="14">
        <f t="shared" si="10"/>
        <v>9.0076013471823577E-2</v>
      </c>
      <c r="AA19" s="14">
        <f t="shared" si="11"/>
        <v>-7.09025537732281E-2</v>
      </c>
      <c r="AB19" s="14">
        <f t="shared" si="12"/>
        <v>2.3359303950147819E-2</v>
      </c>
      <c r="AC19" s="14">
        <f t="shared" si="13"/>
        <v>-1.7835133567370237E-2</v>
      </c>
      <c r="AD19" s="14">
        <f t="shared" si="14"/>
        <v>-2.3920402070092373E-2</v>
      </c>
      <c r="AE19" s="14">
        <f t="shared" si="15"/>
        <v>-4.26744830002488E-3</v>
      </c>
      <c r="AM19" s="14">
        <f t="shared" si="16"/>
        <v>-3.0707077857922697E-2</v>
      </c>
      <c r="AN19" s="14">
        <f t="shared" si="17"/>
        <v>-8.7893243232119847E-2</v>
      </c>
      <c r="AO19" s="14">
        <f t="shared" si="18"/>
        <v>-5.5437014478493252E-2</v>
      </c>
      <c r="AP19" s="14">
        <f t="shared" si="19"/>
        <v>-5.0209201257094563E-2</v>
      </c>
      <c r="AQ19" s="14">
        <f t="shared" si="20"/>
        <v>-4.6058409293996398E-2</v>
      </c>
      <c r="AR19" s="14">
        <f t="shared" si="21"/>
        <v>-2.2884092334530502E-2</v>
      </c>
      <c r="AS19" s="14">
        <f t="shared" si="22"/>
        <v>-5.7771769549981054E-2</v>
      </c>
      <c r="AT19" s="14">
        <f t="shared" si="23"/>
        <v>-6.3045030221678441E-2</v>
      </c>
      <c r="AU19" s="14">
        <f t="shared" si="24"/>
        <v>7.3952520895065738E-2</v>
      </c>
      <c r="AV19" s="14">
        <f t="shared" si="25"/>
        <v>-9.2953941983362556E-2</v>
      </c>
      <c r="AW19" s="14">
        <f t="shared" si="26"/>
        <v>1.0271516073323434E-2</v>
      </c>
      <c r="AX19" s="14">
        <f t="shared" si="27"/>
        <v>-4.454398620418612E-2</v>
      </c>
      <c r="AY19" s="14">
        <f t="shared" si="28"/>
        <v>-3.5191333558172277E-2</v>
      </c>
      <c r="AZ19" s="14">
        <f t="shared" si="29"/>
        <v>-8.8815002967453233E-3</v>
      </c>
    </row>
    <row r="20" spans="2:52" x14ac:dyDescent="0.3">
      <c r="B20" s="13">
        <v>-2.1402308912016679E-2</v>
      </c>
      <c r="C20" s="13">
        <v>-8.5900218278781998E-2</v>
      </c>
      <c r="D20" s="13">
        <v>-2.0944686480569668E-2</v>
      </c>
      <c r="E20" s="13">
        <v>-5.7571605332225585E-2</v>
      </c>
      <c r="F20" s="13">
        <v>2.0171031367360034E-2</v>
      </c>
      <c r="G20" s="13">
        <v>-4.9729897651057349E-2</v>
      </c>
      <c r="H20" s="13">
        <v>-0.1324309013683351</v>
      </c>
      <c r="I20" s="13">
        <v>-0.10908341576699199</v>
      </c>
      <c r="J20" s="13">
        <v>-0.13449144130831797</v>
      </c>
      <c r="K20" s="13">
        <v>-0.11324450119358179</v>
      </c>
      <c r="L20" s="13">
        <v>-5.8275028093743235E-2</v>
      </c>
      <c r="M20" s="13">
        <v>-3.7740327982846968E-2</v>
      </c>
      <c r="N20" s="13">
        <v>-0.13712981320405596</v>
      </c>
      <c r="O20" s="13">
        <v>-9.6425841357617517E-2</v>
      </c>
      <c r="R20" s="14">
        <f t="shared" si="2"/>
        <v>-1.7121847129613343E-2</v>
      </c>
      <c r="S20" s="14">
        <f t="shared" si="3"/>
        <v>-6.8720174623025598E-2</v>
      </c>
      <c r="T20" s="14">
        <f t="shared" si="4"/>
        <v>-1.6755749184455736E-2</v>
      </c>
      <c r="U20" s="14">
        <f t="shared" si="5"/>
        <v>-4.6057284265780471E-2</v>
      </c>
      <c r="V20" s="14">
        <f t="shared" si="6"/>
        <v>2.4205237640832041E-2</v>
      </c>
      <c r="W20" s="14">
        <f t="shared" si="7"/>
        <v>-3.9783918120845883E-2</v>
      </c>
      <c r="X20" s="14">
        <f t="shared" si="8"/>
        <v>-0.10594472109466808</v>
      </c>
      <c r="Y20" s="14">
        <f t="shared" si="9"/>
        <v>-8.7266732613593592E-2</v>
      </c>
      <c r="Z20" s="14">
        <f t="shared" si="10"/>
        <v>-0.10759315304665439</v>
      </c>
      <c r="AA20" s="14">
        <f t="shared" si="11"/>
        <v>-9.0595600954865435E-2</v>
      </c>
      <c r="AB20" s="14">
        <f t="shared" si="12"/>
        <v>-4.6620022474994589E-2</v>
      </c>
      <c r="AC20" s="14">
        <f t="shared" si="13"/>
        <v>-3.0192262386277577E-2</v>
      </c>
      <c r="AD20" s="14">
        <f t="shared" si="14"/>
        <v>-0.10970385056324478</v>
      </c>
      <c r="AE20" s="14">
        <f t="shared" si="15"/>
        <v>-7.7140673086094014E-2</v>
      </c>
      <c r="AM20" s="14">
        <f t="shared" si="16"/>
        <v>-2.4927963550145357E-2</v>
      </c>
      <c r="AN20" s="14">
        <f t="shared" si="17"/>
        <v>-8.9516881142845603E-2</v>
      </c>
      <c r="AO20" s="14">
        <f t="shared" si="18"/>
        <v>-2.4633685524085173E-2</v>
      </c>
      <c r="AP20" s="14">
        <f t="shared" si="19"/>
        <v>-5.5891792305311883E-2</v>
      </c>
      <c r="AQ20" s="14">
        <f t="shared" si="20"/>
        <v>1.0382298177068542E-2</v>
      </c>
      <c r="AR20" s="14">
        <f t="shared" si="21"/>
        <v>-4.8296522950483235E-2</v>
      </c>
      <c r="AS20" s="14">
        <f t="shared" si="22"/>
        <v>-0.11875772408950769</v>
      </c>
      <c r="AT20" s="14">
        <f t="shared" si="23"/>
        <v>-9.2662663924138411E-2</v>
      </c>
      <c r="AU20" s="14">
        <f t="shared" si="24"/>
        <v>-0.12371664562341222</v>
      </c>
      <c r="AV20" s="14">
        <f t="shared" si="25"/>
        <v>-0.11264698916499989</v>
      </c>
      <c r="AW20" s="14">
        <f t="shared" si="26"/>
        <v>-5.9707810351818977E-2</v>
      </c>
      <c r="AX20" s="14">
        <f t="shared" si="27"/>
        <v>-5.690111502309346E-2</v>
      </c>
      <c r="AY20" s="14">
        <f t="shared" si="28"/>
        <v>-0.12097478205132468</v>
      </c>
      <c r="AZ20" s="14">
        <f t="shared" si="29"/>
        <v>-8.175472508281445E-2</v>
      </c>
    </row>
    <row r="21" spans="2:52" x14ac:dyDescent="0.3">
      <c r="B21" s="13">
        <v>-2.5921812026175411E-2</v>
      </c>
      <c r="C21" s="13">
        <v>-5.0457365581575785E-2</v>
      </c>
      <c r="D21" s="13">
        <v>1.2655413215817894E-2</v>
      </c>
      <c r="E21" s="13">
        <v>-4.7324338315158962E-2</v>
      </c>
      <c r="F21" s="13">
        <v>-0.14344761095753961</v>
      </c>
      <c r="G21" s="13">
        <v>-0.14970382158409734</v>
      </c>
      <c r="H21" s="13">
        <v>8.5131204547269426E-2</v>
      </c>
      <c r="I21" s="13">
        <v>-4.4665617303184822E-2</v>
      </c>
      <c r="J21" s="13">
        <v>-3.3931738380452749E-2</v>
      </c>
      <c r="K21" s="13">
        <v>-0.15434078305388266</v>
      </c>
      <c r="L21" s="13">
        <v>2.0864181651143482E-2</v>
      </c>
      <c r="M21" s="13">
        <v>-0.13976194237515874</v>
      </c>
      <c r="N21" s="13">
        <v>-4.4114737562260635E-2</v>
      </c>
      <c r="O21" s="13">
        <v>-6.0078282236800153E-3</v>
      </c>
      <c r="R21" s="14">
        <f t="shared" si="2"/>
        <v>-2.0737449620940332E-2</v>
      </c>
      <c r="S21" s="14">
        <f t="shared" si="3"/>
        <v>-4.0365892465260629E-2</v>
      </c>
      <c r="T21" s="14">
        <f t="shared" si="4"/>
        <v>1.5186495858981472E-2</v>
      </c>
      <c r="U21" s="14">
        <f t="shared" si="5"/>
        <v>-3.7859470652127171E-2</v>
      </c>
      <c r="V21" s="14">
        <f t="shared" si="6"/>
        <v>-0.11475808876603169</v>
      </c>
      <c r="W21" s="14">
        <f t="shared" si="7"/>
        <v>-0.11976305726727787</v>
      </c>
      <c r="X21" s="14">
        <f t="shared" si="8"/>
        <v>0.10215744545672331</v>
      </c>
      <c r="Y21" s="14">
        <f t="shared" si="9"/>
        <v>-3.5732493842547862E-2</v>
      </c>
      <c r="Z21" s="14">
        <f t="shared" si="10"/>
        <v>-2.7145390704362199E-2</v>
      </c>
      <c r="AA21" s="14">
        <f t="shared" si="11"/>
        <v>-0.12347262644310614</v>
      </c>
      <c r="AB21" s="14">
        <f t="shared" si="12"/>
        <v>2.5037017981372176E-2</v>
      </c>
      <c r="AC21" s="14">
        <f t="shared" si="13"/>
        <v>-0.11180955390012699</v>
      </c>
      <c r="AD21" s="14">
        <f t="shared" si="14"/>
        <v>-3.5291790049808508E-2</v>
      </c>
      <c r="AE21" s="14">
        <f t="shared" si="15"/>
        <v>-4.8062625789440129E-3</v>
      </c>
      <c r="AM21" s="14">
        <f t="shared" si="16"/>
        <v>-2.8543566041472346E-2</v>
      </c>
      <c r="AN21" s="14">
        <f t="shared" si="17"/>
        <v>-6.1162598985080641E-2</v>
      </c>
      <c r="AO21" s="14">
        <f t="shared" si="18"/>
        <v>7.3085595193520328E-3</v>
      </c>
      <c r="AP21" s="14">
        <f t="shared" si="19"/>
        <v>-4.7693978691658583E-2</v>
      </c>
      <c r="AQ21" s="14">
        <f t="shared" si="20"/>
        <v>-0.1285810282297952</v>
      </c>
      <c r="AR21" s="14">
        <f t="shared" si="21"/>
        <v>-0.12827566209691524</v>
      </c>
      <c r="AS21" s="14">
        <f t="shared" si="22"/>
        <v>8.9344442461883708E-2</v>
      </c>
      <c r="AT21" s="14">
        <f t="shared" si="23"/>
        <v>-4.1128425153092688E-2</v>
      </c>
      <c r="AU21" s="14">
        <f t="shared" si="24"/>
        <v>-4.3268883281120038E-2</v>
      </c>
      <c r="AV21" s="14">
        <f t="shared" si="25"/>
        <v>-0.14552401465324061</v>
      </c>
      <c r="AW21" s="14">
        <f t="shared" si="26"/>
        <v>1.194923010454779E-2</v>
      </c>
      <c r="AX21" s="14">
        <f t="shared" si="27"/>
        <v>-0.13851840653694286</v>
      </c>
      <c r="AY21" s="14">
        <f t="shared" si="28"/>
        <v>-4.6562721537888416E-2</v>
      </c>
      <c r="AZ21" s="14">
        <f t="shared" si="29"/>
        <v>-9.4203145756644562E-3</v>
      </c>
    </row>
    <row r="22" spans="2:52" x14ac:dyDescent="0.3">
      <c r="B22" s="13">
        <v>-2.3497295922134055E-3</v>
      </c>
      <c r="C22" s="13">
        <v>6.448168500187256E-3</v>
      </c>
      <c r="D22" s="13">
        <v>-1.0104205475924647E-2</v>
      </c>
      <c r="E22" s="13">
        <v>1.4269797519755207E-2</v>
      </c>
      <c r="F22" s="13">
        <v>-5.8742394210253906E-3</v>
      </c>
      <c r="G22" s="13">
        <v>-7.9606958832269703E-2</v>
      </c>
      <c r="H22" s="13">
        <v>1.6327297196460481E-2</v>
      </c>
      <c r="I22" s="13">
        <v>-0.13282889874245388</v>
      </c>
      <c r="J22" s="13">
        <v>-0.18730477148803115</v>
      </c>
      <c r="K22" s="13">
        <v>-8.2930379330733078E-2</v>
      </c>
      <c r="L22" s="13">
        <v>-0.18856719560379206</v>
      </c>
      <c r="M22" s="13">
        <v>-9.2621489880396562E-2</v>
      </c>
      <c r="N22" s="13">
        <v>4.1433217803646769E-2</v>
      </c>
      <c r="O22" s="13">
        <v>-3.2562203187806185E-2</v>
      </c>
      <c r="R22" s="14">
        <f t="shared" si="2"/>
        <v>-1.8797836737707244E-3</v>
      </c>
      <c r="S22" s="14">
        <f t="shared" si="3"/>
        <v>7.7378022002247068E-3</v>
      </c>
      <c r="T22" s="14">
        <f t="shared" si="4"/>
        <v>-8.0833643807397184E-3</v>
      </c>
      <c r="U22" s="14">
        <f t="shared" si="5"/>
        <v>1.7123757023706249E-2</v>
      </c>
      <c r="V22" s="14">
        <f t="shared" si="6"/>
        <v>-4.6993915368203128E-3</v>
      </c>
      <c r="W22" s="14">
        <f t="shared" si="7"/>
        <v>-6.3685567065815768E-2</v>
      </c>
      <c r="X22" s="14">
        <f t="shared" si="8"/>
        <v>1.9592756635752575E-2</v>
      </c>
      <c r="Y22" s="14">
        <f t="shared" si="9"/>
        <v>-0.10626311899396311</v>
      </c>
      <c r="Z22" s="14">
        <f t="shared" si="10"/>
        <v>-0.14984381719042492</v>
      </c>
      <c r="AA22" s="14">
        <f t="shared" si="11"/>
        <v>-6.634430346458646E-2</v>
      </c>
      <c r="AB22" s="14">
        <f t="shared" si="12"/>
        <v>-0.15085375648303367</v>
      </c>
      <c r="AC22" s="14">
        <f t="shared" si="13"/>
        <v>-7.4097191904317253E-2</v>
      </c>
      <c r="AD22" s="14">
        <f t="shared" si="14"/>
        <v>4.9719861364376124E-2</v>
      </c>
      <c r="AE22" s="14">
        <f t="shared" si="15"/>
        <v>-2.6049762550244951E-2</v>
      </c>
      <c r="AM22" s="14">
        <f t="shared" si="16"/>
        <v>-9.6859000943027365E-3</v>
      </c>
      <c r="AN22" s="14">
        <f t="shared" si="17"/>
        <v>-1.3058904319595301E-2</v>
      </c>
      <c r="AO22" s="14">
        <f t="shared" si="18"/>
        <v>-1.5961300720369158E-2</v>
      </c>
      <c r="AP22" s="14">
        <f t="shared" si="19"/>
        <v>7.2892489841748388E-3</v>
      </c>
      <c r="AQ22" s="14">
        <f t="shared" si="20"/>
        <v>-1.8522331000583814E-2</v>
      </c>
      <c r="AR22" s="14">
        <f t="shared" si="21"/>
        <v>-7.219817189545312E-2</v>
      </c>
      <c r="AS22" s="14">
        <f t="shared" si="22"/>
        <v>6.7797536409129767E-3</v>
      </c>
      <c r="AT22" s="14">
        <f t="shared" si="23"/>
        <v>-0.11165905030450793</v>
      </c>
      <c r="AU22" s="14">
        <f t="shared" si="24"/>
        <v>-0.16596730976718274</v>
      </c>
      <c r="AV22" s="14">
        <f t="shared" si="25"/>
        <v>-8.8395691674720916E-2</v>
      </c>
      <c r="AW22" s="14">
        <f t="shared" si="26"/>
        <v>-0.16394154435985805</v>
      </c>
      <c r="AX22" s="14">
        <f t="shared" si="27"/>
        <v>-0.10080604454113314</v>
      </c>
      <c r="AY22" s="14">
        <f t="shared" si="28"/>
        <v>3.8448929876296216E-2</v>
      </c>
      <c r="AZ22" s="14">
        <f t="shared" si="29"/>
        <v>-3.0663814546965394E-2</v>
      </c>
    </row>
    <row r="23" spans="2:52" x14ac:dyDescent="0.3">
      <c r="B23" s="13">
        <v>-6.6847050136735878E-2</v>
      </c>
      <c r="C23" s="13">
        <v>-5.2788505758889132E-2</v>
      </c>
      <c r="D23" s="13">
        <v>-5.0808725409827261E-2</v>
      </c>
      <c r="E23" s="13">
        <v>2.5884397541026064E-3</v>
      </c>
      <c r="F23" s="13">
        <v>-0.11762276432100194</v>
      </c>
      <c r="G23" s="13">
        <v>-1.5011474445432171E-2</v>
      </c>
      <c r="H23" s="13">
        <v>-2.5598455337632709E-2</v>
      </c>
      <c r="I23" s="13">
        <v>-6.8452049045531751E-3</v>
      </c>
      <c r="J23" s="13">
        <v>-5.3080039391986487E-2</v>
      </c>
      <c r="K23" s="13">
        <v>-0.42429365820758708</v>
      </c>
      <c r="L23" s="13">
        <v>-6.6612015717581394E-2</v>
      </c>
      <c r="M23" s="13">
        <v>-0.12812109989627515</v>
      </c>
      <c r="N23" s="13">
        <v>1.0376627755477333E-2</v>
      </c>
      <c r="O23" s="13">
        <v>-1.6107450014981876E-2</v>
      </c>
      <c r="R23" s="14">
        <f t="shared" si="2"/>
        <v>-5.3477640109388706E-2</v>
      </c>
      <c r="S23" s="14">
        <f t="shared" si="3"/>
        <v>-4.2230804607111309E-2</v>
      </c>
      <c r="T23" s="14">
        <f t="shared" si="4"/>
        <v>-4.0646980327861813E-2</v>
      </c>
      <c r="U23" s="14">
        <f t="shared" si="5"/>
        <v>3.1061277049231274E-3</v>
      </c>
      <c r="V23" s="14">
        <f t="shared" si="6"/>
        <v>-9.4098211456801556E-2</v>
      </c>
      <c r="W23" s="14">
        <f t="shared" si="7"/>
        <v>-1.2009179556345737E-2</v>
      </c>
      <c r="X23" s="14">
        <f t="shared" si="8"/>
        <v>-2.047876427010617E-2</v>
      </c>
      <c r="Y23" s="14">
        <f t="shared" si="9"/>
        <v>-5.4761639236425401E-3</v>
      </c>
      <c r="Z23" s="14">
        <f t="shared" si="10"/>
        <v>-4.2464031513589191E-2</v>
      </c>
      <c r="AA23" s="14">
        <f t="shared" si="11"/>
        <v>-0.33943492656606966</v>
      </c>
      <c r="AB23" s="14">
        <f t="shared" si="12"/>
        <v>-5.3289612574065115E-2</v>
      </c>
      <c r="AC23" s="14">
        <f t="shared" si="13"/>
        <v>-0.10249687991702013</v>
      </c>
      <c r="AD23" s="14">
        <f t="shared" si="14"/>
        <v>1.2451953306572798E-2</v>
      </c>
      <c r="AE23" s="14">
        <f t="shared" si="15"/>
        <v>-1.2885960011985501E-2</v>
      </c>
      <c r="AM23" s="14">
        <f t="shared" si="16"/>
        <v>-6.128375652992072E-2</v>
      </c>
      <c r="AN23" s="14">
        <f t="shared" si="17"/>
        <v>-6.3027511126931321E-2</v>
      </c>
      <c r="AO23" s="14">
        <f t="shared" si="18"/>
        <v>-4.8524916667491251E-2</v>
      </c>
      <c r="AP23" s="14">
        <f t="shared" si="19"/>
        <v>-6.7283803346082829E-3</v>
      </c>
      <c r="AQ23" s="14">
        <f t="shared" si="20"/>
        <v>-0.10792115092056506</v>
      </c>
      <c r="AR23" s="14">
        <f t="shared" si="21"/>
        <v>-2.052178438598309E-2</v>
      </c>
      <c r="AS23" s="14">
        <f t="shared" si="22"/>
        <v>-3.3291767264945767E-2</v>
      </c>
      <c r="AT23" s="14">
        <f t="shared" si="23"/>
        <v>-1.0872095234187366E-2</v>
      </c>
      <c r="AU23" s="14">
        <f t="shared" si="24"/>
        <v>-5.8587524090347023E-2</v>
      </c>
      <c r="AV23" s="14">
        <f t="shared" si="25"/>
        <v>-0.36148631477620413</v>
      </c>
      <c r="AW23" s="14">
        <f t="shared" si="26"/>
        <v>-6.6377400450889495E-2</v>
      </c>
      <c r="AX23" s="14">
        <f t="shared" si="27"/>
        <v>-0.12920573255383599</v>
      </c>
      <c r="AY23" s="14">
        <f t="shared" si="28"/>
        <v>1.1810218184928924E-3</v>
      </c>
      <c r="AZ23" s="14">
        <f t="shared" si="29"/>
        <v>-1.7500012008705945E-2</v>
      </c>
    </row>
    <row r="24" spans="2:52" x14ac:dyDescent="0.3">
      <c r="B24" s="13">
        <v>-6.6902357822395342E-2</v>
      </c>
      <c r="C24" s="13">
        <v>-5.9319714120998394E-2</v>
      </c>
      <c r="D24" s="13">
        <v>-3.3331227526006028E-2</v>
      </c>
      <c r="E24" s="13">
        <v>-6.3499279632851041E-2</v>
      </c>
      <c r="F24" s="13">
        <v>-0.14772636977896944</v>
      </c>
      <c r="G24" s="13">
        <v>-4.9590944641326899E-2</v>
      </c>
      <c r="H24" s="13">
        <v>-2.5909242022416089E-2</v>
      </c>
      <c r="I24" s="13">
        <v>-6.2090341924180885E-2</v>
      </c>
      <c r="J24" s="13">
        <v>-4.9513440578947951E-2</v>
      </c>
      <c r="K24" s="13">
        <v>-2.5669220154702251E-2</v>
      </c>
      <c r="L24" s="13">
        <v>-4.3576228112922576E-2</v>
      </c>
      <c r="M24" s="13">
        <v>-3.1671343837651411E-2</v>
      </c>
      <c r="N24" s="13">
        <v>-3.7913309796599529E-2</v>
      </c>
      <c r="O24" s="13">
        <v>-5.5274660649367521E-2</v>
      </c>
      <c r="R24" s="14">
        <f t="shared" si="2"/>
        <v>-5.3521886257916276E-2</v>
      </c>
      <c r="S24" s="14">
        <f t="shared" si="3"/>
        <v>-4.7455771296798718E-2</v>
      </c>
      <c r="T24" s="14">
        <f t="shared" si="4"/>
        <v>-2.6664982020804823E-2</v>
      </c>
      <c r="U24" s="14">
        <f t="shared" si="5"/>
        <v>-5.0799423706280836E-2</v>
      </c>
      <c r="V24" s="14">
        <f t="shared" si="6"/>
        <v>-0.11818109582317556</v>
      </c>
      <c r="W24" s="14">
        <f t="shared" si="7"/>
        <v>-3.9672755713061524E-2</v>
      </c>
      <c r="X24" s="14">
        <f t="shared" si="8"/>
        <v>-2.0727393617932872E-2</v>
      </c>
      <c r="Y24" s="14">
        <f t="shared" si="9"/>
        <v>-4.9672273539344711E-2</v>
      </c>
      <c r="Z24" s="14">
        <f t="shared" si="10"/>
        <v>-3.9610752463158365E-2</v>
      </c>
      <c r="AA24" s="14">
        <f t="shared" si="11"/>
        <v>-2.05353761237618E-2</v>
      </c>
      <c r="AB24" s="14">
        <f t="shared" si="12"/>
        <v>-3.4860982490338061E-2</v>
      </c>
      <c r="AC24" s="14">
        <f t="shared" si="13"/>
        <v>-2.5337075070121132E-2</v>
      </c>
      <c r="AD24" s="14">
        <f t="shared" si="14"/>
        <v>-3.0330647837279623E-2</v>
      </c>
      <c r="AE24" s="14">
        <f t="shared" si="15"/>
        <v>-4.4219728519494017E-2</v>
      </c>
      <c r="AM24" s="14">
        <f t="shared" si="16"/>
        <v>-6.132800267844829E-2</v>
      </c>
      <c r="AN24" s="14">
        <f t="shared" si="17"/>
        <v>-6.8252477816618723E-2</v>
      </c>
      <c r="AO24" s="14">
        <f t="shared" si="18"/>
        <v>-3.4542918360434265E-2</v>
      </c>
      <c r="AP24" s="14">
        <f t="shared" si="19"/>
        <v>-6.0633931745812247E-2</v>
      </c>
      <c r="AQ24" s="14">
        <f t="shared" si="20"/>
        <v>-0.13200403528693905</v>
      </c>
      <c r="AR24" s="14">
        <f t="shared" si="21"/>
        <v>-4.8185360542698875E-2</v>
      </c>
      <c r="AS24" s="14">
        <f t="shared" si="22"/>
        <v>-3.3540396612772472E-2</v>
      </c>
      <c r="AT24" s="14">
        <f t="shared" si="23"/>
        <v>-5.5068204849889536E-2</v>
      </c>
      <c r="AU24" s="14">
        <f t="shared" si="24"/>
        <v>-5.5734245039916197E-2</v>
      </c>
      <c r="AV24" s="14">
        <f t="shared" si="25"/>
        <v>-4.2586764333896257E-2</v>
      </c>
      <c r="AW24" s="14">
        <f t="shared" si="26"/>
        <v>-4.7948770367162448E-2</v>
      </c>
      <c r="AX24" s="14">
        <f t="shared" si="27"/>
        <v>-5.2045927706937015E-2</v>
      </c>
      <c r="AY24" s="14">
        <f t="shared" si="28"/>
        <v>-4.1601579325359531E-2</v>
      </c>
      <c r="AZ24" s="14">
        <f t="shared" si="29"/>
        <v>-4.883378051621446E-2</v>
      </c>
    </row>
    <row r="25" spans="2:52" x14ac:dyDescent="0.3">
      <c r="B25" s="13">
        <v>8.3954161040220174E-2</v>
      </c>
      <c r="C25" s="13">
        <v>0.11957890563919514</v>
      </c>
      <c r="D25" s="13">
        <v>7.8701685613912442E-2</v>
      </c>
      <c r="E25" s="13">
        <v>3.0830087189905972E-2</v>
      </c>
      <c r="F25" s="13">
        <v>0.13469993690390517</v>
      </c>
      <c r="G25" s="13">
        <v>6.7907919660876503E-2</v>
      </c>
      <c r="H25" s="13">
        <v>8.1817936541108034E-3</v>
      </c>
      <c r="I25" s="13">
        <v>-0.40074710664791618</v>
      </c>
      <c r="J25" s="13">
        <v>0.11471557153831148</v>
      </c>
      <c r="K25" s="13">
        <v>0.1298208132279868</v>
      </c>
      <c r="L25" s="13">
        <v>1.361143941098635E-2</v>
      </c>
      <c r="M25" s="13">
        <v>9.102558648683412E-2</v>
      </c>
      <c r="N25" s="13">
        <v>2.3811897600144891E-2</v>
      </c>
      <c r="O25" s="13">
        <v>0.20737467630806125</v>
      </c>
      <c r="R25" s="14">
        <f t="shared" si="2"/>
        <v>0.10074499324826421</v>
      </c>
      <c r="S25" s="14">
        <f t="shared" si="3"/>
        <v>0.14349468676703417</v>
      </c>
      <c r="T25" s="14">
        <f t="shared" si="4"/>
        <v>9.4442022736694928E-2</v>
      </c>
      <c r="U25" s="14">
        <f t="shared" si="5"/>
        <v>3.6996104627887168E-2</v>
      </c>
      <c r="V25" s="14">
        <f t="shared" si="6"/>
        <v>0.16163992428468618</v>
      </c>
      <c r="W25" s="14">
        <f t="shared" si="7"/>
        <v>8.1489503593051807E-2</v>
      </c>
      <c r="X25" s="14">
        <f t="shared" si="8"/>
        <v>9.8181523849329641E-3</v>
      </c>
      <c r="Y25" s="14">
        <f t="shared" si="9"/>
        <v>-0.32059768531833299</v>
      </c>
      <c r="Z25" s="14">
        <f t="shared" si="10"/>
        <v>0.13765868584597377</v>
      </c>
      <c r="AA25" s="14">
        <f t="shared" si="11"/>
        <v>0.15578497587358417</v>
      </c>
      <c r="AB25" s="14">
        <f t="shared" si="12"/>
        <v>1.6333727293183619E-2</v>
      </c>
      <c r="AC25" s="14">
        <f t="shared" si="13"/>
        <v>0.10923070378420094</v>
      </c>
      <c r="AD25" s="14">
        <f t="shared" si="14"/>
        <v>2.8574277120173866E-2</v>
      </c>
      <c r="AE25" s="14">
        <f t="shared" si="15"/>
        <v>0.2488496115696735</v>
      </c>
      <c r="AM25" s="14">
        <f t="shared" si="16"/>
        <v>9.2938876827732192E-2</v>
      </c>
      <c r="AN25" s="14">
        <f t="shared" si="17"/>
        <v>0.12269798024721416</v>
      </c>
      <c r="AO25" s="14">
        <f t="shared" si="18"/>
        <v>8.656408639706549E-2</v>
      </c>
      <c r="AP25" s="14">
        <f t="shared" si="19"/>
        <v>2.7161596588355756E-2</v>
      </c>
      <c r="AQ25" s="14">
        <f t="shared" si="20"/>
        <v>0.14781698482092268</v>
      </c>
      <c r="AR25" s="14">
        <f t="shared" si="21"/>
        <v>7.2976898763414455E-2</v>
      </c>
      <c r="AS25" s="14">
        <f t="shared" si="22"/>
        <v>-2.9948506099066342E-3</v>
      </c>
      <c r="AT25" s="14">
        <f t="shared" si="23"/>
        <v>-0.32599361662887782</v>
      </c>
      <c r="AU25" s="14">
        <f t="shared" si="24"/>
        <v>0.12153519326921593</v>
      </c>
      <c r="AV25" s="14">
        <f t="shared" si="25"/>
        <v>0.13373358766344973</v>
      </c>
      <c r="AW25" s="14">
        <f t="shared" si="26"/>
        <v>3.2459394163592333E-3</v>
      </c>
      <c r="AX25" s="14">
        <f t="shared" si="27"/>
        <v>8.2521851147385056E-2</v>
      </c>
      <c r="AY25" s="14">
        <f t="shared" si="28"/>
        <v>1.7303345632093958E-2</v>
      </c>
      <c r="AZ25" s="14">
        <f t="shared" si="29"/>
        <v>0.24423555957295306</v>
      </c>
    </row>
    <row r="26" spans="2:52" x14ac:dyDescent="0.3">
      <c r="B26" s="13">
        <v>-2.8881405423455977E-2</v>
      </c>
      <c r="C26" s="13">
        <v>-4.7961722634930551E-3</v>
      </c>
      <c r="D26" s="13">
        <v>-1.1854499534548594E-2</v>
      </c>
      <c r="E26" s="13">
        <v>1.9572166688210407E-2</v>
      </c>
      <c r="F26" s="13">
        <v>-7.6678311864894808E-2</v>
      </c>
      <c r="G26" s="13">
        <v>6.0650163621986386E-2</v>
      </c>
      <c r="H26" s="13">
        <v>-2.2545071389845312E-2</v>
      </c>
      <c r="I26" s="13">
        <v>-7.2529284110011236E-2</v>
      </c>
      <c r="J26" s="13">
        <v>-2.870195807183528E-2</v>
      </c>
      <c r="K26" s="13">
        <v>-0.12169068714473673</v>
      </c>
      <c r="L26" s="13">
        <v>2.0075956572689006E-2</v>
      </c>
      <c r="M26" s="13">
        <v>1.0118130165584686E-2</v>
      </c>
      <c r="N26" s="13">
        <v>-0.10011073765764682</v>
      </c>
      <c r="O26" s="13">
        <v>-9.0975882202186387E-3</v>
      </c>
      <c r="R26" s="14">
        <f t="shared" si="2"/>
        <v>-2.3105124338764785E-2</v>
      </c>
      <c r="S26" s="14">
        <f t="shared" si="3"/>
        <v>-3.8369378107944441E-3</v>
      </c>
      <c r="T26" s="14">
        <f t="shared" si="4"/>
        <v>-9.4835996276388754E-3</v>
      </c>
      <c r="U26" s="14">
        <f t="shared" si="5"/>
        <v>2.3486600025852487E-2</v>
      </c>
      <c r="V26" s="14">
        <f t="shared" si="6"/>
        <v>-6.1342649491915847E-2</v>
      </c>
      <c r="W26" s="14">
        <f t="shared" si="7"/>
        <v>7.2780196346383663E-2</v>
      </c>
      <c r="X26" s="14">
        <f t="shared" si="8"/>
        <v>-1.8036057111876249E-2</v>
      </c>
      <c r="Y26" s="14">
        <f t="shared" si="9"/>
        <v>-5.8023427288008994E-2</v>
      </c>
      <c r="Z26" s="14">
        <f t="shared" si="10"/>
        <v>-2.2961566457468226E-2</v>
      </c>
      <c r="AA26" s="14">
        <f t="shared" si="11"/>
        <v>-9.7352549715789383E-2</v>
      </c>
      <c r="AB26" s="14">
        <f t="shared" si="12"/>
        <v>2.4091147887226806E-2</v>
      </c>
      <c r="AC26" s="14">
        <f t="shared" si="13"/>
        <v>1.2141756198701623E-2</v>
      </c>
      <c r="AD26" s="14">
        <f t="shared" si="14"/>
        <v>-8.0088590126117465E-2</v>
      </c>
      <c r="AE26" s="14">
        <f t="shared" si="15"/>
        <v>-7.2780705761749109E-3</v>
      </c>
      <c r="AM26" s="14">
        <f t="shared" si="16"/>
        <v>-3.0911240759296799E-2</v>
      </c>
      <c r="AN26" s="14">
        <f t="shared" si="17"/>
        <v>-2.4633644330614452E-2</v>
      </c>
      <c r="AO26" s="14">
        <f t="shared" si="18"/>
        <v>-1.7361535967268315E-2</v>
      </c>
      <c r="AP26" s="14">
        <f t="shared" si="19"/>
        <v>1.3652091986321077E-2</v>
      </c>
      <c r="AQ26" s="14">
        <f t="shared" si="20"/>
        <v>-7.5165588955679347E-2</v>
      </c>
      <c r="AR26" s="14">
        <f t="shared" si="21"/>
        <v>6.4267591516746311E-2</v>
      </c>
      <c r="AS26" s="14">
        <f t="shared" si="22"/>
        <v>-3.0849060106715849E-2</v>
      </c>
      <c r="AT26" s="14">
        <f t="shared" si="23"/>
        <v>-6.3419358598553813E-2</v>
      </c>
      <c r="AU26" s="14">
        <f t="shared" si="24"/>
        <v>-3.9085059034226058E-2</v>
      </c>
      <c r="AV26" s="14">
        <f t="shared" si="25"/>
        <v>-0.11940393792592384</v>
      </c>
      <c r="AW26" s="14">
        <f t="shared" si="26"/>
        <v>1.100336001040242E-2</v>
      </c>
      <c r="AX26" s="14">
        <f t="shared" si="27"/>
        <v>-1.4567096438114257E-2</v>
      </c>
      <c r="AY26" s="14">
        <f t="shared" si="28"/>
        <v>-9.1359521614197373E-2</v>
      </c>
      <c r="AZ26" s="14">
        <f t="shared" si="29"/>
        <v>-1.1892122572895354E-2</v>
      </c>
    </row>
    <row r="27" spans="2:52" x14ac:dyDescent="0.3">
      <c r="B27" s="13">
        <v>-5.8421623044726728E-2</v>
      </c>
      <c r="C27" s="13">
        <v>-9.8145391803311041E-2</v>
      </c>
      <c r="D27" s="13">
        <v>-6.5146068074440108E-2</v>
      </c>
      <c r="E27" s="13">
        <v>-2.9953502091408343E-2</v>
      </c>
      <c r="F27" s="13">
        <v>-9.812612211282724E-3</v>
      </c>
      <c r="G27" s="13">
        <v>-0.10959231502478337</v>
      </c>
      <c r="H27" s="13">
        <v>-8.3083107935944797E-2</v>
      </c>
      <c r="I27" s="13">
        <v>-8.7199612284303243E-2</v>
      </c>
      <c r="J27" s="13">
        <v>4.357698691109247E-2</v>
      </c>
      <c r="K27" s="13">
        <v>-0.12744494656812025</v>
      </c>
      <c r="L27" s="13">
        <v>-1.796580596905701E-2</v>
      </c>
      <c r="M27" s="13">
        <v>-7.9111001652535998E-2</v>
      </c>
      <c r="N27" s="13">
        <v>-5.378082782100041E-2</v>
      </c>
      <c r="O27" s="13">
        <v>-3.2038106950284325E-3</v>
      </c>
      <c r="R27" s="14">
        <f t="shared" si="2"/>
        <v>-4.6737298435781387E-2</v>
      </c>
      <c r="S27" s="14">
        <f t="shared" si="3"/>
        <v>-7.8516313442648838E-2</v>
      </c>
      <c r="T27" s="14">
        <f t="shared" si="4"/>
        <v>-5.2116854459552088E-2</v>
      </c>
      <c r="U27" s="14">
        <f t="shared" si="5"/>
        <v>-2.3962801673126675E-2</v>
      </c>
      <c r="V27" s="14">
        <f t="shared" si="6"/>
        <v>-7.8500897690261789E-3</v>
      </c>
      <c r="W27" s="14">
        <f t="shared" si="7"/>
        <v>-8.7673852019826692E-2</v>
      </c>
      <c r="X27" s="14">
        <f t="shared" si="8"/>
        <v>-6.6466486348755835E-2</v>
      </c>
      <c r="Y27" s="14">
        <f t="shared" si="9"/>
        <v>-6.97596898274426E-2</v>
      </c>
      <c r="Z27" s="14">
        <f t="shared" si="10"/>
        <v>5.2292384293310963E-2</v>
      </c>
      <c r="AA27" s="14">
        <f t="shared" si="11"/>
        <v>-0.1019559572544962</v>
      </c>
      <c r="AB27" s="14">
        <f t="shared" si="12"/>
        <v>-1.4372644775245608E-2</v>
      </c>
      <c r="AC27" s="14">
        <f t="shared" si="13"/>
        <v>-6.3288801322028798E-2</v>
      </c>
      <c r="AD27" s="14">
        <f t="shared" si="14"/>
        <v>-4.3024662256800329E-2</v>
      </c>
      <c r="AE27" s="14">
        <f t="shared" si="15"/>
        <v>-2.5630485560227461E-3</v>
      </c>
      <c r="AM27" s="14">
        <f t="shared" si="16"/>
        <v>-5.4543414856313401E-2</v>
      </c>
      <c r="AN27" s="14">
        <f t="shared" si="17"/>
        <v>-9.9313019962468843E-2</v>
      </c>
      <c r="AO27" s="14">
        <f t="shared" si="18"/>
        <v>-5.9994790799181526E-2</v>
      </c>
      <c r="AP27" s="14">
        <f t="shared" si="19"/>
        <v>-3.3797309712658083E-2</v>
      </c>
      <c r="AQ27" s="14">
        <f t="shared" si="20"/>
        <v>-2.167302923278968E-2</v>
      </c>
      <c r="AR27" s="14">
        <f t="shared" si="21"/>
        <v>-9.6186456849464044E-2</v>
      </c>
      <c r="AS27" s="14">
        <f t="shared" si="22"/>
        <v>-7.9279489343595438E-2</v>
      </c>
      <c r="AT27" s="14">
        <f t="shared" si="23"/>
        <v>-7.5155621137987419E-2</v>
      </c>
      <c r="AU27" s="14">
        <f t="shared" si="24"/>
        <v>3.6168891716553131E-2</v>
      </c>
      <c r="AV27" s="14">
        <f t="shared" si="25"/>
        <v>-0.12400734546463066</v>
      </c>
      <c r="AW27" s="14">
        <f t="shared" si="26"/>
        <v>-2.7460432652069995E-2</v>
      </c>
      <c r="AX27" s="14">
        <f t="shared" si="27"/>
        <v>-8.9997653958844681E-2</v>
      </c>
      <c r="AY27" s="14">
        <f t="shared" si="28"/>
        <v>-5.4295593744880237E-2</v>
      </c>
      <c r="AZ27" s="14">
        <f t="shared" si="29"/>
        <v>-7.1771005527431885E-3</v>
      </c>
    </row>
    <row r="28" spans="2:52" x14ac:dyDescent="0.3">
      <c r="B28" s="13">
        <v>-4.1466359690906368E-2</v>
      </c>
      <c r="C28" s="13">
        <v>-6.6386623427145144E-2</v>
      </c>
      <c r="D28" s="13">
        <v>-2.1333503220413171E-2</v>
      </c>
      <c r="E28" s="13">
        <v>-3.6834214421488667E-2</v>
      </c>
      <c r="F28" s="13">
        <v>-6.8937509186818249E-2</v>
      </c>
      <c r="G28" s="13">
        <v>-3.1781059869644149E-2</v>
      </c>
      <c r="H28" s="13">
        <v>-6.975801983281496E-2</v>
      </c>
      <c r="I28" s="13">
        <v>-6.6951067542955003E-2</v>
      </c>
      <c r="J28" s="13">
        <v>-3.2533929902938817E-2</v>
      </c>
      <c r="K28" s="13">
        <v>-0.13647998930471547</v>
      </c>
      <c r="L28" s="13">
        <v>-8.3949993915986981E-2</v>
      </c>
      <c r="M28" s="13">
        <v>-2.42424361150628E-3</v>
      </c>
      <c r="N28" s="13">
        <v>-3.512387793143704E-3</v>
      </c>
      <c r="O28" s="13">
        <v>8.4904878517648198E-3</v>
      </c>
      <c r="R28" s="14">
        <f t="shared" si="2"/>
        <v>-3.3173087752725094E-2</v>
      </c>
      <c r="S28" s="14">
        <f t="shared" si="3"/>
        <v>-5.3109298741716118E-2</v>
      </c>
      <c r="T28" s="14">
        <f t="shared" si="4"/>
        <v>-1.7066802576330538E-2</v>
      </c>
      <c r="U28" s="14">
        <f t="shared" si="5"/>
        <v>-2.9467371537190937E-2</v>
      </c>
      <c r="V28" s="14">
        <f t="shared" si="6"/>
        <v>-5.5150007349454605E-2</v>
      </c>
      <c r="W28" s="14">
        <f t="shared" si="7"/>
        <v>-2.5424847895715322E-2</v>
      </c>
      <c r="X28" s="14">
        <f t="shared" si="8"/>
        <v>-5.5806415866251971E-2</v>
      </c>
      <c r="Y28" s="14">
        <f t="shared" si="9"/>
        <v>-5.3560854034364003E-2</v>
      </c>
      <c r="Z28" s="14">
        <f t="shared" si="10"/>
        <v>-2.6027143922351056E-2</v>
      </c>
      <c r="AA28" s="14">
        <f t="shared" si="11"/>
        <v>-0.10918399144377239</v>
      </c>
      <c r="AB28" s="14">
        <f t="shared" si="12"/>
        <v>-6.7159995132789585E-2</v>
      </c>
      <c r="AC28" s="14">
        <f t="shared" si="13"/>
        <v>-1.9393948892050242E-3</v>
      </c>
      <c r="AD28" s="14">
        <f t="shared" si="14"/>
        <v>-2.8099102345149635E-3</v>
      </c>
      <c r="AE28" s="14">
        <f t="shared" si="15"/>
        <v>1.0188585422117783E-2</v>
      </c>
      <c r="AM28" s="14">
        <f t="shared" si="16"/>
        <v>-4.0979204173257108E-2</v>
      </c>
      <c r="AN28" s="14">
        <f t="shared" si="17"/>
        <v>-7.3906005261536123E-2</v>
      </c>
      <c r="AO28" s="14">
        <f t="shared" si="18"/>
        <v>-2.4944738915959976E-2</v>
      </c>
      <c r="AP28" s="14">
        <f t="shared" si="19"/>
        <v>-3.9301879576722348E-2</v>
      </c>
      <c r="AQ28" s="14">
        <f t="shared" si="20"/>
        <v>-6.8972946813218111E-2</v>
      </c>
      <c r="AR28" s="14">
        <f t="shared" si="21"/>
        <v>-3.3937452725352674E-2</v>
      </c>
      <c r="AS28" s="14">
        <f t="shared" si="22"/>
        <v>-6.8619418861091575E-2</v>
      </c>
      <c r="AT28" s="14">
        <f t="shared" si="23"/>
        <v>-5.8956785344908828E-2</v>
      </c>
      <c r="AU28" s="14">
        <f t="shared" si="24"/>
        <v>-4.2150636499108891E-2</v>
      </c>
      <c r="AV28" s="14">
        <f t="shared" si="25"/>
        <v>-0.13123537965390686</v>
      </c>
      <c r="AW28" s="14">
        <f t="shared" si="26"/>
        <v>-8.0247783009613965E-2</v>
      </c>
      <c r="AX28" s="14">
        <f t="shared" si="27"/>
        <v>-2.8648247526020902E-2</v>
      </c>
      <c r="AY28" s="14">
        <f t="shared" si="28"/>
        <v>-1.408084172259487E-2</v>
      </c>
      <c r="AZ28" s="14">
        <f t="shared" si="29"/>
        <v>5.5745334253973411E-3</v>
      </c>
    </row>
    <row r="29" spans="2:52" x14ac:dyDescent="0.3">
      <c r="B29" s="13">
        <v>7.3966799004620234E-2</v>
      </c>
      <c r="C29" s="13">
        <v>7.577085651703884E-2</v>
      </c>
      <c r="D29" s="13">
        <v>7.7850491492059984E-2</v>
      </c>
      <c r="E29" s="13">
        <v>9.6293964400936891E-2</v>
      </c>
      <c r="F29" s="13">
        <v>0.12536122804169589</v>
      </c>
      <c r="G29" s="13">
        <v>9.2035451414720679E-2</v>
      </c>
      <c r="H29" s="13">
        <v>3.8459366943679539E-2</v>
      </c>
      <c r="I29" s="13">
        <v>0.16853941727935784</v>
      </c>
      <c r="J29" s="13">
        <v>0.12104528381351375</v>
      </c>
      <c r="K29" s="13">
        <v>0.20239084378355024</v>
      </c>
      <c r="L29" s="13">
        <v>5.4429133619056339E-2</v>
      </c>
      <c r="M29" s="13">
        <v>0.21240650331325309</v>
      </c>
      <c r="N29" s="13">
        <v>0.18096578900936452</v>
      </c>
      <c r="O29" s="13">
        <v>0.10877286877114241</v>
      </c>
      <c r="R29" s="14">
        <f t="shared" si="2"/>
        <v>8.8760158805544276E-2</v>
      </c>
      <c r="S29" s="14">
        <f t="shared" si="3"/>
        <v>9.0925027820446605E-2</v>
      </c>
      <c r="T29" s="14">
        <f t="shared" si="4"/>
        <v>9.3420589790471978E-2</v>
      </c>
      <c r="U29" s="14">
        <f t="shared" si="5"/>
        <v>0.11555275728112427</v>
      </c>
      <c r="V29" s="14">
        <f t="shared" si="6"/>
        <v>0.15043347365003507</v>
      </c>
      <c r="W29" s="14">
        <f t="shared" si="7"/>
        <v>0.11044254169766481</v>
      </c>
      <c r="X29" s="14">
        <f t="shared" si="8"/>
        <v>4.6151240332415445E-2</v>
      </c>
      <c r="Y29" s="14">
        <f t="shared" si="9"/>
        <v>0.2022473007352294</v>
      </c>
      <c r="Z29" s="14">
        <f t="shared" si="10"/>
        <v>0.1452543405762165</v>
      </c>
      <c r="AA29" s="14">
        <f t="shared" si="11"/>
        <v>0.24286901254026028</v>
      </c>
      <c r="AB29" s="14">
        <f t="shared" si="12"/>
        <v>6.5314960342867601E-2</v>
      </c>
      <c r="AC29" s="14">
        <f t="shared" si="13"/>
        <v>0.25488780397590372</v>
      </c>
      <c r="AD29" s="14">
        <f t="shared" si="14"/>
        <v>0.21715894681123743</v>
      </c>
      <c r="AE29" s="14">
        <f t="shared" si="15"/>
        <v>0.13052744252537088</v>
      </c>
      <c r="AM29" s="14">
        <f t="shared" si="16"/>
        <v>8.0954042385012262E-2</v>
      </c>
      <c r="AN29" s="14">
        <f t="shared" si="17"/>
        <v>7.01283213006266E-2</v>
      </c>
      <c r="AO29" s="14">
        <f t="shared" si="18"/>
        <v>8.554265345084254E-2</v>
      </c>
      <c r="AP29" s="14">
        <f t="shared" si="19"/>
        <v>0.10571824924159286</v>
      </c>
      <c r="AQ29" s="14">
        <f t="shared" si="20"/>
        <v>0.13661053418627156</v>
      </c>
      <c r="AR29" s="14">
        <f t="shared" si="21"/>
        <v>0.10192993686802745</v>
      </c>
      <c r="AS29" s="14">
        <f t="shared" si="22"/>
        <v>3.3338237337575849E-2</v>
      </c>
      <c r="AT29" s="14">
        <f t="shared" si="23"/>
        <v>0.19685136942468456</v>
      </c>
      <c r="AU29" s="14">
        <f t="shared" si="24"/>
        <v>0.12913084799945868</v>
      </c>
      <c r="AV29" s="14">
        <f t="shared" si="25"/>
        <v>0.22081762433012581</v>
      </c>
      <c r="AW29" s="14">
        <f t="shared" si="26"/>
        <v>5.2227172466043213E-2</v>
      </c>
      <c r="AX29" s="14">
        <f t="shared" si="27"/>
        <v>0.22817895133908783</v>
      </c>
      <c r="AY29" s="14">
        <f t="shared" si="28"/>
        <v>0.20588801532315754</v>
      </c>
      <c r="AZ29" s="14">
        <f t="shared" si="29"/>
        <v>0.12591339052865044</v>
      </c>
    </row>
    <row r="30" spans="2:52" x14ac:dyDescent="0.3">
      <c r="B30" s="13">
        <v>-1.9459611164706184E-2</v>
      </c>
      <c r="C30" s="13">
        <v>-0.16530430293937848</v>
      </c>
      <c r="D30" s="13">
        <v>-3.0802010266693991E-2</v>
      </c>
      <c r="E30" s="13">
        <v>-8.1470643135976573E-2</v>
      </c>
      <c r="F30" s="13">
        <v>-7.8057242249746389E-2</v>
      </c>
      <c r="G30" s="13">
        <v>-6.1075522014096439E-2</v>
      </c>
      <c r="H30" s="13">
        <v>-6.1377873234082801E-2</v>
      </c>
      <c r="I30" s="13">
        <v>-0.10990597802950085</v>
      </c>
      <c r="J30" s="13">
        <v>-3.1520290083568041E-2</v>
      </c>
      <c r="K30" s="13">
        <v>-0.24588463292697357</v>
      </c>
      <c r="L30" s="13">
        <v>-7.6214467958986593E-2</v>
      </c>
      <c r="M30" s="13">
        <v>-9.4623467656869645E-2</v>
      </c>
      <c r="N30" s="13">
        <v>-0.16304911903805785</v>
      </c>
      <c r="O30" s="13">
        <v>-9.999334005108633E-2</v>
      </c>
      <c r="R30" s="14">
        <f t="shared" si="2"/>
        <v>-1.5567688931764948E-2</v>
      </c>
      <c r="S30" s="14">
        <f t="shared" si="3"/>
        <v>-0.13224344235150279</v>
      </c>
      <c r="T30" s="14">
        <f t="shared" si="4"/>
        <v>-2.4641608213355193E-2</v>
      </c>
      <c r="U30" s="14">
        <f t="shared" si="5"/>
        <v>-6.5176514508781258E-2</v>
      </c>
      <c r="V30" s="14">
        <f t="shared" si="6"/>
        <v>-6.2445793799797117E-2</v>
      </c>
      <c r="W30" s="14">
        <f t="shared" si="7"/>
        <v>-4.8860417611277157E-2</v>
      </c>
      <c r="X30" s="14">
        <f t="shared" si="8"/>
        <v>-4.9102298587266245E-2</v>
      </c>
      <c r="Y30" s="14">
        <f t="shared" si="9"/>
        <v>-8.7924782423600689E-2</v>
      </c>
      <c r="Z30" s="14">
        <f t="shared" si="10"/>
        <v>-2.5216232066854433E-2</v>
      </c>
      <c r="AA30" s="14">
        <f t="shared" si="11"/>
        <v>-0.19670770634157886</v>
      </c>
      <c r="AB30" s="14">
        <f t="shared" si="12"/>
        <v>-6.097157436718928E-2</v>
      </c>
      <c r="AC30" s="14">
        <f t="shared" si="13"/>
        <v>-7.5698774125495721E-2</v>
      </c>
      <c r="AD30" s="14">
        <f t="shared" si="14"/>
        <v>-0.13043929523044628</v>
      </c>
      <c r="AE30" s="14">
        <f t="shared" si="15"/>
        <v>-7.9994672040869075E-2</v>
      </c>
      <c r="AM30" s="14">
        <f t="shared" si="16"/>
        <v>-2.337380535229696E-2</v>
      </c>
      <c r="AN30" s="14">
        <f t="shared" si="17"/>
        <v>-0.15304014887132281</v>
      </c>
      <c r="AO30" s="14">
        <f t="shared" si="18"/>
        <v>-3.2519544552984635E-2</v>
      </c>
      <c r="AP30" s="14">
        <f t="shared" si="19"/>
        <v>-7.501102254831267E-2</v>
      </c>
      <c r="AQ30" s="14">
        <f t="shared" si="20"/>
        <v>-7.6268733263560623E-2</v>
      </c>
      <c r="AR30" s="14">
        <f t="shared" si="21"/>
        <v>-5.7373022440914509E-2</v>
      </c>
      <c r="AS30" s="14">
        <f t="shared" si="22"/>
        <v>-6.1915301582105842E-2</v>
      </c>
      <c r="AT30" s="14">
        <f t="shared" si="23"/>
        <v>-9.3320713734145508E-2</v>
      </c>
      <c r="AU30" s="14">
        <f t="shared" si="24"/>
        <v>-4.1339724643612269E-2</v>
      </c>
      <c r="AV30" s="14">
        <f t="shared" si="25"/>
        <v>-0.21875909455171333</v>
      </c>
      <c r="AW30" s="14">
        <f t="shared" si="26"/>
        <v>-7.405936224401366E-2</v>
      </c>
      <c r="AX30" s="14">
        <f t="shared" si="27"/>
        <v>-0.1024076267623116</v>
      </c>
      <c r="AY30" s="14">
        <f t="shared" si="28"/>
        <v>-0.14171022671852618</v>
      </c>
      <c r="AZ30" s="14">
        <f t="shared" si="29"/>
        <v>-8.4608724037589511E-2</v>
      </c>
    </row>
    <row r="31" spans="2:52" x14ac:dyDescent="0.3">
      <c r="B31" s="13">
        <v>5.6734449446606453E-2</v>
      </c>
      <c r="C31" s="13">
        <v>8.7011376989629699E-2</v>
      </c>
      <c r="D31" s="13">
        <v>3.065257810861571E-2</v>
      </c>
      <c r="E31" s="13">
        <v>9.3100641067064574E-2</v>
      </c>
      <c r="F31" s="13">
        <v>9.8401569915904652E-2</v>
      </c>
      <c r="G31" s="13">
        <v>5.3144445958242158E-2</v>
      </c>
      <c r="H31" s="13">
        <v>6.560025811393104E-2</v>
      </c>
      <c r="I31" s="13">
        <v>0.12743845679114155</v>
      </c>
      <c r="J31" s="13">
        <v>6.0240595343429487E-2</v>
      </c>
      <c r="K31" s="13">
        <v>0.20652996087335823</v>
      </c>
      <c r="L31" s="13">
        <v>4.5795547767447341E-2</v>
      </c>
      <c r="M31" s="13">
        <v>9.2658830482704763E-2</v>
      </c>
      <c r="N31" s="13">
        <v>0.11790220386244706</v>
      </c>
      <c r="O31" s="13">
        <v>7.6563791168876627E-2</v>
      </c>
      <c r="R31" s="14">
        <f t="shared" si="2"/>
        <v>6.8081339335927735E-2</v>
      </c>
      <c r="S31" s="14">
        <f t="shared" si="3"/>
        <v>0.10441365238755564</v>
      </c>
      <c r="T31" s="14">
        <f t="shared" si="4"/>
        <v>3.6783093730338848E-2</v>
      </c>
      <c r="U31" s="14">
        <f t="shared" si="5"/>
        <v>0.11172076928047749</v>
      </c>
      <c r="V31" s="14">
        <f t="shared" si="6"/>
        <v>0.11808188389908558</v>
      </c>
      <c r="W31" s="14">
        <f t="shared" si="7"/>
        <v>6.3773335149890586E-2</v>
      </c>
      <c r="X31" s="14">
        <f t="shared" si="8"/>
        <v>7.8720309736717245E-2</v>
      </c>
      <c r="Y31" s="14">
        <f t="shared" si="9"/>
        <v>0.15292614814936986</v>
      </c>
      <c r="Z31" s="14">
        <f t="shared" si="10"/>
        <v>7.2288714412115387E-2</v>
      </c>
      <c r="AA31" s="14">
        <f t="shared" si="11"/>
        <v>0.24783595304802986</v>
      </c>
      <c r="AB31" s="14">
        <f t="shared" si="12"/>
        <v>5.4954657320936809E-2</v>
      </c>
      <c r="AC31" s="14">
        <f t="shared" si="13"/>
        <v>0.11119059657924571</v>
      </c>
      <c r="AD31" s="14">
        <f t="shared" si="14"/>
        <v>0.14148264463493646</v>
      </c>
      <c r="AE31" s="14">
        <f t="shared" si="15"/>
        <v>9.1876549402651955E-2</v>
      </c>
      <c r="AM31" s="14">
        <f t="shared" si="16"/>
        <v>6.0275222915395721E-2</v>
      </c>
      <c r="AN31" s="14">
        <f t="shared" si="17"/>
        <v>8.3616945867735631E-2</v>
      </c>
      <c r="AO31" s="14">
        <f t="shared" si="18"/>
        <v>2.890515739070941E-2</v>
      </c>
      <c r="AP31" s="14">
        <f t="shared" si="19"/>
        <v>0.10188626124094607</v>
      </c>
      <c r="AQ31" s="14">
        <f t="shared" si="20"/>
        <v>0.10425894443532208</v>
      </c>
      <c r="AR31" s="14">
        <f t="shared" si="21"/>
        <v>5.5260730320253235E-2</v>
      </c>
      <c r="AS31" s="14">
        <f t="shared" si="22"/>
        <v>6.5907306741877641E-2</v>
      </c>
      <c r="AT31" s="14">
        <f t="shared" si="23"/>
        <v>0.14753021683882503</v>
      </c>
      <c r="AU31" s="14">
        <f t="shared" si="24"/>
        <v>5.6165221835357548E-2</v>
      </c>
      <c r="AV31" s="14">
        <f t="shared" si="25"/>
        <v>0.22578456483789539</v>
      </c>
      <c r="AW31" s="14">
        <f t="shared" si="26"/>
        <v>4.1866869444112421E-2</v>
      </c>
      <c r="AX31" s="14">
        <f t="shared" si="27"/>
        <v>8.4481743942429827E-2</v>
      </c>
      <c r="AY31" s="14">
        <f t="shared" si="28"/>
        <v>0.13021171314685656</v>
      </c>
      <c r="AZ31" s="14">
        <f t="shared" si="29"/>
        <v>8.7262497405931519E-2</v>
      </c>
    </row>
    <row r="32" spans="2:52" x14ac:dyDescent="0.3">
      <c r="B32" s="13">
        <v>2.1063327084812497E-2</v>
      </c>
      <c r="C32" s="13">
        <v>-5.063301956546762E-3</v>
      </c>
      <c r="D32" s="13">
        <v>-4.1731521566626968E-2</v>
      </c>
      <c r="E32" s="13">
        <v>-6.5527698943286999E-2</v>
      </c>
      <c r="F32" s="13">
        <v>-4.356575892356316E-2</v>
      </c>
      <c r="G32" s="13">
        <v>-1.7373521801552032E-2</v>
      </c>
      <c r="H32" s="13">
        <v>-3.6835918588235435E-2</v>
      </c>
      <c r="I32" s="13">
        <v>-9.164045091536252E-2</v>
      </c>
      <c r="J32" s="13">
        <v>-6.7800480151369663E-2</v>
      </c>
      <c r="K32" s="13">
        <v>-0.11407867621616299</v>
      </c>
      <c r="L32" s="13">
        <v>-3.0449978092786902E-2</v>
      </c>
      <c r="M32" s="13">
        <v>-0.11778303565638351</v>
      </c>
      <c r="N32" s="13">
        <v>-9.5977704742095105E-2</v>
      </c>
      <c r="O32" s="13">
        <v>-0.18215462581952474</v>
      </c>
      <c r="R32" s="14">
        <f t="shared" si="2"/>
        <v>2.5275992501774997E-2</v>
      </c>
      <c r="S32" s="14">
        <f t="shared" si="3"/>
        <v>-4.0506415652374096E-3</v>
      </c>
      <c r="T32" s="14">
        <f t="shared" si="4"/>
        <v>-3.3385217253301576E-2</v>
      </c>
      <c r="U32" s="14">
        <f t="shared" si="5"/>
        <v>-5.2422159154629604E-2</v>
      </c>
      <c r="V32" s="14">
        <f t="shared" si="6"/>
        <v>-3.4852607138850529E-2</v>
      </c>
      <c r="W32" s="14">
        <f t="shared" si="7"/>
        <v>-1.3898817441241627E-2</v>
      </c>
      <c r="X32" s="14">
        <f t="shared" si="8"/>
        <v>-2.9468734870588348E-2</v>
      </c>
      <c r="Y32" s="14">
        <f t="shared" si="9"/>
        <v>-7.3312360732290013E-2</v>
      </c>
      <c r="Z32" s="14">
        <f t="shared" si="10"/>
        <v>-5.4240384121095733E-2</v>
      </c>
      <c r="AA32" s="14">
        <f t="shared" si="11"/>
        <v>-9.1262940972930404E-2</v>
      </c>
      <c r="AB32" s="14">
        <f t="shared" si="12"/>
        <v>-2.4359982474229522E-2</v>
      </c>
      <c r="AC32" s="14">
        <f t="shared" si="13"/>
        <v>-9.422642852510682E-2</v>
      </c>
      <c r="AD32" s="14">
        <f t="shared" si="14"/>
        <v>-7.6782163793676084E-2</v>
      </c>
      <c r="AE32" s="14">
        <f t="shared" si="15"/>
        <v>-0.14572370065561979</v>
      </c>
      <c r="AM32" s="14">
        <f t="shared" si="16"/>
        <v>1.7469876081242983E-2</v>
      </c>
      <c r="AN32" s="14">
        <f t="shared" si="17"/>
        <v>-2.4847348085057418E-2</v>
      </c>
      <c r="AO32" s="14">
        <f t="shared" si="18"/>
        <v>-4.1263153592931014E-2</v>
      </c>
      <c r="AP32" s="14">
        <f t="shared" si="19"/>
        <v>-6.2256667194161015E-2</v>
      </c>
      <c r="AQ32" s="14">
        <f t="shared" si="20"/>
        <v>-4.8675546602614028E-2</v>
      </c>
      <c r="AR32" s="14">
        <f t="shared" si="21"/>
        <v>-2.2411422270878979E-2</v>
      </c>
      <c r="AS32" s="14">
        <f t="shared" si="22"/>
        <v>-4.2281737865427944E-2</v>
      </c>
      <c r="AT32" s="14">
        <f t="shared" si="23"/>
        <v>-7.8708292042834832E-2</v>
      </c>
      <c r="AU32" s="14">
        <f t="shared" si="24"/>
        <v>-7.0363876697853572E-2</v>
      </c>
      <c r="AV32" s="14">
        <f t="shared" si="25"/>
        <v>-0.11331432918306486</v>
      </c>
      <c r="AW32" s="14">
        <f t="shared" si="26"/>
        <v>-3.7447770351053906E-2</v>
      </c>
      <c r="AX32" s="14">
        <f t="shared" si="27"/>
        <v>-0.1209352811619227</v>
      </c>
      <c r="AY32" s="14">
        <f t="shared" si="28"/>
        <v>-8.8053095281755991E-2</v>
      </c>
      <c r="AZ32" s="14">
        <f t="shared" si="29"/>
        <v>-0.15033775265234023</v>
      </c>
    </row>
    <row r="33" spans="2:52" x14ac:dyDescent="0.3">
      <c r="B33" s="13">
        <v>2.5768861601572796E-2</v>
      </c>
      <c r="C33" s="13">
        <v>9.438681870455605E-2</v>
      </c>
      <c r="D33" s="13">
        <v>1.4079291902585162E-2</v>
      </c>
      <c r="E33" s="13">
        <v>-3.5327781577463122E-2</v>
      </c>
      <c r="F33" s="13">
        <v>0.1257534827104457</v>
      </c>
      <c r="G33" s="13">
        <v>7.5214486871356317E-2</v>
      </c>
      <c r="H33" s="13">
        <v>2.7369436017411333E-2</v>
      </c>
      <c r="I33" s="13">
        <v>-0.31516245003446175</v>
      </c>
      <c r="J33" s="13">
        <v>3.1156547198591129E-2</v>
      </c>
      <c r="K33" s="13">
        <v>0.27505387039860635</v>
      </c>
      <c r="L33" s="13">
        <v>7.2524545023387066E-2</v>
      </c>
      <c r="M33" s="13">
        <v>8.4796536660077054E-2</v>
      </c>
      <c r="N33" s="13">
        <v>3.5167704023896545E-2</v>
      </c>
      <c r="O33" s="13">
        <v>6.4945298682801897E-2</v>
      </c>
      <c r="R33" s="14">
        <f t="shared" si="2"/>
        <v>3.0922633921887353E-2</v>
      </c>
      <c r="S33" s="14">
        <f t="shared" si="3"/>
        <v>0.11326418244546725</v>
      </c>
      <c r="T33" s="14">
        <f t="shared" si="4"/>
        <v>1.6895150283102192E-2</v>
      </c>
      <c r="U33" s="14">
        <f t="shared" si="5"/>
        <v>-2.8262225261970499E-2</v>
      </c>
      <c r="V33" s="14">
        <f t="shared" si="6"/>
        <v>0.15090417925253483</v>
      </c>
      <c r="W33" s="14">
        <f t="shared" si="7"/>
        <v>9.0257384245627584E-2</v>
      </c>
      <c r="X33" s="14">
        <f t="shared" si="8"/>
        <v>3.2843323220893596E-2</v>
      </c>
      <c r="Y33" s="14">
        <f t="shared" si="9"/>
        <v>-0.25212996002756943</v>
      </c>
      <c r="Z33" s="14">
        <f t="shared" si="10"/>
        <v>3.7387856638309354E-2</v>
      </c>
      <c r="AA33" s="14">
        <f t="shared" si="11"/>
        <v>0.33006464447832762</v>
      </c>
      <c r="AB33" s="14">
        <f t="shared" si="12"/>
        <v>8.7029454028064474E-2</v>
      </c>
      <c r="AC33" s="14">
        <f t="shared" si="13"/>
        <v>0.10175584399209246</v>
      </c>
      <c r="AD33" s="14">
        <f t="shared" si="14"/>
        <v>4.2201244828675856E-2</v>
      </c>
      <c r="AE33" s="14">
        <f t="shared" si="15"/>
        <v>7.7934358419362276E-2</v>
      </c>
      <c r="AM33" s="14">
        <f t="shared" si="16"/>
        <v>2.3116517501355339E-2</v>
      </c>
      <c r="AN33" s="14">
        <f t="shared" si="17"/>
        <v>9.2467475925647247E-2</v>
      </c>
      <c r="AO33" s="14">
        <f t="shared" si="18"/>
        <v>9.0172139434727527E-3</v>
      </c>
      <c r="AP33" s="14">
        <f t="shared" si="19"/>
        <v>-3.8096733301501907E-2</v>
      </c>
      <c r="AQ33" s="14">
        <f t="shared" si="20"/>
        <v>0.13708123978877132</v>
      </c>
      <c r="AR33" s="14">
        <f t="shared" si="21"/>
        <v>8.1744779415990232E-2</v>
      </c>
      <c r="AS33" s="14">
        <f t="shared" si="22"/>
        <v>2.0030320226053999E-2</v>
      </c>
      <c r="AT33" s="14">
        <f t="shared" si="23"/>
        <v>-0.25752589133811427</v>
      </c>
      <c r="AU33" s="14">
        <f t="shared" si="24"/>
        <v>2.1264364061551518E-2</v>
      </c>
      <c r="AV33" s="14">
        <f t="shared" si="25"/>
        <v>0.30801325626819315</v>
      </c>
      <c r="AW33" s="14">
        <f t="shared" si="26"/>
        <v>7.3941666151240093E-2</v>
      </c>
      <c r="AX33" s="14">
        <f t="shared" si="27"/>
        <v>7.5046991355276579E-2</v>
      </c>
      <c r="AY33" s="14">
        <f t="shared" si="28"/>
        <v>3.0930313340595948E-2</v>
      </c>
      <c r="AZ33" s="14">
        <f t="shared" si="29"/>
        <v>7.332030642264184E-2</v>
      </c>
    </row>
    <row r="34" spans="2:52" x14ac:dyDescent="0.3">
      <c r="B34" s="13">
        <v>5.3202691044155065E-2</v>
      </c>
      <c r="C34" s="13">
        <v>4.735947003885823E-2</v>
      </c>
      <c r="D34" s="13">
        <v>7.536368540199341E-2</v>
      </c>
      <c r="E34" s="13">
        <v>7.5140141521120155E-2</v>
      </c>
      <c r="F34" s="13">
        <v>8.7553031620019275E-2</v>
      </c>
      <c r="G34" s="13">
        <v>9.7446584041089704E-2</v>
      </c>
      <c r="H34" s="13">
        <v>-6.1962137857264718E-2</v>
      </c>
      <c r="I34" s="13">
        <v>-8.0645598367304078E-3</v>
      </c>
      <c r="J34" s="13">
        <v>3.8133631600935575E-4</v>
      </c>
      <c r="K34" s="13">
        <v>-0.11764184257460977</v>
      </c>
      <c r="L34" s="13">
        <v>6.417134320633509E-3</v>
      </c>
      <c r="M34" s="13">
        <v>5.0530808647215965E-2</v>
      </c>
      <c r="N34" s="13">
        <v>-0.30448155948141287</v>
      </c>
      <c r="O34" s="13">
        <v>-2.5570520128453289E-2</v>
      </c>
      <c r="R34" s="14">
        <f t="shared" si="2"/>
        <v>6.3843229252986078E-2</v>
      </c>
      <c r="S34" s="14">
        <f t="shared" si="3"/>
        <v>5.6831364046629876E-2</v>
      </c>
      <c r="T34" s="14">
        <f t="shared" si="4"/>
        <v>9.0436422482392087E-2</v>
      </c>
      <c r="U34" s="14">
        <f t="shared" si="5"/>
        <v>9.0168169825344188E-2</v>
      </c>
      <c r="V34" s="14">
        <f t="shared" si="6"/>
        <v>0.10506363794402312</v>
      </c>
      <c r="W34" s="14">
        <f t="shared" si="7"/>
        <v>0.11693590084930763</v>
      </c>
      <c r="X34" s="14">
        <f t="shared" si="8"/>
        <v>-4.956971028581178E-2</v>
      </c>
      <c r="Y34" s="14">
        <f t="shared" si="9"/>
        <v>-6.4516478693843263E-3</v>
      </c>
      <c r="Z34" s="14">
        <f t="shared" si="10"/>
        <v>4.5760357921122689E-4</v>
      </c>
      <c r="AA34" s="14">
        <f t="shared" si="11"/>
        <v>-9.4113474059687827E-2</v>
      </c>
      <c r="AB34" s="14">
        <f t="shared" si="12"/>
        <v>7.7005611847602105E-3</v>
      </c>
      <c r="AC34" s="14">
        <f t="shared" si="13"/>
        <v>6.0636970376659154E-2</v>
      </c>
      <c r="AD34" s="14">
        <f t="shared" si="14"/>
        <v>-0.24358524758513031</v>
      </c>
      <c r="AE34" s="14">
        <f t="shared" si="15"/>
        <v>-2.0456416102762633E-2</v>
      </c>
      <c r="AM34" s="14">
        <f t="shared" si="16"/>
        <v>5.6037112832454064E-2</v>
      </c>
      <c r="AN34" s="14">
        <f t="shared" si="17"/>
        <v>3.6034657526809871E-2</v>
      </c>
      <c r="AO34" s="14">
        <f t="shared" si="18"/>
        <v>8.2558486142762649E-2</v>
      </c>
      <c r="AP34" s="14">
        <f t="shared" si="19"/>
        <v>8.0333661785812777E-2</v>
      </c>
      <c r="AQ34" s="14">
        <f t="shared" si="20"/>
        <v>9.1240698480259619E-2</v>
      </c>
      <c r="AR34" s="14">
        <f t="shared" si="21"/>
        <v>0.10842329601967028</v>
      </c>
      <c r="AS34" s="14">
        <f t="shared" si="22"/>
        <v>-6.2382713280651376E-2</v>
      </c>
      <c r="AT34" s="14">
        <f t="shared" si="23"/>
        <v>-1.1847579179929152E-2</v>
      </c>
      <c r="AU34" s="14">
        <f t="shared" si="24"/>
        <v>-1.5665888997546607E-2</v>
      </c>
      <c r="AV34" s="14">
        <f t="shared" si="25"/>
        <v>-0.11616486226982228</v>
      </c>
      <c r="AW34" s="14">
        <f t="shared" si="26"/>
        <v>-5.3872266920641752E-3</v>
      </c>
      <c r="AX34" s="14">
        <f t="shared" si="27"/>
        <v>3.3928117739843278E-2</v>
      </c>
      <c r="AY34" s="14">
        <f t="shared" si="28"/>
        <v>-0.25485617907321023</v>
      </c>
      <c r="AZ34" s="14">
        <f t="shared" si="29"/>
        <v>-2.5070468099483077E-2</v>
      </c>
    </row>
    <row r="35" spans="2:52" x14ac:dyDescent="0.3">
      <c r="B35" s="13">
        <v>1.732490108988469E-2</v>
      </c>
      <c r="C35" s="13">
        <v>4.469115165104711E-2</v>
      </c>
      <c r="D35" s="13">
        <v>7.6998517561782656E-3</v>
      </c>
      <c r="E35" s="13">
        <v>9.8379680505853613E-3</v>
      </c>
      <c r="F35" s="13">
        <v>-3.0686478044347158E-2</v>
      </c>
      <c r="G35" s="13">
        <v>4.2436104259928623E-2</v>
      </c>
      <c r="H35" s="13">
        <v>4.9119342871550127E-2</v>
      </c>
      <c r="I35" s="13">
        <v>2.9912499362600032E-2</v>
      </c>
      <c r="J35" s="13">
        <v>4.040360635453686E-2</v>
      </c>
      <c r="K35" s="13">
        <v>0.39063737897911199</v>
      </c>
      <c r="L35" s="13">
        <v>0.31117785908948331</v>
      </c>
      <c r="M35" s="13">
        <v>0.1010032102888706</v>
      </c>
      <c r="N35" s="13">
        <v>0.2275295232574642</v>
      </c>
      <c r="O35" s="13">
        <v>9.1837954093575605E-2</v>
      </c>
      <c r="R35" s="14">
        <f t="shared" si="2"/>
        <v>2.0789881307861628E-2</v>
      </c>
      <c r="S35" s="14">
        <f t="shared" si="3"/>
        <v>5.3629381981256531E-2</v>
      </c>
      <c r="T35" s="14">
        <f t="shared" si="4"/>
        <v>9.239822107413918E-3</v>
      </c>
      <c r="U35" s="14">
        <f t="shared" si="5"/>
        <v>1.1805561660702433E-2</v>
      </c>
      <c r="V35" s="14">
        <f t="shared" si="6"/>
        <v>-2.4549182435477726E-2</v>
      </c>
      <c r="W35" s="14">
        <f t="shared" si="7"/>
        <v>5.0923325111914344E-2</v>
      </c>
      <c r="X35" s="14">
        <f t="shared" si="8"/>
        <v>5.894321144586015E-2</v>
      </c>
      <c r="Y35" s="14">
        <f t="shared" si="9"/>
        <v>3.5894999235120038E-2</v>
      </c>
      <c r="Z35" s="14">
        <f t="shared" si="10"/>
        <v>4.8484327625444232E-2</v>
      </c>
      <c r="AA35" s="14">
        <f t="shared" si="11"/>
        <v>0.46876485477493435</v>
      </c>
      <c r="AB35" s="14">
        <f t="shared" si="12"/>
        <v>0.37341343090737994</v>
      </c>
      <c r="AC35" s="14">
        <f t="shared" si="13"/>
        <v>0.12120385234664471</v>
      </c>
      <c r="AD35" s="14">
        <f t="shared" si="14"/>
        <v>0.27303542790895702</v>
      </c>
      <c r="AE35" s="14">
        <f t="shared" si="15"/>
        <v>0.11020554491229072</v>
      </c>
      <c r="AM35" s="14">
        <f t="shared" si="16"/>
        <v>1.2983764887329614E-2</v>
      </c>
      <c r="AN35" s="14">
        <f t="shared" si="17"/>
        <v>3.283267546143652E-2</v>
      </c>
      <c r="AO35" s="14">
        <f t="shared" si="18"/>
        <v>1.3618857677844785E-3</v>
      </c>
      <c r="AP35" s="14">
        <f t="shared" si="19"/>
        <v>1.971053621171023E-3</v>
      </c>
      <c r="AQ35" s="14">
        <f t="shared" si="20"/>
        <v>-3.8372121899241225E-2</v>
      </c>
      <c r="AR35" s="14">
        <f t="shared" si="21"/>
        <v>4.2410720282276992E-2</v>
      </c>
      <c r="AS35" s="14">
        <f t="shared" si="22"/>
        <v>4.6130208451020553E-2</v>
      </c>
      <c r="AT35" s="14">
        <f t="shared" si="23"/>
        <v>3.0499067924575213E-2</v>
      </c>
      <c r="AU35" s="14">
        <f t="shared" si="24"/>
        <v>3.2360835048686393E-2</v>
      </c>
      <c r="AV35" s="14">
        <f t="shared" si="25"/>
        <v>0.44671346656479988</v>
      </c>
      <c r="AW35" s="14">
        <f t="shared" si="26"/>
        <v>0.36032564303055553</v>
      </c>
      <c r="AX35" s="14">
        <f t="shared" si="27"/>
        <v>9.4494999709828831E-2</v>
      </c>
      <c r="AY35" s="14">
        <f t="shared" si="28"/>
        <v>0.26176449642087712</v>
      </c>
      <c r="AZ35" s="14">
        <f t="shared" si="29"/>
        <v>0.10559149291557028</v>
      </c>
    </row>
    <row r="36" spans="2:52" x14ac:dyDescent="0.3">
      <c r="B36" s="13">
        <v>4.0011263789691949E-2</v>
      </c>
      <c r="C36" s="13">
        <v>-1.4854384538196166E-2</v>
      </c>
      <c r="D36" s="13">
        <v>3.1316709718548094E-2</v>
      </c>
      <c r="E36" s="13">
        <v>3.5211666115242859E-2</v>
      </c>
      <c r="F36" s="13">
        <v>4.0331885888211898E-2</v>
      </c>
      <c r="G36" s="13">
        <v>1.9342962843130935E-2</v>
      </c>
      <c r="H36" s="13">
        <v>7.7078499557644342E-2</v>
      </c>
      <c r="I36" s="13">
        <v>0.13230274030138853</v>
      </c>
      <c r="J36" s="13">
        <v>4.9494848105529947E-2</v>
      </c>
      <c r="K36" s="13">
        <v>-2.7897635725217897E-2</v>
      </c>
      <c r="L36" s="13">
        <v>1.4268232132982984E-2</v>
      </c>
      <c r="M36" s="13">
        <v>-0.14444538165835194</v>
      </c>
      <c r="N36" s="13">
        <v>1.8667369308536758E-2</v>
      </c>
      <c r="O36" s="13">
        <v>-3.8774611529555116E-2</v>
      </c>
      <c r="R36" s="14">
        <f t="shared" si="2"/>
        <v>4.8013516547630336E-2</v>
      </c>
      <c r="S36" s="14">
        <f t="shared" si="3"/>
        <v>-1.1883507630556935E-2</v>
      </c>
      <c r="T36" s="14">
        <f t="shared" si="4"/>
        <v>3.758005166225771E-2</v>
      </c>
      <c r="U36" s="14">
        <f t="shared" si="5"/>
        <v>4.225399933829143E-2</v>
      </c>
      <c r="V36" s="14">
        <f t="shared" si="6"/>
        <v>4.8398263065854277E-2</v>
      </c>
      <c r="W36" s="14">
        <f t="shared" si="7"/>
        <v>2.321155541175712E-2</v>
      </c>
      <c r="X36" s="14">
        <f t="shared" si="8"/>
        <v>9.2494199469173213E-2</v>
      </c>
      <c r="Y36" s="14">
        <f t="shared" si="9"/>
        <v>0.15876328836166623</v>
      </c>
      <c r="Z36" s="14">
        <f t="shared" si="10"/>
        <v>5.9393817726635934E-2</v>
      </c>
      <c r="AA36" s="14">
        <f t="shared" si="11"/>
        <v>-2.2318108580174318E-2</v>
      </c>
      <c r="AB36" s="14">
        <f t="shared" si="12"/>
        <v>1.7121878559579581E-2</v>
      </c>
      <c r="AC36" s="14">
        <f t="shared" si="13"/>
        <v>-0.11555630532668155</v>
      </c>
      <c r="AD36" s="14">
        <f t="shared" si="14"/>
        <v>2.2400843170244111E-2</v>
      </c>
      <c r="AE36" s="14">
        <f t="shared" si="15"/>
        <v>-3.1019689223644092E-2</v>
      </c>
      <c r="AM36" s="14">
        <f t="shared" si="16"/>
        <v>4.0207400127098322E-2</v>
      </c>
      <c r="AN36" s="14">
        <f t="shared" si="17"/>
        <v>-3.2680214150376946E-2</v>
      </c>
      <c r="AO36" s="14">
        <f t="shared" si="18"/>
        <v>2.9702115322628272E-2</v>
      </c>
      <c r="AP36" s="14">
        <f t="shared" si="19"/>
        <v>3.2419491298760018E-2</v>
      </c>
      <c r="AQ36" s="14">
        <f t="shared" si="20"/>
        <v>3.4575323602090778E-2</v>
      </c>
      <c r="AR36" s="14">
        <f t="shared" si="21"/>
        <v>1.4698950582119766E-2</v>
      </c>
      <c r="AS36" s="14">
        <f t="shared" si="22"/>
        <v>7.968119647433361E-2</v>
      </c>
      <c r="AT36" s="14">
        <f t="shared" si="23"/>
        <v>0.15336735705112139</v>
      </c>
      <c r="AU36" s="14">
        <f t="shared" si="24"/>
        <v>4.3270325149878094E-2</v>
      </c>
      <c r="AV36" s="14">
        <f t="shared" si="25"/>
        <v>-4.4369496790308771E-2</v>
      </c>
      <c r="AW36" s="14">
        <f t="shared" si="26"/>
        <v>4.034090682755195E-3</v>
      </c>
      <c r="AX36" s="14">
        <f t="shared" si="27"/>
        <v>-0.14226515796349742</v>
      </c>
      <c r="AY36" s="14">
        <f t="shared" si="28"/>
        <v>1.1129911682164205E-2</v>
      </c>
      <c r="AZ36" s="14">
        <f t="shared" si="29"/>
        <v>-3.5633741220364536E-2</v>
      </c>
    </row>
    <row r="37" spans="2:52" x14ac:dyDescent="0.3">
      <c r="B37" s="13">
        <v>-3.3758253350564646E-3</v>
      </c>
      <c r="C37" s="13">
        <v>-4.7054632060350099E-2</v>
      </c>
      <c r="D37" s="13">
        <v>-1.992938672579514E-2</v>
      </c>
      <c r="E37" s="13">
        <v>-3.742745021594867E-2</v>
      </c>
      <c r="F37" s="13">
        <v>-1.1262059706525088E-2</v>
      </c>
      <c r="G37" s="13">
        <v>-3.7764442090807204E-2</v>
      </c>
      <c r="H37" s="13">
        <v>-7.200492195694301E-2</v>
      </c>
      <c r="I37" s="13">
        <v>-5.1768881795336797E-3</v>
      </c>
      <c r="J37" s="13">
        <v>-5.2900756713797119E-2</v>
      </c>
      <c r="K37" s="13">
        <v>-0.20036377187757515</v>
      </c>
      <c r="L37" s="13">
        <v>-0.11267598798144189</v>
      </c>
      <c r="M37" s="13">
        <v>-0.15230240575661391</v>
      </c>
      <c r="N37" s="13">
        <v>-0.12246226352687362</v>
      </c>
      <c r="O37" s="13">
        <v>-9.594953681564633E-2</v>
      </c>
      <c r="R37" s="14">
        <f t="shared" si="2"/>
        <v>-2.7006602680451717E-3</v>
      </c>
      <c r="S37" s="14">
        <f t="shared" si="3"/>
        <v>-3.7643705648280082E-2</v>
      </c>
      <c r="T37" s="14">
        <f t="shared" si="4"/>
        <v>-1.5943509380636111E-2</v>
      </c>
      <c r="U37" s="14">
        <f t="shared" si="5"/>
        <v>-2.9941960172758936E-2</v>
      </c>
      <c r="V37" s="14">
        <f t="shared" si="6"/>
        <v>-9.0096477652200704E-3</v>
      </c>
      <c r="W37" s="14">
        <f t="shared" si="7"/>
        <v>-3.0211553672645764E-2</v>
      </c>
      <c r="X37" s="14">
        <f t="shared" si="8"/>
        <v>-5.760393756555441E-2</v>
      </c>
      <c r="Y37" s="14">
        <f t="shared" si="9"/>
        <v>-4.141510543626944E-3</v>
      </c>
      <c r="Z37" s="14">
        <f t="shared" si="10"/>
        <v>-4.2320605371037698E-2</v>
      </c>
      <c r="AA37" s="14">
        <f t="shared" si="11"/>
        <v>-0.16029101750206012</v>
      </c>
      <c r="AB37" s="14">
        <f t="shared" si="12"/>
        <v>-9.0140790385153519E-2</v>
      </c>
      <c r="AC37" s="14">
        <f t="shared" si="13"/>
        <v>-0.12184192460529114</v>
      </c>
      <c r="AD37" s="14">
        <f t="shared" si="14"/>
        <v>-9.7969810821498901E-2</v>
      </c>
      <c r="AE37" s="14">
        <f t="shared" si="15"/>
        <v>-7.6759629452517075E-2</v>
      </c>
      <c r="AM37" s="14">
        <f t="shared" si="16"/>
        <v>-1.0506776688577184E-2</v>
      </c>
      <c r="AN37" s="14">
        <f t="shared" si="17"/>
        <v>-5.8440412168100087E-2</v>
      </c>
      <c r="AO37" s="14">
        <f t="shared" si="18"/>
        <v>-2.3821445720265552E-2</v>
      </c>
      <c r="AP37" s="14">
        <f t="shared" si="19"/>
        <v>-3.9776468212290347E-2</v>
      </c>
      <c r="AQ37" s="14">
        <f t="shared" si="20"/>
        <v>-2.283258722898357E-2</v>
      </c>
      <c r="AR37" s="14">
        <f t="shared" si="21"/>
        <v>-3.8724158502283119E-2</v>
      </c>
      <c r="AS37" s="14">
        <f t="shared" si="22"/>
        <v>-7.0416940560394006E-2</v>
      </c>
      <c r="AT37" s="14">
        <f t="shared" si="23"/>
        <v>-9.5374418541717687E-3</v>
      </c>
      <c r="AU37" s="14">
        <f t="shared" si="24"/>
        <v>-5.8444097947795537E-2</v>
      </c>
      <c r="AV37" s="14">
        <f t="shared" si="25"/>
        <v>-0.18234240571219457</v>
      </c>
      <c r="AW37" s="14">
        <f t="shared" si="26"/>
        <v>-0.1032285782619779</v>
      </c>
      <c r="AX37" s="14">
        <f t="shared" si="27"/>
        <v>-0.14855077724210702</v>
      </c>
      <c r="AY37" s="14">
        <f t="shared" si="28"/>
        <v>-0.10924074230957881</v>
      </c>
      <c r="AZ37" s="14">
        <f t="shared" si="29"/>
        <v>-8.1373681449237512E-2</v>
      </c>
    </row>
    <row r="38" spans="2:52" x14ac:dyDescent="0.3">
      <c r="B38" s="13">
        <v>-4.7153211796885024E-2</v>
      </c>
      <c r="C38" s="13">
        <v>-9.3295404105983568E-2</v>
      </c>
      <c r="D38" s="13">
        <v>-6.5193403823948184E-2</v>
      </c>
      <c r="E38" s="13">
        <v>-6.0400689890804091E-2</v>
      </c>
      <c r="F38" s="13">
        <v>-2.9347478632018233E-2</v>
      </c>
      <c r="G38" s="13">
        <v>-5.5631861531233492E-2</v>
      </c>
      <c r="H38" s="13">
        <v>-3.748846822618597E-2</v>
      </c>
      <c r="I38" s="13">
        <v>-8.0114797930569429E-2</v>
      </c>
      <c r="J38" s="13">
        <v>2.0983422845142461E-2</v>
      </c>
      <c r="K38" s="13">
        <v>-0.1040711021622388</v>
      </c>
      <c r="L38" s="13">
        <v>-1.4933425631591359E-2</v>
      </c>
      <c r="M38" s="13">
        <v>-6.9328667326238352E-2</v>
      </c>
      <c r="N38" s="13">
        <v>-8.1887519103626905E-2</v>
      </c>
      <c r="O38" s="13">
        <v>-0.20065952857866082</v>
      </c>
      <c r="R38" s="14">
        <f t="shared" si="2"/>
        <v>-3.772256943750802E-2</v>
      </c>
      <c r="S38" s="14">
        <f t="shared" si="3"/>
        <v>-7.4636323284786851E-2</v>
      </c>
      <c r="T38" s="14">
        <f t="shared" si="4"/>
        <v>-5.2154723059158553E-2</v>
      </c>
      <c r="U38" s="14">
        <f t="shared" si="5"/>
        <v>-4.8320551912643277E-2</v>
      </c>
      <c r="V38" s="14">
        <f t="shared" si="6"/>
        <v>-2.3477982905614588E-2</v>
      </c>
      <c r="W38" s="14">
        <f t="shared" si="7"/>
        <v>-4.4505489224986795E-2</v>
      </c>
      <c r="X38" s="14">
        <f t="shared" si="8"/>
        <v>-2.9990774580948776E-2</v>
      </c>
      <c r="Y38" s="14">
        <f t="shared" si="9"/>
        <v>-6.4091838344455546E-2</v>
      </c>
      <c r="Z38" s="14">
        <f t="shared" si="10"/>
        <v>2.5180107414170951E-2</v>
      </c>
      <c r="AA38" s="14">
        <f t="shared" si="11"/>
        <v>-8.3256881729791052E-2</v>
      </c>
      <c r="AB38" s="14">
        <f t="shared" si="12"/>
        <v>-1.1946740505273088E-2</v>
      </c>
      <c r="AC38" s="14">
        <f t="shared" si="13"/>
        <v>-5.5462933860990687E-2</v>
      </c>
      <c r="AD38" s="14">
        <f t="shared" si="14"/>
        <v>-6.5510015282901526E-2</v>
      </c>
      <c r="AE38" s="14">
        <f t="shared" si="15"/>
        <v>-0.16052762286292865</v>
      </c>
      <c r="AM38" s="14">
        <f t="shared" si="16"/>
        <v>-4.5528685858040034E-2</v>
      </c>
      <c r="AN38" s="14">
        <f t="shared" si="17"/>
        <v>-9.5433029804606856E-2</v>
      </c>
      <c r="AO38" s="14">
        <f t="shared" si="18"/>
        <v>-6.0032659398787991E-2</v>
      </c>
      <c r="AP38" s="14">
        <f t="shared" si="19"/>
        <v>-5.8155059952174688E-2</v>
      </c>
      <c r="AQ38" s="14">
        <f t="shared" si="20"/>
        <v>-3.7300922369378084E-2</v>
      </c>
      <c r="AR38" s="14">
        <f t="shared" si="21"/>
        <v>-5.3018094054624147E-2</v>
      </c>
      <c r="AS38" s="14">
        <f t="shared" si="22"/>
        <v>-4.2803777575788376E-2</v>
      </c>
      <c r="AT38" s="14">
        <f t="shared" si="23"/>
        <v>-6.9487769655000364E-2</v>
      </c>
      <c r="AU38" s="14">
        <f t="shared" si="24"/>
        <v>9.0566148374131156E-3</v>
      </c>
      <c r="AV38" s="14">
        <f t="shared" si="25"/>
        <v>-0.10530826993992551</v>
      </c>
      <c r="AW38" s="14">
        <f t="shared" si="26"/>
        <v>-2.5034528382097472E-2</v>
      </c>
      <c r="AX38" s="14">
        <f t="shared" si="27"/>
        <v>-8.217178649780657E-2</v>
      </c>
      <c r="AY38" s="14">
        <f t="shared" si="28"/>
        <v>-7.6780946770981434E-2</v>
      </c>
      <c r="AZ38" s="14">
        <f t="shared" si="29"/>
        <v>-0.16514167485964909</v>
      </c>
    </row>
    <row r="39" spans="2:52" x14ac:dyDescent="0.3">
      <c r="B39" s="13">
        <v>-4.8909349856288961E-2</v>
      </c>
      <c r="C39" s="13">
        <v>-0.17496858248869585</v>
      </c>
      <c r="D39" s="13">
        <v>-4.5910953013130092E-2</v>
      </c>
      <c r="E39" s="13">
        <v>-2.2825135009119372E-2</v>
      </c>
      <c r="F39" s="13">
        <v>-6.407349685422993E-2</v>
      </c>
      <c r="G39" s="13">
        <v>-2.5092310049581686E-2</v>
      </c>
      <c r="H39" s="13">
        <v>-9.0655696933066143E-3</v>
      </c>
      <c r="I39" s="13">
        <v>5.0261834780888297E-2</v>
      </c>
      <c r="J39" s="13">
        <v>-0.12063325939495238</v>
      </c>
      <c r="K39" s="13">
        <v>-2.2425182158053211E-2</v>
      </c>
      <c r="L39" s="13">
        <v>1.6311310796199071E-2</v>
      </c>
      <c r="M39" s="13">
        <v>-7.0433275048920302E-2</v>
      </c>
      <c r="N39" s="13">
        <v>-3.4699334084984108E-2</v>
      </c>
      <c r="O39" s="13">
        <v>-7.6449200942689671E-3</v>
      </c>
      <c r="R39" s="14">
        <f t="shared" si="2"/>
        <v>-3.9127479885031173E-2</v>
      </c>
      <c r="S39" s="14">
        <f t="shared" si="3"/>
        <v>-0.13997486599095668</v>
      </c>
      <c r="T39" s="14">
        <f t="shared" si="4"/>
        <v>-3.6728762410504073E-2</v>
      </c>
      <c r="U39" s="14">
        <f t="shared" si="5"/>
        <v>-1.8260108007295498E-2</v>
      </c>
      <c r="V39" s="14">
        <f t="shared" si="6"/>
        <v>-5.1258797483383946E-2</v>
      </c>
      <c r="W39" s="14">
        <f t="shared" si="7"/>
        <v>-2.0073848039665349E-2</v>
      </c>
      <c r="X39" s="14">
        <f t="shared" si="8"/>
        <v>-7.2524557546452921E-3</v>
      </c>
      <c r="Y39" s="14">
        <f t="shared" si="9"/>
        <v>6.0314201737065955E-2</v>
      </c>
      <c r="Z39" s="14">
        <f t="shared" si="10"/>
        <v>-9.6506607515961906E-2</v>
      </c>
      <c r="AA39" s="14">
        <f t="shared" si="11"/>
        <v>-1.794014572644257E-2</v>
      </c>
      <c r="AB39" s="14">
        <f t="shared" si="12"/>
        <v>1.9573572955438885E-2</v>
      </c>
      <c r="AC39" s="14">
        <f t="shared" si="13"/>
        <v>-5.6346620039136243E-2</v>
      </c>
      <c r="AD39" s="14">
        <f t="shared" si="14"/>
        <v>-2.7759467267987288E-2</v>
      </c>
      <c r="AE39" s="14">
        <f t="shared" si="15"/>
        <v>-6.1159360754151739E-3</v>
      </c>
      <c r="AM39" s="14">
        <f t="shared" si="16"/>
        <v>-4.6933596305563187E-2</v>
      </c>
      <c r="AN39" s="14">
        <f t="shared" si="17"/>
        <v>-0.1607715725107767</v>
      </c>
      <c r="AO39" s="14">
        <f t="shared" si="18"/>
        <v>-4.4606698750133511E-2</v>
      </c>
      <c r="AP39" s="14">
        <f t="shared" si="19"/>
        <v>-2.8094616046826906E-2</v>
      </c>
      <c r="AQ39" s="14">
        <f t="shared" si="20"/>
        <v>-6.5081736947147445E-2</v>
      </c>
      <c r="AR39" s="14">
        <f t="shared" si="21"/>
        <v>-2.8586452869302705E-2</v>
      </c>
      <c r="AS39" s="14">
        <f t="shared" si="22"/>
        <v>-2.0065458749484892E-2</v>
      </c>
      <c r="AT39" s="14">
        <f t="shared" si="23"/>
        <v>5.4918270426521129E-2</v>
      </c>
      <c r="AU39" s="14">
        <f t="shared" si="24"/>
        <v>-0.11263010009271975</v>
      </c>
      <c r="AV39" s="14">
        <f t="shared" si="25"/>
        <v>-3.9991533936577027E-2</v>
      </c>
      <c r="AW39" s="14">
        <f t="shared" si="26"/>
        <v>6.4857850786144994E-3</v>
      </c>
      <c r="AX39" s="14">
        <f t="shared" si="27"/>
        <v>-8.3055472675952119E-2</v>
      </c>
      <c r="AY39" s="14">
        <f t="shared" si="28"/>
        <v>-3.9030398756067196E-2</v>
      </c>
      <c r="AZ39" s="14">
        <f t="shared" si="29"/>
        <v>-1.0729988072135616E-2</v>
      </c>
    </row>
    <row r="40" spans="2:52" x14ac:dyDescent="0.3">
      <c r="B40" s="13">
        <v>9.9624043835097129E-3</v>
      </c>
      <c r="C40" s="13">
        <v>5.2793999268307738E-2</v>
      </c>
      <c r="D40" s="13">
        <v>3.2278219110643734E-2</v>
      </c>
      <c r="E40" s="13">
        <v>2.5630693661893404E-2</v>
      </c>
      <c r="F40" s="13">
        <v>0.10351580423201734</v>
      </c>
      <c r="G40" s="13">
        <v>4.4182352696185173E-2</v>
      </c>
      <c r="H40" s="13">
        <v>5.3614077330217613E-2</v>
      </c>
      <c r="I40" s="13">
        <v>0.11995931507897897</v>
      </c>
      <c r="J40" s="13">
        <v>0.10143283560625797</v>
      </c>
      <c r="K40" s="13">
        <v>0.2144636359425561</v>
      </c>
      <c r="L40" s="13">
        <v>8.98186778106497E-2</v>
      </c>
      <c r="M40" s="13">
        <v>5.1360859672532844E-2</v>
      </c>
      <c r="N40" s="13">
        <v>8.0893290607129645E-2</v>
      </c>
      <c r="O40" s="13">
        <v>2.2398586477001318E-2</v>
      </c>
      <c r="R40" s="14">
        <f t="shared" si="2"/>
        <v>1.1954885260211654E-2</v>
      </c>
      <c r="S40" s="14">
        <f t="shared" si="3"/>
        <v>6.3352799121969283E-2</v>
      </c>
      <c r="T40" s="14">
        <f t="shared" si="4"/>
        <v>3.8733862932772478E-2</v>
      </c>
      <c r="U40" s="14">
        <f t="shared" si="5"/>
        <v>3.0756832394272085E-2</v>
      </c>
      <c r="V40" s="14">
        <f t="shared" si="6"/>
        <v>0.1242189650784208</v>
      </c>
      <c r="W40" s="14">
        <f t="shared" si="7"/>
        <v>5.3018823235422209E-2</v>
      </c>
      <c r="X40" s="14">
        <f t="shared" si="8"/>
        <v>6.4336892796261133E-2</v>
      </c>
      <c r="Y40" s="14">
        <f t="shared" si="9"/>
        <v>0.14395117809477476</v>
      </c>
      <c r="Z40" s="14">
        <f t="shared" si="10"/>
        <v>0.12171940272750956</v>
      </c>
      <c r="AA40" s="14">
        <f t="shared" si="11"/>
        <v>0.2573563631310673</v>
      </c>
      <c r="AB40" s="14">
        <f t="shared" si="12"/>
        <v>0.10778241337277963</v>
      </c>
      <c r="AC40" s="14">
        <f t="shared" si="13"/>
        <v>6.163303160703941E-2</v>
      </c>
      <c r="AD40" s="14">
        <f t="shared" si="14"/>
        <v>9.7071948728555568E-2</v>
      </c>
      <c r="AE40" s="14">
        <f t="shared" si="15"/>
        <v>2.6878303772401583E-2</v>
      </c>
      <c r="AM40" s="14">
        <f t="shared" si="16"/>
        <v>4.1487688396796415E-3</v>
      </c>
      <c r="AN40" s="14">
        <f t="shared" si="17"/>
        <v>4.2556092602149279E-2</v>
      </c>
      <c r="AO40" s="14">
        <f t="shared" si="18"/>
        <v>3.085592659314304E-2</v>
      </c>
      <c r="AP40" s="14">
        <f t="shared" si="19"/>
        <v>2.0922324354740673E-2</v>
      </c>
      <c r="AQ40" s="14">
        <f t="shared" si="20"/>
        <v>0.11039602561465731</v>
      </c>
      <c r="AR40" s="14">
        <f t="shared" si="21"/>
        <v>4.4506218405784857E-2</v>
      </c>
      <c r="AS40" s="14">
        <f t="shared" si="22"/>
        <v>5.1523889801421537E-2</v>
      </c>
      <c r="AT40" s="14">
        <f t="shared" si="23"/>
        <v>0.13855524678422992</v>
      </c>
      <c r="AU40" s="14">
        <f t="shared" si="24"/>
        <v>0.10559591015075172</v>
      </c>
      <c r="AV40" s="14">
        <f t="shared" si="25"/>
        <v>0.23530497492093283</v>
      </c>
      <c r="AW40" s="14">
        <f t="shared" si="26"/>
        <v>9.4694625495955254E-2</v>
      </c>
      <c r="AX40" s="14">
        <f t="shared" si="27"/>
        <v>3.4924178970223527E-2</v>
      </c>
      <c r="AY40" s="14">
        <f t="shared" si="28"/>
        <v>8.580101724047566E-2</v>
      </c>
      <c r="AZ40" s="14">
        <f t="shared" si="29"/>
        <v>2.226425177568114E-2</v>
      </c>
    </row>
    <row r="41" spans="2:52" x14ac:dyDescent="0.3">
      <c r="B41" s="13">
        <v>-4.3308614980323366E-2</v>
      </c>
      <c r="C41" s="13">
        <v>-8.6316691306951354E-2</v>
      </c>
      <c r="D41" s="13">
        <v>-7.7493588571154556E-2</v>
      </c>
      <c r="E41" s="13">
        <v>-7.3586713475994034E-2</v>
      </c>
      <c r="F41" s="13">
        <v>1.2172015692528458E-2</v>
      </c>
      <c r="G41" s="13">
        <v>-7.5893104042913301E-2</v>
      </c>
      <c r="H41" s="13">
        <v>-0.14519494223672288</v>
      </c>
      <c r="I41" s="13">
        <v>-0.11285448945523428</v>
      </c>
      <c r="J41" s="13">
        <v>-0.10981814066414543</v>
      </c>
      <c r="K41" s="13">
        <v>-8.8777833903561115E-2</v>
      </c>
      <c r="L41" s="13">
        <v>4.7088456181207166E-3</v>
      </c>
      <c r="M41" s="13">
        <v>-1.2845216923566276E-3</v>
      </c>
      <c r="N41" s="13">
        <v>-2.7991620796145775E-3</v>
      </c>
      <c r="O41" s="13">
        <v>-4.8862788447760166E-2</v>
      </c>
      <c r="R41" s="14">
        <f t="shared" si="2"/>
        <v>-3.4646891984258694E-2</v>
      </c>
      <c r="S41" s="14">
        <f t="shared" si="3"/>
        <v>-6.9053353045561081E-2</v>
      </c>
      <c r="T41" s="14">
        <f t="shared" si="4"/>
        <v>-6.1994870856923651E-2</v>
      </c>
      <c r="U41" s="14">
        <f t="shared" si="5"/>
        <v>-5.8869370780795231E-2</v>
      </c>
      <c r="V41" s="14">
        <f t="shared" si="6"/>
        <v>1.4606418831034149E-2</v>
      </c>
      <c r="W41" s="14">
        <f t="shared" si="7"/>
        <v>-6.0714483234330645E-2</v>
      </c>
      <c r="X41" s="14">
        <f t="shared" si="8"/>
        <v>-0.11615595378937832</v>
      </c>
      <c r="Y41" s="14">
        <f t="shared" si="9"/>
        <v>-9.0283591564187429E-2</v>
      </c>
      <c r="Z41" s="14">
        <f t="shared" si="10"/>
        <v>-8.7854512531316348E-2</v>
      </c>
      <c r="AA41" s="14">
        <f t="shared" si="11"/>
        <v>-7.1022267122848898E-2</v>
      </c>
      <c r="AB41" s="14">
        <f t="shared" si="12"/>
        <v>5.65061474174486E-3</v>
      </c>
      <c r="AC41" s="14">
        <f t="shared" si="13"/>
        <v>-1.0276173538853021E-3</v>
      </c>
      <c r="AD41" s="14">
        <f t="shared" si="14"/>
        <v>-2.2393296636916619E-3</v>
      </c>
      <c r="AE41" s="14">
        <f t="shared" si="15"/>
        <v>-3.9090230758208139E-2</v>
      </c>
      <c r="AM41" s="14">
        <f t="shared" si="16"/>
        <v>-4.2453008404790708E-2</v>
      </c>
      <c r="AN41" s="14">
        <f t="shared" si="17"/>
        <v>-8.9850059565381085E-2</v>
      </c>
      <c r="AO41" s="14">
        <f t="shared" si="18"/>
        <v>-6.9872807196553088E-2</v>
      </c>
      <c r="AP41" s="14">
        <f t="shared" si="19"/>
        <v>-6.8703878820326636E-2</v>
      </c>
      <c r="AQ41" s="14">
        <f t="shared" si="20"/>
        <v>7.8347936727064978E-4</v>
      </c>
      <c r="AR41" s="14">
        <f t="shared" si="21"/>
        <v>-6.9227088063968004E-2</v>
      </c>
      <c r="AS41" s="14">
        <f t="shared" si="22"/>
        <v>-0.12896895678421791</v>
      </c>
      <c r="AT41" s="14">
        <f t="shared" si="23"/>
        <v>-9.5679522874732248E-2</v>
      </c>
      <c r="AU41" s="14">
        <f t="shared" si="24"/>
        <v>-0.10397800510807419</v>
      </c>
      <c r="AV41" s="14">
        <f t="shared" si="25"/>
        <v>-9.3073655332983354E-2</v>
      </c>
      <c r="AW41" s="14">
        <f t="shared" si="26"/>
        <v>-7.4371731350795257E-3</v>
      </c>
      <c r="AX41" s="14">
        <f t="shared" si="27"/>
        <v>-2.7736469990701181E-2</v>
      </c>
      <c r="AY41" s="14">
        <f t="shared" si="28"/>
        <v>-1.3510261151771568E-2</v>
      </c>
      <c r="AZ41" s="14">
        <f t="shared" si="29"/>
        <v>-4.3704282754928582E-2</v>
      </c>
    </row>
    <row r="42" spans="2:52" x14ac:dyDescent="0.3">
      <c r="B42" s="13">
        <v>-1.7932459227172246E-3</v>
      </c>
      <c r="C42" s="13">
        <v>-5.2889463920372699E-2</v>
      </c>
      <c r="D42" s="13">
        <v>-2.8261939845677198E-2</v>
      </c>
      <c r="E42" s="13">
        <v>-4.0295220190347876E-2</v>
      </c>
      <c r="F42" s="13">
        <v>-9.6916876146253633E-2</v>
      </c>
      <c r="G42" s="13">
        <v>-8.2217282226221045E-2</v>
      </c>
      <c r="H42" s="13">
        <v>-4.1024238863443793E-2</v>
      </c>
      <c r="I42" s="13">
        <v>-9.071896566487829E-2</v>
      </c>
      <c r="J42" s="13">
        <v>-6.4113684975675808E-2</v>
      </c>
      <c r="K42" s="13">
        <v>-0.17886806749930437</v>
      </c>
      <c r="L42" s="13">
        <v>-0.13779082023139375</v>
      </c>
      <c r="M42" s="13">
        <v>-5.0076337980176203E-2</v>
      </c>
      <c r="N42" s="13">
        <v>-0.17525478437141767</v>
      </c>
      <c r="O42" s="13">
        <v>-5.5261234390840346E-2</v>
      </c>
      <c r="R42" s="14">
        <f t="shared" si="2"/>
        <v>-1.4345967381737797E-3</v>
      </c>
      <c r="S42" s="14">
        <f t="shared" si="3"/>
        <v>-4.2311571136298159E-2</v>
      </c>
      <c r="T42" s="14">
        <f t="shared" si="4"/>
        <v>-2.2609551876541761E-2</v>
      </c>
      <c r="U42" s="14">
        <f t="shared" si="5"/>
        <v>-3.2236176152278299E-2</v>
      </c>
      <c r="V42" s="14">
        <f t="shared" si="6"/>
        <v>-7.7533500917002909E-2</v>
      </c>
      <c r="W42" s="14">
        <f t="shared" si="7"/>
        <v>-6.5773825780976833E-2</v>
      </c>
      <c r="X42" s="14">
        <f t="shared" si="8"/>
        <v>-3.2819391090755039E-2</v>
      </c>
      <c r="Y42" s="14">
        <f t="shared" si="9"/>
        <v>-7.257517253190264E-2</v>
      </c>
      <c r="Z42" s="14">
        <f t="shared" si="10"/>
        <v>-5.1290947980540652E-2</v>
      </c>
      <c r="AA42" s="14">
        <f t="shared" si="11"/>
        <v>-0.14309445399944351</v>
      </c>
      <c r="AB42" s="14">
        <f t="shared" si="12"/>
        <v>-0.110232656185115</v>
      </c>
      <c r="AC42" s="14">
        <f t="shared" si="13"/>
        <v>-4.0061070384140966E-2</v>
      </c>
      <c r="AD42" s="14">
        <f t="shared" si="14"/>
        <v>-0.14020382749713414</v>
      </c>
      <c r="AE42" s="14">
        <f t="shared" si="15"/>
        <v>-4.4208987512672278E-2</v>
      </c>
      <c r="AM42" s="14">
        <f t="shared" si="16"/>
        <v>-9.2407131587057927E-3</v>
      </c>
      <c r="AN42" s="14">
        <f t="shared" si="17"/>
        <v>-6.3108277656118164E-2</v>
      </c>
      <c r="AO42" s="14">
        <f t="shared" si="18"/>
        <v>-3.0487488216171199E-2</v>
      </c>
      <c r="AP42" s="14">
        <f t="shared" si="19"/>
        <v>-4.2070684191809711E-2</v>
      </c>
      <c r="AQ42" s="14">
        <f t="shared" si="20"/>
        <v>-9.1356440380766402E-2</v>
      </c>
      <c r="AR42" s="14">
        <f t="shared" si="21"/>
        <v>-7.4286430610614185E-2</v>
      </c>
      <c r="AS42" s="14">
        <f t="shared" si="22"/>
        <v>-4.5632394085594635E-2</v>
      </c>
      <c r="AT42" s="14">
        <f t="shared" si="23"/>
        <v>-7.7971103842447459E-2</v>
      </c>
      <c r="AU42" s="14">
        <f t="shared" si="24"/>
        <v>-6.7414440557298491E-2</v>
      </c>
      <c r="AV42" s="14">
        <f t="shared" si="25"/>
        <v>-0.16514584220957795</v>
      </c>
      <c r="AW42" s="14">
        <f t="shared" si="26"/>
        <v>-0.12332044406193939</v>
      </c>
      <c r="AX42" s="14">
        <f t="shared" si="27"/>
        <v>-6.6769923020956842E-2</v>
      </c>
      <c r="AY42" s="14">
        <f t="shared" si="28"/>
        <v>-0.15147475898521404</v>
      </c>
      <c r="AZ42" s="14">
        <f t="shared" si="29"/>
        <v>-4.8823039509392721E-2</v>
      </c>
    </row>
    <row r="43" spans="2:52" x14ac:dyDescent="0.3">
      <c r="B43" s="13">
        <v>-8.4795948376163E-2</v>
      </c>
      <c r="C43" s="13">
        <v>-3.0821580040600156E-2</v>
      </c>
      <c r="D43" s="13">
        <v>-2.1325305821549567E-2</v>
      </c>
      <c r="E43" s="13">
        <v>-3.1794436944454781E-2</v>
      </c>
      <c r="F43" s="13">
        <v>-3.7297600747960784E-2</v>
      </c>
      <c r="G43" s="13">
        <v>-6.8789406101607414E-3</v>
      </c>
      <c r="H43" s="13">
        <v>-3.4267542082957812E-2</v>
      </c>
      <c r="I43" s="13">
        <v>-4.9662637687042127E-2</v>
      </c>
      <c r="J43" s="13">
        <v>2.7184945896802107E-2</v>
      </c>
      <c r="K43" s="13">
        <v>4.1313147317420494E-2</v>
      </c>
      <c r="L43" s="13">
        <v>-4.8610453503120349E-2</v>
      </c>
      <c r="M43" s="13">
        <v>9.4080923349595141E-2</v>
      </c>
      <c r="N43" s="13">
        <v>-5.9873401047414454E-2</v>
      </c>
      <c r="O43" s="13">
        <v>-1.1618612191510393E-2</v>
      </c>
      <c r="R43" s="14">
        <f t="shared" si="2"/>
        <v>-6.7836758700930408E-2</v>
      </c>
      <c r="S43" s="14">
        <f t="shared" si="3"/>
        <v>-2.4657264032480128E-2</v>
      </c>
      <c r="T43" s="14">
        <f t="shared" si="4"/>
        <v>-1.7060244657239654E-2</v>
      </c>
      <c r="U43" s="14">
        <f t="shared" si="5"/>
        <v>-2.5435549555563826E-2</v>
      </c>
      <c r="V43" s="14">
        <f t="shared" si="6"/>
        <v>-2.9838080598368628E-2</v>
      </c>
      <c r="W43" s="14">
        <f t="shared" si="7"/>
        <v>-5.5031524881285938E-3</v>
      </c>
      <c r="X43" s="14">
        <f t="shared" si="8"/>
        <v>-2.7414033666366251E-2</v>
      </c>
      <c r="Y43" s="14">
        <f t="shared" si="9"/>
        <v>-3.9730110149633707E-2</v>
      </c>
      <c r="Z43" s="14">
        <f t="shared" si="10"/>
        <v>3.2621935076162525E-2</v>
      </c>
      <c r="AA43" s="14">
        <f t="shared" si="11"/>
        <v>4.9575776780904593E-2</v>
      </c>
      <c r="AB43" s="14">
        <f t="shared" si="12"/>
        <v>-3.888836280249628E-2</v>
      </c>
      <c r="AC43" s="14">
        <f t="shared" si="13"/>
        <v>0.11289710801951416</v>
      </c>
      <c r="AD43" s="14">
        <f t="shared" si="14"/>
        <v>-4.7898720837931563E-2</v>
      </c>
      <c r="AE43" s="14">
        <f t="shared" si="15"/>
        <v>-9.2948897532083141E-3</v>
      </c>
      <c r="AM43" s="14">
        <f t="shared" si="16"/>
        <v>-7.5642875121462422E-2</v>
      </c>
      <c r="AN43" s="14">
        <f t="shared" si="17"/>
        <v>-4.5453970552300133E-2</v>
      </c>
      <c r="AO43" s="14">
        <f t="shared" si="18"/>
        <v>-2.4938180996869092E-2</v>
      </c>
      <c r="AP43" s="14">
        <f t="shared" si="19"/>
        <v>-3.5270057595095237E-2</v>
      </c>
      <c r="AQ43" s="14">
        <f t="shared" si="20"/>
        <v>-4.3661020062132128E-2</v>
      </c>
      <c r="AR43" s="14">
        <f t="shared" si="21"/>
        <v>-1.4015757317765947E-2</v>
      </c>
      <c r="AS43" s="14">
        <f t="shared" si="22"/>
        <v>-4.0227036661205848E-2</v>
      </c>
      <c r="AT43" s="14">
        <f t="shared" si="23"/>
        <v>-4.5126041460178533E-2</v>
      </c>
      <c r="AU43" s="14">
        <f t="shared" si="24"/>
        <v>1.649844249940469E-2</v>
      </c>
      <c r="AV43" s="14">
        <f t="shared" si="25"/>
        <v>2.7524388570770136E-2</v>
      </c>
      <c r="AW43" s="14">
        <f t="shared" si="26"/>
        <v>-5.1976150679320668E-2</v>
      </c>
      <c r="AX43" s="14">
        <f t="shared" si="27"/>
        <v>8.6188255382698281E-2</v>
      </c>
      <c r="AY43" s="14">
        <f t="shared" si="28"/>
        <v>-5.9169652326011471E-2</v>
      </c>
      <c r="AZ43" s="14">
        <f t="shared" si="29"/>
        <v>-1.3908941749928756E-2</v>
      </c>
    </row>
    <row r="44" spans="2:52" x14ac:dyDescent="0.3">
      <c r="B44" s="13">
        <v>1.3583161874453163E-2</v>
      </c>
      <c r="C44" s="13">
        <v>-4.9545931246833411E-3</v>
      </c>
      <c r="D44" s="13">
        <v>5.737053882651535E-3</v>
      </c>
      <c r="E44" s="13">
        <v>3.1186595774894153E-2</v>
      </c>
      <c r="F44" s="13">
        <v>-0.17318715394540204</v>
      </c>
      <c r="G44" s="13">
        <v>1.3710884499994858E-2</v>
      </c>
      <c r="H44" s="13">
        <v>-1.6572296193059964E-2</v>
      </c>
      <c r="I44" s="13">
        <v>8.2077296371323979E-2</v>
      </c>
      <c r="J44" s="13">
        <v>4.2003263660705663E-2</v>
      </c>
      <c r="K44" s="13">
        <v>3.8182446368680185E-2</v>
      </c>
      <c r="L44" s="13">
        <v>5.7556657381614564E-2</v>
      </c>
      <c r="M44" s="13">
        <v>2.4570036930520837E-3</v>
      </c>
      <c r="N44" s="13">
        <v>-2.3682484643559095E-2</v>
      </c>
      <c r="O44" s="13">
        <v>3.99573729829946E-2</v>
      </c>
      <c r="R44" s="14">
        <f t="shared" si="2"/>
        <v>1.6299794249343795E-2</v>
      </c>
      <c r="S44" s="14">
        <f t="shared" si="3"/>
        <v>-3.9636744997466732E-3</v>
      </c>
      <c r="T44" s="14">
        <f t="shared" si="4"/>
        <v>6.8844646591818418E-3</v>
      </c>
      <c r="U44" s="14">
        <f t="shared" si="5"/>
        <v>3.742391492987298E-2</v>
      </c>
      <c r="V44" s="14">
        <f t="shared" si="6"/>
        <v>-0.13854972315632164</v>
      </c>
      <c r="W44" s="14">
        <f t="shared" si="7"/>
        <v>1.6453061399993828E-2</v>
      </c>
      <c r="X44" s="14">
        <f t="shared" si="8"/>
        <v>-1.3257836954447972E-2</v>
      </c>
      <c r="Y44" s="14">
        <f t="shared" si="9"/>
        <v>9.8492755645588778E-2</v>
      </c>
      <c r="Z44" s="14">
        <f t="shared" si="10"/>
        <v>5.0403916392846797E-2</v>
      </c>
      <c r="AA44" s="14">
        <f t="shared" si="11"/>
        <v>4.5818935642416223E-2</v>
      </c>
      <c r="AB44" s="14">
        <f t="shared" si="12"/>
        <v>6.9067988857937468E-2</v>
      </c>
      <c r="AC44" s="14">
        <f t="shared" si="13"/>
        <v>2.9484044316625004E-3</v>
      </c>
      <c r="AD44" s="14">
        <f t="shared" si="14"/>
        <v>-1.8945987714847276E-2</v>
      </c>
      <c r="AE44" s="14">
        <f t="shared" si="15"/>
        <v>4.7948847579593522E-2</v>
      </c>
      <c r="AM44" s="14">
        <f t="shared" si="16"/>
        <v>8.4936778288117812E-3</v>
      </c>
      <c r="AN44" s="14">
        <f t="shared" si="17"/>
        <v>-2.476038101956668E-2</v>
      </c>
      <c r="AO44" s="14">
        <f t="shared" si="18"/>
        <v>-9.9347168044759768E-4</v>
      </c>
      <c r="AP44" s="14">
        <f t="shared" si="19"/>
        <v>2.7589406890341568E-2</v>
      </c>
      <c r="AQ44" s="14">
        <f t="shared" si="20"/>
        <v>-0.15237266262008514</v>
      </c>
      <c r="AR44" s="14">
        <f t="shared" si="21"/>
        <v>7.9404565703564741E-3</v>
      </c>
      <c r="AS44" s="14">
        <f t="shared" si="22"/>
        <v>-2.6070839949287571E-2</v>
      </c>
      <c r="AT44" s="14">
        <f t="shared" si="23"/>
        <v>9.3096824335043959E-2</v>
      </c>
      <c r="AU44" s="14">
        <f t="shared" si="24"/>
        <v>3.4280423816088965E-2</v>
      </c>
      <c r="AV44" s="14">
        <f t="shared" si="25"/>
        <v>2.3767547432281766E-2</v>
      </c>
      <c r="AW44" s="14">
        <f t="shared" si="26"/>
        <v>5.598020098111308E-2</v>
      </c>
      <c r="AX44" s="14">
        <f t="shared" si="27"/>
        <v>-2.376044820515338E-2</v>
      </c>
      <c r="AY44" s="14">
        <f t="shared" si="28"/>
        <v>-3.0216919202927184E-2</v>
      </c>
      <c r="AZ44" s="14">
        <f t="shared" si="29"/>
        <v>4.3334795582873079E-2</v>
      </c>
    </row>
    <row r="45" spans="2:52" x14ac:dyDescent="0.3">
      <c r="B45" s="13">
        <v>-1.2281549137357642E-2</v>
      </c>
      <c r="C45" s="13">
        <v>-7.2962423756317077E-2</v>
      </c>
      <c r="D45" s="13">
        <v>-2.4547472850429176E-2</v>
      </c>
      <c r="E45" s="13">
        <v>-2.1717714871879904E-2</v>
      </c>
      <c r="F45" s="13">
        <v>-8.4524426087893872E-2</v>
      </c>
      <c r="G45" s="13">
        <v>-6.9204885181335926E-2</v>
      </c>
      <c r="H45" s="13">
        <v>-5.1431341027813077E-2</v>
      </c>
      <c r="I45" s="13">
        <v>-6.4913826077236322E-2</v>
      </c>
      <c r="J45" s="13">
        <v>-0.16332693288330816</v>
      </c>
      <c r="K45" s="13">
        <v>-5.2236394111649549E-2</v>
      </c>
      <c r="L45" s="13">
        <v>-0.12749337037327241</v>
      </c>
      <c r="M45" s="13">
        <v>-7.912288544096914E-2</v>
      </c>
      <c r="N45" s="13">
        <v>-0.11126835463518972</v>
      </c>
      <c r="O45" s="13">
        <v>-5.7780712909296324E-2</v>
      </c>
      <c r="R45" s="14">
        <f t="shared" si="2"/>
        <v>-9.8252393098861145E-3</v>
      </c>
      <c r="S45" s="14">
        <f t="shared" si="3"/>
        <v>-5.8369939005053662E-2</v>
      </c>
      <c r="T45" s="14">
        <f t="shared" si="4"/>
        <v>-1.9637978280343343E-2</v>
      </c>
      <c r="U45" s="14">
        <f t="shared" si="5"/>
        <v>-1.7374171897503923E-2</v>
      </c>
      <c r="V45" s="14">
        <f t="shared" si="6"/>
        <v>-6.7619540870315104E-2</v>
      </c>
      <c r="W45" s="14">
        <f t="shared" si="7"/>
        <v>-5.5363908145068745E-2</v>
      </c>
      <c r="X45" s="14">
        <f t="shared" si="8"/>
        <v>-4.1145072822250467E-2</v>
      </c>
      <c r="Y45" s="14">
        <f t="shared" si="9"/>
        <v>-5.1931060861789058E-2</v>
      </c>
      <c r="Z45" s="14">
        <f t="shared" si="10"/>
        <v>-0.13066154630664653</v>
      </c>
      <c r="AA45" s="14">
        <f t="shared" si="11"/>
        <v>-4.1789115289319639E-2</v>
      </c>
      <c r="AB45" s="14">
        <f t="shared" si="12"/>
        <v>-0.10199469629861793</v>
      </c>
      <c r="AC45" s="14">
        <f t="shared" si="13"/>
        <v>-6.329830835277532E-2</v>
      </c>
      <c r="AD45" s="14">
        <f t="shared" si="14"/>
        <v>-8.9014683708151784E-2</v>
      </c>
      <c r="AE45" s="14">
        <f t="shared" si="15"/>
        <v>-4.6224570327437063E-2</v>
      </c>
      <c r="AM45" s="14">
        <f t="shared" si="16"/>
        <v>-1.7631355730418127E-2</v>
      </c>
      <c r="AN45" s="14">
        <f t="shared" si="17"/>
        <v>-7.9166645524873666E-2</v>
      </c>
      <c r="AO45" s="14">
        <f t="shared" si="18"/>
        <v>-2.7515914619972784E-2</v>
      </c>
      <c r="AP45" s="14">
        <f t="shared" si="19"/>
        <v>-2.7208679937035331E-2</v>
      </c>
      <c r="AQ45" s="14">
        <f t="shared" si="20"/>
        <v>-8.144248033407861E-2</v>
      </c>
      <c r="AR45" s="14">
        <f t="shared" si="21"/>
        <v>-6.3876512974706104E-2</v>
      </c>
      <c r="AS45" s="14">
        <f t="shared" si="22"/>
        <v>-5.3958075817090063E-2</v>
      </c>
      <c r="AT45" s="14">
        <f t="shared" si="23"/>
        <v>-5.7326992172333884E-2</v>
      </c>
      <c r="AU45" s="14">
        <f t="shared" si="24"/>
        <v>-0.14678503888340436</v>
      </c>
      <c r="AV45" s="14">
        <f t="shared" si="25"/>
        <v>-6.3840503499454096E-2</v>
      </c>
      <c r="AW45" s="14">
        <f t="shared" si="26"/>
        <v>-0.11508248417544231</v>
      </c>
      <c r="AX45" s="14">
        <f t="shared" si="27"/>
        <v>-9.0007160989591203E-2</v>
      </c>
      <c r="AY45" s="14">
        <f t="shared" si="28"/>
        <v>-0.10028561519623169</v>
      </c>
      <c r="AZ45" s="14">
        <f t="shared" si="29"/>
        <v>-5.0838622324157506E-2</v>
      </c>
    </row>
    <row r="46" spans="2:52" x14ac:dyDescent="0.3">
      <c r="B46" s="13">
        <v>6.2264112667405953E-2</v>
      </c>
      <c r="C46" s="13">
        <v>0.10473699094159325</v>
      </c>
      <c r="D46" s="13">
        <v>5.7634713100968883E-2</v>
      </c>
      <c r="E46" s="13">
        <v>4.6242241124802956E-2</v>
      </c>
      <c r="F46" s="13">
        <v>4.5068781498540281E-2</v>
      </c>
      <c r="G46" s="13">
        <v>0.10991514161554809</v>
      </c>
      <c r="H46" s="13">
        <v>2.5315835751357131E-2</v>
      </c>
      <c r="I46" s="13">
        <v>-0.25260225846533485</v>
      </c>
      <c r="J46" s="13">
        <v>6.8435562270986294E-2</v>
      </c>
      <c r="K46" s="13">
        <v>4.2939581012512058E-2</v>
      </c>
      <c r="L46" s="13">
        <v>0.12571052090834217</v>
      </c>
      <c r="M46" s="13">
        <v>9.6154927335401319E-2</v>
      </c>
      <c r="N46" s="13">
        <v>1.7500195182680162E-2</v>
      </c>
      <c r="O46" s="13">
        <v>0.11351640359180919</v>
      </c>
      <c r="R46" s="14">
        <f t="shared" si="2"/>
        <v>7.4716935200887138E-2</v>
      </c>
      <c r="S46" s="14">
        <f t="shared" si="3"/>
        <v>0.12568438912991189</v>
      </c>
      <c r="T46" s="14">
        <f t="shared" si="4"/>
        <v>6.916165572116266E-2</v>
      </c>
      <c r="U46" s="14">
        <f t="shared" si="5"/>
        <v>5.5490689349763547E-2</v>
      </c>
      <c r="V46" s="14">
        <f t="shared" si="6"/>
        <v>5.4082537798248335E-2</v>
      </c>
      <c r="W46" s="14">
        <f t="shared" si="7"/>
        <v>0.13189816993865772</v>
      </c>
      <c r="X46" s="14">
        <f t="shared" si="8"/>
        <v>3.0379002901628555E-2</v>
      </c>
      <c r="Y46" s="14">
        <f t="shared" si="9"/>
        <v>-0.20208180677226789</v>
      </c>
      <c r="Z46" s="14">
        <f t="shared" si="10"/>
        <v>8.2122674725183545E-2</v>
      </c>
      <c r="AA46" s="14">
        <f t="shared" si="11"/>
        <v>5.152749721501447E-2</v>
      </c>
      <c r="AB46" s="14">
        <f t="shared" si="12"/>
        <v>0.1508526250900106</v>
      </c>
      <c r="AC46" s="14">
        <f t="shared" si="13"/>
        <v>0.11538591280248157</v>
      </c>
      <c r="AD46" s="14">
        <f t="shared" si="14"/>
        <v>2.1000234219216193E-2</v>
      </c>
      <c r="AE46" s="14">
        <f t="shared" si="15"/>
        <v>0.13621968431017101</v>
      </c>
      <c r="AM46" s="14">
        <f t="shared" si="16"/>
        <v>6.6910818780355125E-2</v>
      </c>
      <c r="AN46" s="14">
        <f t="shared" si="17"/>
        <v>0.10488768261009189</v>
      </c>
      <c r="AO46" s="14">
        <f t="shared" si="18"/>
        <v>6.1283719381533222E-2</v>
      </c>
      <c r="AP46" s="14">
        <f t="shared" si="19"/>
        <v>4.5656181310232136E-2</v>
      </c>
      <c r="AQ46" s="14">
        <f t="shared" si="20"/>
        <v>4.0259598334484836E-2</v>
      </c>
      <c r="AR46" s="14">
        <f t="shared" si="21"/>
        <v>0.12338556510902036</v>
      </c>
      <c r="AS46" s="14">
        <f t="shared" si="22"/>
        <v>1.7565999906788955E-2</v>
      </c>
      <c r="AT46" s="14">
        <f t="shared" si="23"/>
        <v>-0.20747773808281272</v>
      </c>
      <c r="AU46" s="14">
        <f t="shared" si="24"/>
        <v>6.5999182148425706E-2</v>
      </c>
      <c r="AV46" s="14">
        <f t="shared" si="25"/>
        <v>2.9476109004880013E-2</v>
      </c>
      <c r="AW46" s="14">
        <f t="shared" si="26"/>
        <v>0.13776483721318622</v>
      </c>
      <c r="AX46" s="14">
        <f t="shared" si="27"/>
        <v>8.8677060165665691E-2</v>
      </c>
      <c r="AY46" s="14">
        <f t="shared" si="28"/>
        <v>9.7293027311362874E-3</v>
      </c>
      <c r="AZ46" s="14">
        <f t="shared" si="29"/>
        <v>0.13160563231345057</v>
      </c>
    </row>
    <row r="47" spans="2:52" x14ac:dyDescent="0.3">
      <c r="B47" s="13">
        <v>5.5920313410769175E-2</v>
      </c>
      <c r="C47" s="13">
        <v>0.10351438598472165</v>
      </c>
      <c r="D47" s="13">
        <v>-2.6152665227702435E-2</v>
      </c>
      <c r="E47" s="13">
        <v>-4.9042346661886393E-2</v>
      </c>
      <c r="F47" s="13">
        <v>6.3593754896924801E-2</v>
      </c>
      <c r="G47" s="13">
        <v>-0.143107290449664</v>
      </c>
      <c r="H47" s="13">
        <v>-0.27047335628325014</v>
      </c>
      <c r="I47" s="13">
        <v>0.26157092844809521</v>
      </c>
      <c r="J47" s="13">
        <v>4.5824812652716998E-2</v>
      </c>
      <c r="K47" s="13">
        <v>8.2242062644521066E-2</v>
      </c>
      <c r="L47" s="13">
        <v>-1.8732536236335327E-2</v>
      </c>
      <c r="M47" s="13">
        <v>4.1352613668760842E-2</v>
      </c>
      <c r="N47" s="13">
        <v>8.4099197871135359E-2</v>
      </c>
      <c r="O47" s="13">
        <v>3.9111468437885565E-2</v>
      </c>
      <c r="R47" s="14">
        <f t="shared" si="2"/>
        <v>6.710437609292301E-2</v>
      </c>
      <c r="S47" s="14">
        <f t="shared" si="3"/>
        <v>0.12421726318166598</v>
      </c>
      <c r="T47" s="14">
        <f t="shared" si="4"/>
        <v>-2.0922132182161948E-2</v>
      </c>
      <c r="U47" s="14">
        <f t="shared" si="5"/>
        <v>-3.9233877329509115E-2</v>
      </c>
      <c r="V47" s="14">
        <f t="shared" si="6"/>
        <v>7.6312505876309764E-2</v>
      </c>
      <c r="W47" s="14">
        <f t="shared" si="7"/>
        <v>-0.1144858323597312</v>
      </c>
      <c r="X47" s="14">
        <f t="shared" si="8"/>
        <v>-0.21637868502660013</v>
      </c>
      <c r="Y47" s="14">
        <f t="shared" si="9"/>
        <v>0.31388511413771425</v>
      </c>
      <c r="Z47" s="14">
        <f t="shared" si="10"/>
        <v>5.4989775183260398E-2</v>
      </c>
      <c r="AA47" s="14">
        <f t="shared" si="11"/>
        <v>9.8690475173425274E-2</v>
      </c>
      <c r="AB47" s="14">
        <f t="shared" si="12"/>
        <v>-1.4986028989068263E-2</v>
      </c>
      <c r="AC47" s="14">
        <f t="shared" si="13"/>
        <v>4.9623136402513007E-2</v>
      </c>
      <c r="AD47" s="14">
        <f t="shared" si="14"/>
        <v>0.10091903744536243</v>
      </c>
      <c r="AE47" s="14">
        <f t="shared" si="15"/>
        <v>4.6933762125462679E-2</v>
      </c>
      <c r="AM47" s="14">
        <f t="shared" si="16"/>
        <v>5.9298259672390996E-2</v>
      </c>
      <c r="AN47" s="14">
        <f t="shared" si="17"/>
        <v>0.10342055666184598</v>
      </c>
      <c r="AO47" s="14">
        <f t="shared" si="18"/>
        <v>-2.8800068521791386E-2</v>
      </c>
      <c r="AP47" s="14">
        <f t="shared" si="19"/>
        <v>-4.9068385369040526E-2</v>
      </c>
      <c r="AQ47" s="14">
        <f t="shared" si="20"/>
        <v>6.2489566412546264E-2</v>
      </c>
      <c r="AR47" s="14">
        <f t="shared" si="21"/>
        <v>-0.12299843718936855</v>
      </c>
      <c r="AS47" s="14">
        <f t="shared" si="22"/>
        <v>-0.22919168802143972</v>
      </c>
      <c r="AT47" s="14">
        <f t="shared" si="23"/>
        <v>0.30848918282716942</v>
      </c>
      <c r="AU47" s="14">
        <f t="shared" si="24"/>
        <v>3.8866282606502559E-2</v>
      </c>
      <c r="AV47" s="14">
        <f t="shared" si="25"/>
        <v>7.6639086963290817E-2</v>
      </c>
      <c r="AW47" s="14">
        <f t="shared" si="26"/>
        <v>-2.8073816865892651E-2</v>
      </c>
      <c r="AX47" s="14">
        <f t="shared" si="27"/>
        <v>2.2914283765697128E-2</v>
      </c>
      <c r="AY47" s="14">
        <f t="shared" si="28"/>
        <v>8.9648105957282523E-2</v>
      </c>
      <c r="AZ47" s="14">
        <f t="shared" si="29"/>
        <v>4.2319710128742236E-2</v>
      </c>
    </row>
    <row r="48" spans="2:52" x14ac:dyDescent="0.3">
      <c r="B48" s="13">
        <v>-0.11818442607817516</v>
      </c>
      <c r="C48" s="13">
        <v>2.3580942588906879E-2</v>
      </c>
      <c r="D48" s="13">
        <v>-6.3354953659650548E-2</v>
      </c>
      <c r="E48" s="13">
        <v>-0.10629562923835821</v>
      </c>
      <c r="F48" s="13">
        <v>-9.6636982951213632E-2</v>
      </c>
      <c r="G48" s="13">
        <v>-0.12806196705502559</v>
      </c>
      <c r="H48" s="13">
        <v>-8.8588866907161223E-2</v>
      </c>
      <c r="I48" s="13">
        <v>-9.7892877177163926E-2</v>
      </c>
      <c r="J48" s="13">
        <v>-0.24914315880533267</v>
      </c>
      <c r="K48" s="13">
        <v>-0.20315593581050065</v>
      </c>
      <c r="L48" s="13">
        <v>3.1850965812354221E-2</v>
      </c>
      <c r="M48" s="13">
        <v>-8.5749547169207768E-2</v>
      </c>
      <c r="N48" s="13">
        <v>-9.5328511778037181E-2</v>
      </c>
      <c r="O48" s="13">
        <v>-8.3552004955294717E-2</v>
      </c>
      <c r="R48" s="14">
        <f t="shared" si="2"/>
        <v>-9.4547540862540136E-2</v>
      </c>
      <c r="S48" s="14">
        <f t="shared" si="3"/>
        <v>2.8297131106688252E-2</v>
      </c>
      <c r="T48" s="14">
        <f t="shared" si="4"/>
        <v>-5.0683962927720441E-2</v>
      </c>
      <c r="U48" s="14">
        <f t="shared" si="5"/>
        <v>-8.503650339068658E-2</v>
      </c>
      <c r="V48" s="14">
        <f t="shared" si="6"/>
        <v>-7.7309586360970906E-2</v>
      </c>
      <c r="W48" s="14">
        <f t="shared" si="7"/>
        <v>-0.10244957364402048</v>
      </c>
      <c r="X48" s="14">
        <f t="shared" si="8"/>
        <v>-7.0871093525728984E-2</v>
      </c>
      <c r="Y48" s="14">
        <f t="shared" si="9"/>
        <v>-7.8314301741731152E-2</v>
      </c>
      <c r="Z48" s="14">
        <f t="shared" si="10"/>
        <v>-0.19931452704426614</v>
      </c>
      <c r="AA48" s="14">
        <f t="shared" si="11"/>
        <v>-0.16252474864840052</v>
      </c>
      <c r="AB48" s="14">
        <f t="shared" si="12"/>
        <v>3.8221158974825066E-2</v>
      </c>
      <c r="AC48" s="14">
        <f t="shared" si="13"/>
        <v>-6.8599637735366217E-2</v>
      </c>
      <c r="AD48" s="14">
        <f t="shared" si="14"/>
        <v>-7.6262809422429745E-2</v>
      </c>
      <c r="AE48" s="14">
        <f t="shared" si="15"/>
        <v>-6.6841603964235774E-2</v>
      </c>
      <c r="AM48" s="14">
        <f t="shared" si="16"/>
        <v>-0.10235365728307215</v>
      </c>
      <c r="AN48" s="14">
        <f t="shared" si="17"/>
        <v>7.5004245868682436E-3</v>
      </c>
      <c r="AO48" s="14">
        <f t="shared" si="18"/>
        <v>-5.8561899267349879E-2</v>
      </c>
      <c r="AP48" s="14">
        <f t="shared" si="19"/>
        <v>-9.4871011430217991E-2</v>
      </c>
      <c r="AQ48" s="14">
        <f t="shared" si="20"/>
        <v>-9.1132525824734412E-2</v>
      </c>
      <c r="AR48" s="14">
        <f t="shared" si="21"/>
        <v>-0.11096217847365783</v>
      </c>
      <c r="AS48" s="14">
        <f t="shared" si="22"/>
        <v>-8.3684096520568588E-2</v>
      </c>
      <c r="AT48" s="14">
        <f t="shared" si="23"/>
        <v>-8.371023305227597E-2</v>
      </c>
      <c r="AU48" s="14">
        <f t="shared" si="24"/>
        <v>-0.21543801962102396</v>
      </c>
      <c r="AV48" s="14">
        <f t="shared" si="25"/>
        <v>-0.18457613685853497</v>
      </c>
      <c r="AW48" s="14">
        <f t="shared" si="26"/>
        <v>2.5133371098000679E-2</v>
      </c>
      <c r="AX48" s="14">
        <f t="shared" si="27"/>
        <v>-9.53084903721821E-2</v>
      </c>
      <c r="AY48" s="14">
        <f t="shared" si="28"/>
        <v>-8.7533740910509653E-2</v>
      </c>
      <c r="AZ48" s="14">
        <f t="shared" si="29"/>
        <v>-7.145565596095621E-2</v>
      </c>
    </row>
    <row r="49" spans="2:52" x14ac:dyDescent="0.3">
      <c r="B49" s="13">
        <v>7.8629767354917654E-2</v>
      </c>
      <c r="C49" s="13">
        <v>0.14258281871679993</v>
      </c>
      <c r="D49" s="13">
        <v>0.10990772948513354</v>
      </c>
      <c r="E49" s="13">
        <v>0.10754108866245456</v>
      </c>
      <c r="F49" s="13">
        <v>-5.7025164614085334E-2</v>
      </c>
      <c r="G49" s="13">
        <v>0.10239944222492851</v>
      </c>
      <c r="H49" s="13">
        <v>0.21901564681803126</v>
      </c>
      <c r="I49" s="13">
        <v>0.23661908667879053</v>
      </c>
      <c r="J49" s="13">
        <v>0.11509659705860678</v>
      </c>
      <c r="K49" s="13">
        <v>-2.3392879574705462E-2</v>
      </c>
      <c r="L49" s="13">
        <v>2.6417942311621426E-2</v>
      </c>
      <c r="M49" s="13">
        <v>5.8768438338100214E-2</v>
      </c>
      <c r="N49" s="13">
        <v>0.21199064244112314</v>
      </c>
      <c r="O49" s="13">
        <v>0.13120490844217911</v>
      </c>
      <c r="R49" s="14">
        <f t="shared" si="2"/>
        <v>9.4355720825901185E-2</v>
      </c>
      <c r="S49" s="14">
        <f t="shared" si="3"/>
        <v>0.1710993824601599</v>
      </c>
      <c r="T49" s="14">
        <f t="shared" si="4"/>
        <v>0.13188927538216025</v>
      </c>
      <c r="U49" s="14">
        <f t="shared" si="5"/>
        <v>0.12904930639494547</v>
      </c>
      <c r="V49" s="14">
        <f t="shared" si="6"/>
        <v>-4.5620131691268273E-2</v>
      </c>
      <c r="W49" s="14">
        <f t="shared" si="7"/>
        <v>0.12287933066991422</v>
      </c>
      <c r="X49" s="14">
        <f t="shared" si="8"/>
        <v>0.26281877618163751</v>
      </c>
      <c r="Y49" s="14">
        <f t="shared" si="9"/>
        <v>0.28394290401454864</v>
      </c>
      <c r="Z49" s="14">
        <f t="shared" si="10"/>
        <v>0.13811591647032814</v>
      </c>
      <c r="AA49" s="14">
        <f t="shared" si="11"/>
        <v>-1.871430365976437E-2</v>
      </c>
      <c r="AB49" s="14">
        <f t="shared" si="12"/>
        <v>3.1701530773945712E-2</v>
      </c>
      <c r="AC49" s="14">
        <f t="shared" si="13"/>
        <v>7.0522126005720248E-2</v>
      </c>
      <c r="AD49" s="14">
        <f t="shared" si="14"/>
        <v>0.25438877092934775</v>
      </c>
      <c r="AE49" s="14">
        <f t="shared" si="15"/>
        <v>0.15744589013061491</v>
      </c>
      <c r="AM49" s="14">
        <f t="shared" si="16"/>
        <v>8.6549604405369171E-2</v>
      </c>
      <c r="AN49" s="14">
        <f t="shared" si="17"/>
        <v>0.15030267594033989</v>
      </c>
      <c r="AO49" s="14">
        <f t="shared" si="18"/>
        <v>0.12401133904253081</v>
      </c>
      <c r="AP49" s="14">
        <f t="shared" si="19"/>
        <v>0.11921479835541406</v>
      </c>
      <c r="AQ49" s="14">
        <f t="shared" si="20"/>
        <v>-5.9443071155031772E-2</v>
      </c>
      <c r="AR49" s="14">
        <f t="shared" si="21"/>
        <v>0.11436672584027686</v>
      </c>
      <c r="AS49" s="14">
        <f t="shared" si="22"/>
        <v>0.2500057731867979</v>
      </c>
      <c r="AT49" s="14">
        <f t="shared" si="23"/>
        <v>0.2785469727040038</v>
      </c>
      <c r="AU49" s="14">
        <f t="shared" si="24"/>
        <v>0.1219924238935703</v>
      </c>
      <c r="AV49" s="14">
        <f t="shared" si="25"/>
        <v>-4.0765691869898826E-2</v>
      </c>
      <c r="AW49" s="14">
        <f t="shared" si="26"/>
        <v>1.8613742897121324E-2</v>
      </c>
      <c r="AX49" s="14">
        <f t="shared" si="27"/>
        <v>4.3813273368904365E-2</v>
      </c>
      <c r="AY49" s="14">
        <f t="shared" si="28"/>
        <v>0.24311783944126786</v>
      </c>
      <c r="AZ49" s="14">
        <f t="shared" si="29"/>
        <v>0.15283183813389448</v>
      </c>
    </row>
    <row r="50" spans="2:52" x14ac:dyDescent="0.3">
      <c r="B50" s="13">
        <v>1.0565233331160884E-2</v>
      </c>
      <c r="C50" s="13">
        <v>-5.7987257650349282E-2</v>
      </c>
      <c r="D50" s="13">
        <v>-2.412420146617025E-2</v>
      </c>
      <c r="E50" s="13">
        <v>1.0524240760960951E-2</v>
      </c>
      <c r="F50" s="13">
        <v>-8.3949736552239945E-2</v>
      </c>
      <c r="G50" s="13">
        <v>-6.8256108393790413E-2</v>
      </c>
      <c r="H50" s="13">
        <v>-8.6195939547612441E-3</v>
      </c>
      <c r="I50" s="13">
        <v>-9.6001264835285413E-2</v>
      </c>
      <c r="J50" s="13">
        <v>-2.9281451103796999E-2</v>
      </c>
      <c r="K50" s="13">
        <v>-0.23866541334575225</v>
      </c>
      <c r="L50" s="13">
        <v>-6.5393452789857262E-3</v>
      </c>
      <c r="M50" s="13">
        <v>-0.12929373902474633</v>
      </c>
      <c r="N50" s="13">
        <v>-9.6697765220611909E-2</v>
      </c>
      <c r="O50" s="13">
        <v>-7.8647244587141049E-2</v>
      </c>
      <c r="R50" s="14">
        <f t="shared" si="2"/>
        <v>1.2678279997393059E-2</v>
      </c>
      <c r="S50" s="14">
        <f t="shared" si="3"/>
        <v>-4.6389806120279431E-2</v>
      </c>
      <c r="T50" s="14">
        <f t="shared" si="4"/>
        <v>-1.9299361172936201E-2</v>
      </c>
      <c r="U50" s="14">
        <f t="shared" si="5"/>
        <v>1.2629088913153142E-2</v>
      </c>
      <c r="V50" s="14">
        <f t="shared" si="6"/>
        <v>-6.7159789241791959E-2</v>
      </c>
      <c r="W50" s="14">
        <f t="shared" si="7"/>
        <v>-5.460488671503233E-2</v>
      </c>
      <c r="X50" s="14">
        <f t="shared" si="8"/>
        <v>-6.8956751638089954E-3</v>
      </c>
      <c r="Y50" s="14">
        <f t="shared" si="9"/>
        <v>-7.6801011868228339E-2</v>
      </c>
      <c r="Z50" s="14">
        <f t="shared" si="10"/>
        <v>-2.3425160883037602E-2</v>
      </c>
      <c r="AA50" s="14">
        <f t="shared" si="11"/>
        <v>-0.19093233067660181</v>
      </c>
      <c r="AB50" s="14">
        <f t="shared" si="12"/>
        <v>-5.231476223188581E-3</v>
      </c>
      <c r="AC50" s="14">
        <f t="shared" si="13"/>
        <v>-0.10343499121979707</v>
      </c>
      <c r="AD50" s="14">
        <f t="shared" si="14"/>
        <v>-7.7358212176489527E-2</v>
      </c>
      <c r="AE50" s="14">
        <f t="shared" si="15"/>
        <v>-6.2917795669712839E-2</v>
      </c>
      <c r="AM50" s="14">
        <f t="shared" si="16"/>
        <v>4.8721635768610464E-3</v>
      </c>
      <c r="AN50" s="14">
        <f t="shared" si="17"/>
        <v>-6.7186512640099436E-2</v>
      </c>
      <c r="AO50" s="14">
        <f t="shared" si="18"/>
        <v>-2.7177297512565639E-2</v>
      </c>
      <c r="AP50" s="14">
        <f t="shared" si="19"/>
        <v>2.7945808736217319E-3</v>
      </c>
      <c r="AQ50" s="14">
        <f t="shared" si="20"/>
        <v>-8.0982728705555451E-2</v>
      </c>
      <c r="AR50" s="14">
        <f t="shared" si="21"/>
        <v>-6.3117491544669682E-2</v>
      </c>
      <c r="AS50" s="14">
        <f t="shared" si="22"/>
        <v>-1.9708678158648595E-2</v>
      </c>
      <c r="AT50" s="14">
        <f t="shared" si="23"/>
        <v>-8.2196943178773157E-2</v>
      </c>
      <c r="AU50" s="14">
        <f t="shared" si="24"/>
        <v>-3.9548653459795441E-2</v>
      </c>
      <c r="AV50" s="14">
        <f t="shared" si="25"/>
        <v>-0.21298371888673628</v>
      </c>
      <c r="AW50" s="14">
        <f t="shared" si="26"/>
        <v>-1.8319264100012965E-2</v>
      </c>
      <c r="AX50" s="14">
        <f t="shared" si="27"/>
        <v>-0.13014384385661296</v>
      </c>
      <c r="AY50" s="14">
        <f t="shared" si="28"/>
        <v>-8.8629143664569435E-2</v>
      </c>
      <c r="AZ50" s="14">
        <f t="shared" si="29"/>
        <v>-6.7531847666433276E-2</v>
      </c>
    </row>
    <row r="51" spans="2:52" x14ac:dyDescent="0.3">
      <c r="B51" s="13">
        <v>-2.1243283817862266E-2</v>
      </c>
      <c r="C51" s="13">
        <v>5.4306271898921975E-2</v>
      </c>
      <c r="D51" s="13">
        <v>2.5660796996978985E-2</v>
      </c>
      <c r="E51" s="13">
        <v>3.0786597811011633E-4</v>
      </c>
      <c r="F51" s="13">
        <v>1.4708982997557749E-2</v>
      </c>
      <c r="G51" s="13">
        <v>-7.7846300882388883E-3</v>
      </c>
      <c r="H51" s="13">
        <v>-5.7281101757108216E-3</v>
      </c>
      <c r="I51" s="13">
        <v>-3.2853196187187114E-2</v>
      </c>
      <c r="J51" s="13">
        <v>7.597513609450845E-3</v>
      </c>
      <c r="K51" s="13">
        <v>-2.1890532364955126E-2</v>
      </c>
      <c r="L51" s="13">
        <v>-1.6011480242910804E-2</v>
      </c>
      <c r="M51" s="13">
        <v>-1.4996872751515691E-2</v>
      </c>
      <c r="N51" s="13">
        <v>7.6971650047807484E-3</v>
      </c>
      <c r="O51" s="13">
        <v>-7.9512062927733634E-2</v>
      </c>
      <c r="R51" s="14">
        <f t="shared" si="2"/>
        <v>-1.6994627054289814E-2</v>
      </c>
      <c r="S51" s="14">
        <f t="shared" si="3"/>
        <v>6.5167526278706367E-2</v>
      </c>
      <c r="T51" s="14">
        <f t="shared" si="4"/>
        <v>3.079295639637478E-2</v>
      </c>
      <c r="U51" s="14">
        <f t="shared" si="5"/>
        <v>3.6943917373213957E-4</v>
      </c>
      <c r="V51" s="14">
        <f t="shared" si="6"/>
        <v>1.7650779597069299E-2</v>
      </c>
      <c r="W51" s="14">
        <f t="shared" si="7"/>
        <v>-6.2277040705911108E-3</v>
      </c>
      <c r="X51" s="14">
        <f t="shared" si="8"/>
        <v>-4.5824881405686574E-3</v>
      </c>
      <c r="Y51" s="14">
        <f t="shared" si="9"/>
        <v>-2.6282556949749694E-2</v>
      </c>
      <c r="Z51" s="14">
        <f t="shared" si="10"/>
        <v>9.117016331341014E-3</v>
      </c>
      <c r="AA51" s="14">
        <f t="shared" si="11"/>
        <v>-1.7512425891964101E-2</v>
      </c>
      <c r="AB51" s="14">
        <f t="shared" si="12"/>
        <v>-1.2809184194328645E-2</v>
      </c>
      <c r="AC51" s="14">
        <f t="shared" si="13"/>
        <v>-1.1997498201212554E-2</v>
      </c>
      <c r="AD51" s="14">
        <f t="shared" si="14"/>
        <v>9.2365980057368974E-3</v>
      </c>
      <c r="AE51" s="14">
        <f t="shared" si="15"/>
        <v>-6.3609650342186908E-2</v>
      </c>
      <c r="AM51" s="14">
        <f t="shared" si="16"/>
        <v>-2.4800743474821828E-2</v>
      </c>
      <c r="AN51" s="14">
        <f t="shared" si="17"/>
        <v>4.4370819758886362E-2</v>
      </c>
      <c r="AO51" s="14">
        <f t="shared" si="18"/>
        <v>2.2915020056745339E-2</v>
      </c>
      <c r="AP51" s="14">
        <f t="shared" si="19"/>
        <v>-9.4650688657992709E-3</v>
      </c>
      <c r="AQ51" s="14">
        <f t="shared" si="20"/>
        <v>3.8278401333057994E-3</v>
      </c>
      <c r="AR51" s="14">
        <f t="shared" si="21"/>
        <v>-1.4740308900228465E-2</v>
      </c>
      <c r="AS51" s="14">
        <f t="shared" si="22"/>
        <v>-1.7395491135408257E-2</v>
      </c>
      <c r="AT51" s="14">
        <f t="shared" si="23"/>
        <v>-3.167848826029452E-2</v>
      </c>
      <c r="AU51" s="14">
        <f t="shared" si="24"/>
        <v>-7.0064762454168216E-3</v>
      </c>
      <c r="AV51" s="14">
        <f t="shared" si="25"/>
        <v>-3.9563814102098555E-2</v>
      </c>
      <c r="AW51" s="14">
        <f t="shared" si="26"/>
        <v>-2.5896972071153032E-2</v>
      </c>
      <c r="AX51" s="14">
        <f t="shared" si="27"/>
        <v>-3.8706350838028432E-2</v>
      </c>
      <c r="AY51" s="14">
        <f t="shared" si="28"/>
        <v>-2.0343334823430086E-3</v>
      </c>
      <c r="AZ51" s="14">
        <f t="shared" si="29"/>
        <v>-6.8223702338907344E-2</v>
      </c>
    </row>
    <row r="52" spans="2:52" x14ac:dyDescent="0.3">
      <c r="B52" s="13">
        <v>-2.0275757148998643E-3</v>
      </c>
      <c r="C52" s="13">
        <v>3.680656793686464E-2</v>
      </c>
      <c r="D52" s="13">
        <v>2.9971796303320166E-2</v>
      </c>
      <c r="E52" s="13">
        <v>3.0118496874024226E-2</v>
      </c>
      <c r="F52" s="13">
        <v>6.3560519260914577E-2</v>
      </c>
      <c r="G52" s="13">
        <v>7.6783996743714535E-3</v>
      </c>
      <c r="H52" s="13">
        <v>0.10294309105850585</v>
      </c>
      <c r="I52" s="13">
        <v>3.0950246041101061E-2</v>
      </c>
      <c r="J52" s="13">
        <v>-0.12171793610108074</v>
      </c>
      <c r="K52" s="13">
        <v>7.3769161376298117E-2</v>
      </c>
      <c r="L52" s="13">
        <v>8.7336799687546315E-3</v>
      </c>
      <c r="M52" s="13">
        <v>5.0881121543905367E-2</v>
      </c>
      <c r="N52" s="13">
        <v>7.9658567183149315E-2</v>
      </c>
      <c r="O52" s="13">
        <v>-1.4561742844532577E-2</v>
      </c>
      <c r="R52" s="14">
        <f t="shared" si="2"/>
        <v>-1.6220605719198915E-3</v>
      </c>
      <c r="S52" s="14">
        <f t="shared" si="3"/>
        <v>4.4167881524237569E-2</v>
      </c>
      <c r="T52" s="14">
        <f t="shared" si="4"/>
        <v>3.5966155563984199E-2</v>
      </c>
      <c r="U52" s="14">
        <f t="shared" si="5"/>
        <v>3.614219624882907E-2</v>
      </c>
      <c r="V52" s="14">
        <f t="shared" si="6"/>
        <v>7.6272623113097487E-2</v>
      </c>
      <c r="W52" s="14">
        <f t="shared" si="7"/>
        <v>9.2140796092457442E-3</v>
      </c>
      <c r="X52" s="14">
        <f t="shared" si="8"/>
        <v>0.12353170927020701</v>
      </c>
      <c r="Y52" s="14">
        <f t="shared" si="9"/>
        <v>3.7140295249321269E-2</v>
      </c>
      <c r="Z52" s="14">
        <f t="shared" si="10"/>
        <v>-9.7374348880864603E-2</v>
      </c>
      <c r="AA52" s="14">
        <f t="shared" si="11"/>
        <v>8.8522993651557733E-2</v>
      </c>
      <c r="AB52" s="14">
        <f t="shared" si="12"/>
        <v>1.0480415962505558E-2</v>
      </c>
      <c r="AC52" s="14">
        <f t="shared" si="13"/>
        <v>6.1057345852686434E-2</v>
      </c>
      <c r="AD52" s="14">
        <f t="shared" si="14"/>
        <v>9.5590280619779172E-2</v>
      </c>
      <c r="AE52" s="14">
        <f t="shared" si="15"/>
        <v>-1.1649394275626062E-2</v>
      </c>
      <c r="AM52" s="14">
        <f t="shared" si="16"/>
        <v>-9.4281769924519053E-3</v>
      </c>
      <c r="AN52" s="14">
        <f t="shared" si="17"/>
        <v>2.3371175004417561E-2</v>
      </c>
      <c r="AO52" s="14">
        <f t="shared" si="18"/>
        <v>2.8088219224354762E-2</v>
      </c>
      <c r="AP52" s="14">
        <f t="shared" si="19"/>
        <v>2.6307688209297658E-2</v>
      </c>
      <c r="AQ52" s="14">
        <f t="shared" si="20"/>
        <v>6.2449683649333988E-2</v>
      </c>
      <c r="AR52" s="14">
        <f t="shared" si="21"/>
        <v>7.0147477960839054E-4</v>
      </c>
      <c r="AS52" s="14">
        <f t="shared" si="22"/>
        <v>0.11071870627536741</v>
      </c>
      <c r="AT52" s="14">
        <f t="shared" si="23"/>
        <v>3.1744363938776443E-2</v>
      </c>
      <c r="AU52" s="14">
        <f t="shared" si="24"/>
        <v>-0.11349784145762244</v>
      </c>
      <c r="AV52" s="14">
        <f t="shared" si="25"/>
        <v>6.6471605441423276E-2</v>
      </c>
      <c r="AW52" s="14">
        <f t="shared" si="26"/>
        <v>-2.6073719143188279E-3</v>
      </c>
      <c r="AX52" s="14">
        <f t="shared" si="27"/>
        <v>3.4348493215870551E-2</v>
      </c>
      <c r="AY52" s="14">
        <f t="shared" si="28"/>
        <v>8.4319349131699264E-2</v>
      </c>
      <c r="AZ52" s="14">
        <f t="shared" si="29"/>
        <v>-1.6263446272346504E-2</v>
      </c>
    </row>
    <row r="53" spans="2:52" x14ac:dyDescent="0.3">
      <c r="B53" s="13">
        <v>-3.8974481377585586E-2</v>
      </c>
      <c r="C53" s="13">
        <v>7.0838548884050419E-3</v>
      </c>
      <c r="D53" s="13">
        <v>-3.8370944906994185E-2</v>
      </c>
      <c r="E53" s="13">
        <v>-7.8790670877543018E-2</v>
      </c>
      <c r="F53" s="13">
        <v>-8.4616255552753511E-2</v>
      </c>
      <c r="G53" s="13">
        <v>-5.5029710826576372E-2</v>
      </c>
      <c r="H53" s="13">
        <v>-6.3432430784024926E-2</v>
      </c>
      <c r="I53" s="13">
        <v>-0.10536051565782641</v>
      </c>
      <c r="J53" s="13">
        <v>-7.4654026921689667E-2</v>
      </c>
      <c r="K53" s="13">
        <v>-0.16944074342525048</v>
      </c>
      <c r="L53" s="13">
        <v>-7.9608019555411635E-2</v>
      </c>
      <c r="M53" s="13">
        <v>-7.4509739937350397E-2</v>
      </c>
      <c r="N53" s="13">
        <v>-0.16020663315160077</v>
      </c>
      <c r="O53" s="13">
        <v>-2.9359656415009736E-2</v>
      </c>
      <c r="R53" s="14">
        <f t="shared" si="2"/>
        <v>-3.1179585102068471E-2</v>
      </c>
      <c r="S53" s="14">
        <f t="shared" si="3"/>
        <v>8.5006258660860496E-3</v>
      </c>
      <c r="T53" s="14">
        <f t="shared" si="4"/>
        <v>-3.069675592559535E-2</v>
      </c>
      <c r="U53" s="14">
        <f t="shared" si="5"/>
        <v>-6.3032536702034417E-2</v>
      </c>
      <c r="V53" s="14">
        <f t="shared" si="6"/>
        <v>-6.7693004442202817E-2</v>
      </c>
      <c r="W53" s="14">
        <f t="shared" si="7"/>
        <v>-4.4023768661261099E-2</v>
      </c>
      <c r="X53" s="14">
        <f t="shared" si="8"/>
        <v>-5.0745944627219944E-2</v>
      </c>
      <c r="Y53" s="14">
        <f t="shared" si="9"/>
        <v>-8.4288412526261125E-2</v>
      </c>
      <c r="Z53" s="14">
        <f t="shared" si="10"/>
        <v>-5.9723221537351739E-2</v>
      </c>
      <c r="AA53" s="14">
        <f t="shared" si="11"/>
        <v>-0.1355525947402004</v>
      </c>
      <c r="AB53" s="14">
        <f t="shared" si="12"/>
        <v>-6.3686415644329308E-2</v>
      </c>
      <c r="AC53" s="14">
        <f t="shared" si="13"/>
        <v>-5.960779194988032E-2</v>
      </c>
      <c r="AD53" s="14">
        <f t="shared" si="14"/>
        <v>-0.12816530652128064</v>
      </c>
      <c r="AE53" s="14">
        <f t="shared" si="15"/>
        <v>-2.3487725132007791E-2</v>
      </c>
      <c r="AM53" s="14">
        <f t="shared" si="16"/>
        <v>-3.8985701522600481E-2</v>
      </c>
      <c r="AN53" s="14">
        <f t="shared" si="17"/>
        <v>-1.2296080653733958E-2</v>
      </c>
      <c r="AO53" s="14">
        <f t="shared" si="18"/>
        <v>-3.8574692265224787E-2</v>
      </c>
      <c r="AP53" s="14">
        <f t="shared" si="19"/>
        <v>-7.2867044741565828E-2</v>
      </c>
      <c r="AQ53" s="14">
        <f t="shared" si="20"/>
        <v>-8.1515943905966309E-2</v>
      </c>
      <c r="AR53" s="14">
        <f t="shared" si="21"/>
        <v>-5.2536373490898451E-2</v>
      </c>
      <c r="AS53" s="14">
        <f t="shared" si="22"/>
        <v>-6.3558947622059547E-2</v>
      </c>
      <c r="AT53" s="14">
        <f t="shared" si="23"/>
        <v>-8.9684343836805944E-2</v>
      </c>
      <c r="AU53" s="14">
        <f t="shared" si="24"/>
        <v>-7.5846714114109579E-2</v>
      </c>
      <c r="AV53" s="14">
        <f t="shared" si="25"/>
        <v>-0.15760398295033484</v>
      </c>
      <c r="AW53" s="14">
        <f t="shared" si="26"/>
        <v>-7.6774203521153689E-2</v>
      </c>
      <c r="AX53" s="14">
        <f t="shared" si="27"/>
        <v>-8.6316644586696203E-2</v>
      </c>
      <c r="AY53" s="14">
        <f t="shared" si="28"/>
        <v>-0.13943623800936053</v>
      </c>
      <c r="AZ53" s="14">
        <f t="shared" si="29"/>
        <v>-2.8101777128728234E-2</v>
      </c>
    </row>
    <row r="54" spans="2:52" x14ac:dyDescent="0.3">
      <c r="B54" s="13">
        <v>-5.5314638125905792E-2</v>
      </c>
      <c r="C54" s="13">
        <v>-2.5619512617744512E-2</v>
      </c>
      <c r="D54" s="13">
        <v>-2.9789253018084071E-3</v>
      </c>
      <c r="E54" s="13">
        <v>-2.8075469012986014E-2</v>
      </c>
      <c r="F54" s="13">
        <v>-0.17549764337010959</v>
      </c>
      <c r="G54" s="13">
        <v>-1.39024561849189E-2</v>
      </c>
      <c r="H54" s="13">
        <v>3.0002675334629404E-2</v>
      </c>
      <c r="I54" s="13">
        <v>-0.10948423284168815</v>
      </c>
      <c r="J54" s="13">
        <v>-3.1602947783173733E-2</v>
      </c>
      <c r="K54" s="13">
        <v>-9.4813285384163185E-2</v>
      </c>
      <c r="L54" s="13">
        <v>-2.2087722013290813E-2</v>
      </c>
      <c r="M54" s="13">
        <v>-2.9980832211935784E-2</v>
      </c>
      <c r="N54" s="13">
        <v>-0.12085597805540918</v>
      </c>
      <c r="O54" s="13">
        <v>-3.2392636375682293E-2</v>
      </c>
      <c r="R54" s="14">
        <f t="shared" si="2"/>
        <v>-4.4251710500724635E-2</v>
      </c>
      <c r="S54" s="14">
        <f t="shared" si="3"/>
        <v>-2.0495610094195611E-2</v>
      </c>
      <c r="T54" s="14">
        <f t="shared" si="4"/>
        <v>-2.3831402414467261E-3</v>
      </c>
      <c r="U54" s="14">
        <f t="shared" si="5"/>
        <v>-2.2460375210388812E-2</v>
      </c>
      <c r="V54" s="14">
        <f t="shared" si="6"/>
        <v>-0.14039811469608768</v>
      </c>
      <c r="W54" s="14">
        <f t="shared" si="7"/>
        <v>-1.1121964947935121E-2</v>
      </c>
      <c r="X54" s="14">
        <f t="shared" si="8"/>
        <v>3.6003210401555283E-2</v>
      </c>
      <c r="Y54" s="14">
        <f t="shared" si="9"/>
        <v>-8.7587386273350526E-2</v>
      </c>
      <c r="Z54" s="14">
        <f t="shared" si="10"/>
        <v>-2.5282358226538987E-2</v>
      </c>
      <c r="AA54" s="14">
        <f t="shared" si="11"/>
        <v>-7.5850628307330553E-2</v>
      </c>
      <c r="AB54" s="14">
        <f t="shared" si="12"/>
        <v>-1.7670177610632651E-2</v>
      </c>
      <c r="AC54" s="14">
        <f t="shared" si="13"/>
        <v>-2.3984665769548628E-2</v>
      </c>
      <c r="AD54" s="14">
        <f t="shared" si="14"/>
        <v>-9.668478244432735E-2</v>
      </c>
      <c r="AE54" s="14">
        <f t="shared" si="15"/>
        <v>-2.5914109100545837E-2</v>
      </c>
      <c r="AM54" s="14">
        <f t="shared" si="16"/>
        <v>-5.2057826921256649E-2</v>
      </c>
      <c r="AN54" s="14">
        <f t="shared" si="17"/>
        <v>-4.1292316614015619E-2</v>
      </c>
      <c r="AO54" s="14">
        <f t="shared" si="18"/>
        <v>-1.0261076581076166E-2</v>
      </c>
      <c r="AP54" s="14">
        <f t="shared" si="19"/>
        <v>-3.229488324992022E-2</v>
      </c>
      <c r="AQ54" s="14">
        <f t="shared" si="20"/>
        <v>-0.15422105415985118</v>
      </c>
      <c r="AR54" s="14">
        <f t="shared" si="21"/>
        <v>-1.9634569777572476E-2</v>
      </c>
      <c r="AS54" s="14">
        <f t="shared" si="22"/>
        <v>2.3190207406715686E-2</v>
      </c>
      <c r="AT54" s="14">
        <f t="shared" si="23"/>
        <v>-9.2983317583895345E-2</v>
      </c>
      <c r="AU54" s="14">
        <f t="shared" si="24"/>
        <v>-4.1405850803296826E-2</v>
      </c>
      <c r="AV54" s="14">
        <f t="shared" si="25"/>
        <v>-9.790201651746501E-2</v>
      </c>
      <c r="AW54" s="14">
        <f t="shared" si="26"/>
        <v>-3.0757965487457038E-2</v>
      </c>
      <c r="AX54" s="14">
        <f t="shared" si="27"/>
        <v>-5.0693518406364504E-2</v>
      </c>
      <c r="AY54" s="14">
        <f t="shared" si="28"/>
        <v>-0.10795571393240726</v>
      </c>
      <c r="AZ54" s="14">
        <f t="shared" si="29"/>
        <v>-3.052816109726628E-2</v>
      </c>
    </row>
    <row r="55" spans="2:52" x14ac:dyDescent="0.3">
      <c r="B55" s="13">
        <v>-1.9897792035336447E-2</v>
      </c>
      <c r="C55" s="13">
        <v>-8.564072516726999E-2</v>
      </c>
      <c r="D55" s="13">
        <v>-2.4658897028133189E-2</v>
      </c>
      <c r="E55" s="13">
        <v>-1.1477088486795095E-2</v>
      </c>
      <c r="F55" s="13">
        <v>-0.1987643285077853</v>
      </c>
      <c r="G55" s="13">
        <v>-3.0156522384007286E-2</v>
      </c>
      <c r="H55" s="13">
        <v>-1.1706875605596892E-2</v>
      </c>
      <c r="I55" s="13">
        <v>1.2903404835907782E-2</v>
      </c>
      <c r="J55" s="13">
        <v>-8.914982163774679E-2</v>
      </c>
      <c r="K55" s="13">
        <v>-3.0797273748915419E-2</v>
      </c>
      <c r="L55" s="13">
        <v>-5.2570887009337937E-2</v>
      </c>
      <c r="M55" s="13">
        <v>-9.2560340890864637E-2</v>
      </c>
      <c r="N55" s="13">
        <v>-0.10330277723277349</v>
      </c>
      <c r="O55" s="13">
        <v>-5.850655445295732E-2</v>
      </c>
      <c r="R55" s="14">
        <f t="shared" si="2"/>
        <v>-1.5918233628269159E-2</v>
      </c>
      <c r="S55" s="14">
        <f t="shared" si="3"/>
        <v>-6.851258013381599E-2</v>
      </c>
      <c r="T55" s="14">
        <f t="shared" si="4"/>
        <v>-1.9727117622506552E-2</v>
      </c>
      <c r="U55" s="14">
        <f t="shared" si="5"/>
        <v>-9.1816707894360767E-3</v>
      </c>
      <c r="V55" s="14">
        <f t="shared" si="6"/>
        <v>-0.15901146280622824</v>
      </c>
      <c r="W55" s="14">
        <f t="shared" si="7"/>
        <v>-2.4125217907205829E-2</v>
      </c>
      <c r="X55" s="14">
        <f t="shared" si="8"/>
        <v>-9.3655004844775142E-3</v>
      </c>
      <c r="Y55" s="14">
        <f t="shared" si="9"/>
        <v>1.5484085803089338E-2</v>
      </c>
      <c r="Z55" s="14">
        <f t="shared" si="10"/>
        <v>-7.1319857310197438E-2</v>
      </c>
      <c r="AA55" s="14">
        <f t="shared" si="11"/>
        <v>-2.4637818999132338E-2</v>
      </c>
      <c r="AB55" s="14">
        <f t="shared" si="12"/>
        <v>-4.2056709607470349E-2</v>
      </c>
      <c r="AC55" s="14">
        <f t="shared" si="13"/>
        <v>-7.404827271269171E-2</v>
      </c>
      <c r="AD55" s="14">
        <f t="shared" si="14"/>
        <v>-8.26422217862188E-2</v>
      </c>
      <c r="AE55" s="14">
        <f t="shared" si="15"/>
        <v>-4.6805243562365859E-2</v>
      </c>
      <c r="AM55" s="14">
        <f t="shared" si="16"/>
        <v>-2.3724350048801173E-2</v>
      </c>
      <c r="AN55" s="14">
        <f t="shared" si="17"/>
        <v>-8.9309286653635994E-2</v>
      </c>
      <c r="AO55" s="14">
        <f t="shared" si="18"/>
        <v>-2.7605053962135993E-2</v>
      </c>
      <c r="AP55" s="14">
        <f t="shared" si="19"/>
        <v>-1.9016178828967487E-2</v>
      </c>
      <c r="AQ55" s="14">
        <f t="shared" si="20"/>
        <v>-0.17283440226999175</v>
      </c>
      <c r="AR55" s="14">
        <f t="shared" si="21"/>
        <v>-3.2637822736843181E-2</v>
      </c>
      <c r="AS55" s="14">
        <f t="shared" si="22"/>
        <v>-2.2178503479317112E-2</v>
      </c>
      <c r="AT55" s="14">
        <f t="shared" si="23"/>
        <v>1.0088154492544514E-2</v>
      </c>
      <c r="AU55" s="14">
        <f t="shared" si="24"/>
        <v>-8.7443349886955277E-2</v>
      </c>
      <c r="AV55" s="14">
        <f t="shared" si="25"/>
        <v>-4.6689207209266795E-2</v>
      </c>
      <c r="AW55" s="14">
        <f t="shared" si="26"/>
        <v>-5.5144497484294737E-2</v>
      </c>
      <c r="AX55" s="14">
        <f t="shared" si="27"/>
        <v>-0.10075712534950759</v>
      </c>
      <c r="AY55" s="14">
        <f t="shared" si="28"/>
        <v>-9.3913153274298708E-2</v>
      </c>
      <c r="AZ55" s="14">
        <f t="shared" si="29"/>
        <v>-5.1419295559086302E-2</v>
      </c>
    </row>
    <row r="56" spans="2:52" x14ac:dyDescent="0.3">
      <c r="B56" s="13">
        <v>-1.474490979050863E-2</v>
      </c>
      <c r="C56" s="13">
        <v>-4.0246880508593465E-2</v>
      </c>
      <c r="D56" s="13">
        <v>4.5554357328271037E-3</v>
      </c>
      <c r="E56" s="13">
        <v>-1.1270264678046734E-2</v>
      </c>
      <c r="F56" s="13">
        <v>2.4357569235037939E-4</v>
      </c>
      <c r="G56" s="13">
        <v>-1.4771317320312543E-2</v>
      </c>
      <c r="H56" s="13">
        <v>1.9297519717467102E-2</v>
      </c>
      <c r="I56" s="13">
        <v>4.2219618786893023E-2</v>
      </c>
      <c r="J56" s="13">
        <v>3.1843678606241321E-2</v>
      </c>
      <c r="K56" s="13">
        <v>-2.8216723010330868E-3</v>
      </c>
      <c r="L56" s="13">
        <v>3.6459428680057858E-3</v>
      </c>
      <c r="M56" s="13">
        <v>2.0457046989520583E-2</v>
      </c>
      <c r="N56" s="13">
        <v>-1.5844329021151019E-2</v>
      </c>
      <c r="O56" s="13">
        <v>2.7690162463897036E-2</v>
      </c>
      <c r="R56" s="14">
        <f t="shared" si="2"/>
        <v>-1.1795927832406905E-2</v>
      </c>
      <c r="S56" s="14">
        <f t="shared" si="3"/>
        <v>-3.2197504406874772E-2</v>
      </c>
      <c r="T56" s="14">
        <f t="shared" si="4"/>
        <v>5.4665228793925246E-3</v>
      </c>
      <c r="U56" s="14">
        <f t="shared" si="5"/>
        <v>-9.0162117424373873E-3</v>
      </c>
      <c r="V56" s="14">
        <f t="shared" si="6"/>
        <v>2.9229083082045525E-4</v>
      </c>
      <c r="W56" s="14">
        <f t="shared" si="7"/>
        <v>-1.1817053856250035E-2</v>
      </c>
      <c r="X56" s="14">
        <f t="shared" si="8"/>
        <v>2.3157023660960521E-2</v>
      </c>
      <c r="Y56" s="14">
        <f t="shared" si="9"/>
        <v>5.0663542544271627E-2</v>
      </c>
      <c r="Z56" s="14">
        <f t="shared" si="10"/>
        <v>3.8212414327489584E-2</v>
      </c>
      <c r="AA56" s="14">
        <f t="shared" si="11"/>
        <v>-2.2573378408264695E-3</v>
      </c>
      <c r="AB56" s="14">
        <f t="shared" si="12"/>
        <v>4.3751314416069428E-3</v>
      </c>
      <c r="AC56" s="14">
        <f t="shared" si="13"/>
        <v>2.45484563874247E-2</v>
      </c>
      <c r="AD56" s="14">
        <f t="shared" si="14"/>
        <v>-1.2675463216920816E-2</v>
      </c>
      <c r="AE56" s="14">
        <f t="shared" si="15"/>
        <v>3.3228194956676442E-2</v>
      </c>
      <c r="AM56" s="14">
        <f t="shared" si="16"/>
        <v>-1.9602044252938919E-2</v>
      </c>
      <c r="AN56" s="14">
        <f t="shared" si="17"/>
        <v>-5.2994210926694776E-2</v>
      </c>
      <c r="AO56" s="14">
        <f t="shared" si="18"/>
        <v>-2.4114134602369148E-3</v>
      </c>
      <c r="AP56" s="14">
        <f t="shared" si="19"/>
        <v>-1.8850719781968797E-2</v>
      </c>
      <c r="AQ56" s="14">
        <f t="shared" si="20"/>
        <v>-1.3530648632943044E-2</v>
      </c>
      <c r="AR56" s="14">
        <f t="shared" si="21"/>
        <v>-2.0329658685887389E-2</v>
      </c>
      <c r="AS56" s="14">
        <f t="shared" si="22"/>
        <v>1.0344020666120923E-2</v>
      </c>
      <c r="AT56" s="14">
        <f t="shared" si="23"/>
        <v>4.5267611233726801E-2</v>
      </c>
      <c r="AU56" s="14">
        <f t="shared" si="24"/>
        <v>2.2088921750731749E-2</v>
      </c>
      <c r="AV56" s="14">
        <f t="shared" si="25"/>
        <v>-2.4308726050960926E-2</v>
      </c>
      <c r="AW56" s="14">
        <f t="shared" si="26"/>
        <v>-8.7126564352174429E-3</v>
      </c>
      <c r="AX56" s="14">
        <f t="shared" si="27"/>
        <v>-2.1603962493911798E-3</v>
      </c>
      <c r="AY56" s="14">
        <f t="shared" si="28"/>
        <v>-2.394639470500072E-2</v>
      </c>
      <c r="AZ56" s="14">
        <f t="shared" si="29"/>
        <v>2.8614142959955999E-2</v>
      </c>
    </row>
    <row r="57" spans="2:52" x14ac:dyDescent="0.3">
      <c r="B57" s="13">
        <v>-2.3887508950750916E-3</v>
      </c>
      <c r="C57" s="13">
        <v>1.6966813527005006E-2</v>
      </c>
      <c r="D57" s="13">
        <v>-6.4099399263079671E-2</v>
      </c>
      <c r="E57" s="13">
        <v>-1.0138493176598472E-2</v>
      </c>
      <c r="F57" s="13">
        <v>-8.5728049011752461E-2</v>
      </c>
      <c r="G57" s="13">
        <v>2.4460297570160671E-2</v>
      </c>
      <c r="H57" s="13">
        <v>7.7367214984117111E-2</v>
      </c>
      <c r="I57" s="13">
        <v>2.9721505281738586E-2</v>
      </c>
      <c r="J57" s="13">
        <v>-0.10579327673297252</v>
      </c>
      <c r="K57" s="13">
        <v>-6.207382059259043E-2</v>
      </c>
      <c r="L57" s="13">
        <v>6.5346928618945505E-2</v>
      </c>
      <c r="M57" s="13">
        <v>-3.1201273362435225E-3</v>
      </c>
      <c r="N57" s="13">
        <v>6.8829057906439312E-2</v>
      </c>
      <c r="O57" s="13">
        <v>2.5793779722769132E-2</v>
      </c>
      <c r="R57" s="14">
        <f t="shared" si="2"/>
        <v>-1.9110007160600734E-3</v>
      </c>
      <c r="S57" s="14">
        <f t="shared" si="3"/>
        <v>2.0360176232406008E-2</v>
      </c>
      <c r="T57" s="14">
        <f t="shared" si="4"/>
        <v>-5.1279519410463742E-2</v>
      </c>
      <c r="U57" s="14">
        <f t="shared" si="5"/>
        <v>-8.110794541278778E-3</v>
      </c>
      <c r="V57" s="14">
        <f t="shared" si="6"/>
        <v>-6.8582439209401977E-2</v>
      </c>
      <c r="W57" s="14">
        <f t="shared" si="7"/>
        <v>2.9352357084192805E-2</v>
      </c>
      <c r="X57" s="14">
        <f t="shared" si="8"/>
        <v>9.284065798094053E-2</v>
      </c>
      <c r="Y57" s="14">
        <f t="shared" si="9"/>
        <v>3.5665806338086303E-2</v>
      </c>
      <c r="Z57" s="14">
        <f t="shared" si="10"/>
        <v>-8.463462138637802E-2</v>
      </c>
      <c r="AA57" s="14">
        <f t="shared" si="11"/>
        <v>-4.9659056474072344E-2</v>
      </c>
      <c r="AB57" s="14">
        <f t="shared" si="12"/>
        <v>7.8416314342734605E-2</v>
      </c>
      <c r="AC57" s="14">
        <f t="shared" si="13"/>
        <v>-2.4961018689948181E-3</v>
      </c>
      <c r="AD57" s="14">
        <f t="shared" si="14"/>
        <v>8.2594869487727166E-2</v>
      </c>
      <c r="AE57" s="14">
        <f t="shared" si="15"/>
        <v>3.0952535667322957E-2</v>
      </c>
      <c r="AM57" s="14">
        <f t="shared" si="16"/>
        <v>-9.7171171365920857E-3</v>
      </c>
      <c r="AN57" s="14">
        <f t="shared" si="17"/>
        <v>-4.365302874139998E-4</v>
      </c>
      <c r="AO57" s="14">
        <f t="shared" si="18"/>
        <v>-5.915745575009318E-2</v>
      </c>
      <c r="AP57" s="14">
        <f t="shared" si="19"/>
        <v>-1.7945302580810188E-2</v>
      </c>
      <c r="AQ57" s="14">
        <f t="shared" si="20"/>
        <v>-8.2405378673165469E-2</v>
      </c>
      <c r="AR57" s="14">
        <f t="shared" si="21"/>
        <v>2.0839752254555449E-2</v>
      </c>
      <c r="AS57" s="14">
        <f t="shared" si="22"/>
        <v>8.0027654986100927E-2</v>
      </c>
      <c r="AT57" s="14">
        <f t="shared" si="23"/>
        <v>3.0269875027541478E-2</v>
      </c>
      <c r="AU57" s="14">
        <f t="shared" si="24"/>
        <v>-0.10075811396313586</v>
      </c>
      <c r="AV57" s="14">
        <f t="shared" si="25"/>
        <v>-7.1710444684206801E-2</v>
      </c>
      <c r="AW57" s="14">
        <f t="shared" si="26"/>
        <v>6.5328526465910225E-2</v>
      </c>
      <c r="AX57" s="14">
        <f t="shared" si="27"/>
        <v>-2.9204954505810697E-2</v>
      </c>
      <c r="AY57" s="14">
        <f t="shared" si="28"/>
        <v>7.1323937999647258E-2</v>
      </c>
      <c r="AZ57" s="14">
        <f t="shared" si="29"/>
        <v>2.6338483670602514E-2</v>
      </c>
    </row>
    <row r="58" spans="2:52" x14ac:dyDescent="0.3">
      <c r="B58" s="13">
        <v>3.8888325538782118E-2</v>
      </c>
      <c r="C58" s="13">
        <v>0.12864058263941455</v>
      </c>
      <c r="D58" s="13">
        <v>6.1636189584282457E-2</v>
      </c>
      <c r="E58" s="13">
        <v>5.3283526895069606E-2</v>
      </c>
      <c r="F58" s="13">
        <v>7.9375718831081049E-2</v>
      </c>
      <c r="G58" s="13">
        <v>0.13091412297681432</v>
      </c>
      <c r="H58" s="13">
        <v>5.2146644993436325E-2</v>
      </c>
      <c r="I58" s="13">
        <v>6.1007348108023766E-2</v>
      </c>
      <c r="J58" s="13">
        <v>4.9533935122276627E-2</v>
      </c>
      <c r="K58" s="13">
        <v>0.40726745164202471</v>
      </c>
      <c r="L58" s="13">
        <v>0.10899028370840508</v>
      </c>
      <c r="M58" s="13">
        <v>8.3881483980702026E-2</v>
      </c>
      <c r="N58" s="13">
        <v>0.1532328275370293</v>
      </c>
      <c r="O58" s="13">
        <v>-2.8776978615869891E-4</v>
      </c>
      <c r="R58" s="14">
        <f t="shared" si="2"/>
        <v>4.6665990646538542E-2</v>
      </c>
      <c r="S58" s="14">
        <f t="shared" si="3"/>
        <v>0.15436869916729745</v>
      </c>
      <c r="T58" s="14">
        <f t="shared" si="4"/>
        <v>7.3963427501138948E-2</v>
      </c>
      <c r="U58" s="14">
        <f t="shared" si="5"/>
        <v>6.3940232274083519E-2</v>
      </c>
      <c r="V58" s="14">
        <f t="shared" si="6"/>
        <v>9.5250862597297259E-2</v>
      </c>
      <c r="W58" s="14">
        <f t="shared" si="7"/>
        <v>0.15709694757217718</v>
      </c>
      <c r="X58" s="14">
        <f t="shared" si="8"/>
        <v>6.2575973992123585E-2</v>
      </c>
      <c r="Y58" s="14">
        <f t="shared" si="9"/>
        <v>7.320881772962852E-2</v>
      </c>
      <c r="Z58" s="14">
        <f t="shared" si="10"/>
        <v>5.9440722146731947E-2</v>
      </c>
      <c r="AA58" s="14">
        <f t="shared" si="11"/>
        <v>0.48872094197042965</v>
      </c>
      <c r="AB58" s="14">
        <f t="shared" si="12"/>
        <v>0.13078834045008608</v>
      </c>
      <c r="AC58" s="14">
        <f t="shared" si="13"/>
        <v>0.10065778077684243</v>
      </c>
      <c r="AD58" s="14">
        <f t="shared" si="14"/>
        <v>0.18387939304443515</v>
      </c>
      <c r="AE58" s="14">
        <f t="shared" si="15"/>
        <v>-2.3021582892695914E-4</v>
      </c>
      <c r="AM58" s="14">
        <f t="shared" si="16"/>
        <v>3.8859874226006529E-2</v>
      </c>
      <c r="AN58" s="14">
        <f t="shared" si="17"/>
        <v>0.13357199264747743</v>
      </c>
      <c r="AO58" s="14">
        <f t="shared" si="18"/>
        <v>6.608549116150951E-2</v>
      </c>
      <c r="AP58" s="14">
        <f t="shared" si="19"/>
        <v>5.4105724234552108E-2</v>
      </c>
      <c r="AQ58" s="14">
        <f t="shared" si="20"/>
        <v>8.1427923133533753E-2</v>
      </c>
      <c r="AR58" s="14">
        <f t="shared" si="21"/>
        <v>0.14858434274253982</v>
      </c>
      <c r="AS58" s="14">
        <f t="shared" si="22"/>
        <v>4.9762970997283988E-2</v>
      </c>
      <c r="AT58" s="14">
        <f t="shared" si="23"/>
        <v>6.7812886419083701E-2</v>
      </c>
      <c r="AU58" s="14">
        <f t="shared" si="24"/>
        <v>4.3317229569974108E-2</v>
      </c>
      <c r="AV58" s="14">
        <f t="shared" si="25"/>
        <v>0.46666955376029517</v>
      </c>
      <c r="AW58" s="14">
        <f t="shared" si="26"/>
        <v>0.1177005525732617</v>
      </c>
      <c r="AX58" s="14">
        <f t="shared" si="27"/>
        <v>7.3948928140026543E-2</v>
      </c>
      <c r="AY58" s="14">
        <f t="shared" si="28"/>
        <v>0.17260846155635526</v>
      </c>
      <c r="AZ58" s="14">
        <f t="shared" si="29"/>
        <v>-4.8442678256474013E-3</v>
      </c>
    </row>
    <row r="59" spans="2:52" x14ac:dyDescent="0.3">
      <c r="B59" s="13">
        <v>2.2815793645185652E-2</v>
      </c>
      <c r="C59" s="13">
        <v>5.4129505222835508E-2</v>
      </c>
      <c r="D59" s="13">
        <v>4.1297378538543896E-3</v>
      </c>
      <c r="E59" s="13">
        <v>6.2079464528916953E-2</v>
      </c>
      <c r="F59" s="13">
        <v>8.6207677203143568E-2</v>
      </c>
      <c r="G59" s="13">
        <v>-8.9062368917329719E-3</v>
      </c>
      <c r="H59" s="13">
        <v>1.7297337361659271E-2</v>
      </c>
      <c r="I59" s="13">
        <v>1.9202206983935818E-2</v>
      </c>
      <c r="J59" s="13">
        <v>3.8242562938911366E-2</v>
      </c>
      <c r="K59" s="13">
        <v>9.8615127518294807E-2</v>
      </c>
      <c r="L59" s="13">
        <v>3.0771658666753687E-2</v>
      </c>
      <c r="M59" s="13">
        <v>8.583743691391435E-3</v>
      </c>
      <c r="N59" s="13">
        <v>3.0425755528110342E-2</v>
      </c>
      <c r="O59" s="13">
        <v>1.4389524451046968E-4</v>
      </c>
      <c r="R59" s="14">
        <f t="shared" si="2"/>
        <v>2.7378952374222783E-2</v>
      </c>
      <c r="S59" s="14">
        <f t="shared" si="3"/>
        <v>6.4955406267402607E-2</v>
      </c>
      <c r="T59" s="14">
        <f t="shared" si="4"/>
        <v>4.9556854246252677E-3</v>
      </c>
      <c r="U59" s="14">
        <f t="shared" si="5"/>
        <v>7.4495357434700343E-2</v>
      </c>
      <c r="V59" s="14">
        <f t="shared" si="6"/>
        <v>0.10344921264377228</v>
      </c>
      <c r="W59" s="14">
        <f t="shared" si="7"/>
        <v>-7.1249895133863777E-3</v>
      </c>
      <c r="X59" s="14">
        <f t="shared" si="8"/>
        <v>2.0756804833991126E-2</v>
      </c>
      <c r="Y59" s="14">
        <f t="shared" si="9"/>
        <v>2.304264838072298E-2</v>
      </c>
      <c r="Z59" s="14">
        <f t="shared" si="10"/>
        <v>4.5891075526693637E-2</v>
      </c>
      <c r="AA59" s="14">
        <f t="shared" si="11"/>
        <v>0.11833815302195376</v>
      </c>
      <c r="AB59" s="14">
        <f t="shared" si="12"/>
        <v>3.6925990400104421E-2</v>
      </c>
      <c r="AC59" s="14">
        <f t="shared" si="13"/>
        <v>1.0300492429669721E-2</v>
      </c>
      <c r="AD59" s="14">
        <f t="shared" si="14"/>
        <v>3.651090663373241E-2</v>
      </c>
      <c r="AE59" s="14">
        <f t="shared" si="15"/>
        <v>1.7267429341256361E-4</v>
      </c>
      <c r="AM59" s="14">
        <f t="shared" si="16"/>
        <v>1.9572835953690769E-2</v>
      </c>
      <c r="AN59" s="14">
        <f t="shared" si="17"/>
        <v>4.4158699747582603E-2</v>
      </c>
      <c r="AO59" s="14">
        <f t="shared" si="18"/>
        <v>-2.9222509150041718E-3</v>
      </c>
      <c r="AP59" s="14">
        <f t="shared" si="19"/>
        <v>6.4660849395168932E-2</v>
      </c>
      <c r="AQ59" s="14">
        <f t="shared" si="20"/>
        <v>8.9626273180008792E-2</v>
      </c>
      <c r="AR59" s="14">
        <f t="shared" si="21"/>
        <v>-1.5637594343023732E-2</v>
      </c>
      <c r="AS59" s="14">
        <f t="shared" si="22"/>
        <v>7.9438018391515281E-3</v>
      </c>
      <c r="AT59" s="14">
        <f t="shared" si="23"/>
        <v>1.7646717070178154E-2</v>
      </c>
      <c r="AU59" s="14">
        <f t="shared" si="24"/>
        <v>2.9767582949935801E-2</v>
      </c>
      <c r="AV59" s="14">
        <f t="shared" si="25"/>
        <v>9.6286764811819303E-2</v>
      </c>
      <c r="AW59" s="14">
        <f t="shared" si="26"/>
        <v>2.3838202523280033E-2</v>
      </c>
      <c r="AX59" s="14">
        <f t="shared" si="27"/>
        <v>-1.6408360207146158E-2</v>
      </c>
      <c r="AY59" s="14">
        <f t="shared" si="28"/>
        <v>2.5239975145652502E-2</v>
      </c>
      <c r="AZ59" s="14">
        <f t="shared" si="29"/>
        <v>-4.4413777033078788E-3</v>
      </c>
    </row>
    <row r="60" spans="2:52" x14ac:dyDescent="0.3">
      <c r="B60" s="13">
        <v>5.6815842496116861E-2</v>
      </c>
      <c r="C60" s="13">
        <v>0.13212906453045875</v>
      </c>
      <c r="D60" s="13">
        <v>3.2518529301884452E-2</v>
      </c>
      <c r="E60" s="13">
        <v>1.3678717761870626E-2</v>
      </c>
      <c r="F60" s="13">
        <v>0.28771954739042016</v>
      </c>
      <c r="G60" s="13">
        <v>5.0038008130668971E-2</v>
      </c>
      <c r="H60" s="13">
        <v>8.5036262778510632E-2</v>
      </c>
      <c r="I60" s="13">
        <v>8.809520718451723E-2</v>
      </c>
      <c r="J60" s="13">
        <v>9.0489643263259416E-3</v>
      </c>
      <c r="K60" s="13">
        <v>0.10668306347590452</v>
      </c>
      <c r="L60" s="13">
        <v>0</v>
      </c>
      <c r="M60" s="13">
        <v>7.2784345223213615E-2</v>
      </c>
      <c r="N60" s="13">
        <v>6.7349988048677811E-2</v>
      </c>
      <c r="O60" s="13">
        <v>6.4763316013194766E-2</v>
      </c>
      <c r="R60" s="14">
        <f t="shared" si="2"/>
        <v>6.8179010995340225E-2</v>
      </c>
      <c r="S60" s="14">
        <f t="shared" si="3"/>
        <v>0.1585548774365505</v>
      </c>
      <c r="T60" s="14">
        <f t="shared" si="4"/>
        <v>3.9022235162261339E-2</v>
      </c>
      <c r="U60" s="14">
        <f t="shared" si="5"/>
        <v>1.641446131424475E-2</v>
      </c>
      <c r="V60" s="14">
        <f t="shared" si="6"/>
        <v>0.34526345686850418</v>
      </c>
      <c r="W60" s="14">
        <f t="shared" si="7"/>
        <v>6.0045609756802759E-2</v>
      </c>
      <c r="X60" s="14">
        <f t="shared" si="8"/>
        <v>0.10204351533421276</v>
      </c>
      <c r="Y60" s="14">
        <f t="shared" si="9"/>
        <v>0.10571424862142068</v>
      </c>
      <c r="Z60" s="14">
        <f t="shared" si="10"/>
        <v>1.085875719159113E-2</v>
      </c>
      <c r="AA60" s="14">
        <f t="shared" si="11"/>
        <v>0.12801967617108542</v>
      </c>
      <c r="AB60" s="14">
        <f t="shared" si="12"/>
        <v>0</v>
      </c>
      <c r="AC60" s="14">
        <f t="shared" si="13"/>
        <v>8.7341214267856335E-2</v>
      </c>
      <c r="AD60" s="14">
        <f t="shared" si="14"/>
        <v>8.0819985658413376E-2</v>
      </c>
      <c r="AE60" s="14">
        <f t="shared" si="15"/>
        <v>7.7715979215833716E-2</v>
      </c>
      <c r="AM60" s="14">
        <f t="shared" si="16"/>
        <v>6.0372894574808211E-2</v>
      </c>
      <c r="AN60" s="14">
        <f t="shared" si="17"/>
        <v>0.13775817091673048</v>
      </c>
      <c r="AO60" s="14">
        <f t="shared" si="18"/>
        <v>3.1144298822631901E-2</v>
      </c>
      <c r="AP60" s="14">
        <f t="shared" si="19"/>
        <v>6.5799532747133401E-3</v>
      </c>
      <c r="AQ60" s="14">
        <f t="shared" si="20"/>
        <v>0.33144051740474068</v>
      </c>
      <c r="AR60" s="14">
        <f t="shared" si="21"/>
        <v>5.1533004927165407E-2</v>
      </c>
      <c r="AS60" s="14">
        <f t="shared" si="22"/>
        <v>8.9230512339373153E-2</v>
      </c>
      <c r="AT60" s="14">
        <f t="shared" si="23"/>
        <v>0.10031831731087586</v>
      </c>
      <c r="AU60" s="14">
        <f t="shared" si="24"/>
        <v>-5.2647353851667054E-3</v>
      </c>
      <c r="AV60" s="14">
        <f t="shared" si="25"/>
        <v>0.10596828796095097</v>
      </c>
      <c r="AW60" s="14">
        <f t="shared" si="26"/>
        <v>-1.3087787876824386E-2</v>
      </c>
      <c r="AX60" s="14">
        <f t="shared" si="27"/>
        <v>6.0632361631040452E-2</v>
      </c>
      <c r="AY60" s="14">
        <f t="shared" si="28"/>
        <v>6.9549054170333469E-2</v>
      </c>
      <c r="AZ60" s="14">
        <f t="shared" si="29"/>
        <v>7.310192721911328E-2</v>
      </c>
    </row>
    <row r="61" spans="2:52" x14ac:dyDescent="0.3">
      <c r="B61" s="13">
        <v>5.7067041658145766E-2</v>
      </c>
      <c r="C61" s="13">
        <v>3.5700848799698925E-2</v>
      </c>
      <c r="D61" s="13">
        <v>4.0241555304965045E-2</v>
      </c>
      <c r="E61" s="13">
        <v>5.301265673680166E-2</v>
      </c>
      <c r="F61" s="13">
        <v>6.5697208790246764E-2</v>
      </c>
      <c r="G61" s="13">
        <v>1.1185254969377046E-2</v>
      </c>
      <c r="H61" s="13">
        <v>0.20642355414654248</v>
      </c>
      <c r="I61" s="13">
        <v>8.2154729533910932E-3</v>
      </c>
      <c r="J61" s="13">
        <v>8.4580698081560671E-2</v>
      </c>
      <c r="K61" s="13">
        <v>0.19562145474229037</v>
      </c>
      <c r="L61" s="13">
        <v>8.6105169406091656E-2</v>
      </c>
      <c r="M61" s="13">
        <v>0.10787391072392331</v>
      </c>
      <c r="N61" s="13">
        <v>0.11452609191861425</v>
      </c>
      <c r="O61" s="13">
        <v>7.0169971195603378E-2</v>
      </c>
      <c r="R61" s="14">
        <f t="shared" si="2"/>
        <v>6.8480449989774914E-2</v>
      </c>
      <c r="S61" s="14">
        <f t="shared" si="3"/>
        <v>4.2841018559638712E-2</v>
      </c>
      <c r="T61" s="14">
        <f t="shared" si="4"/>
        <v>4.8289866365958049E-2</v>
      </c>
      <c r="U61" s="14">
        <f t="shared" si="5"/>
        <v>6.3615188084161986E-2</v>
      </c>
      <c r="V61" s="14">
        <f t="shared" si="6"/>
        <v>7.8836650548296111E-2</v>
      </c>
      <c r="W61" s="14">
        <f t="shared" si="7"/>
        <v>1.3422305963252454E-2</v>
      </c>
      <c r="X61" s="14">
        <f t="shared" si="8"/>
        <v>0.24770826497585097</v>
      </c>
      <c r="Y61" s="14">
        <f t="shared" si="9"/>
        <v>9.8585675440693108E-3</v>
      </c>
      <c r="Z61" s="14">
        <f t="shared" si="10"/>
        <v>0.10149683769787281</v>
      </c>
      <c r="AA61" s="14">
        <f t="shared" si="11"/>
        <v>0.23474574569074844</v>
      </c>
      <c r="AB61" s="14">
        <f t="shared" si="12"/>
        <v>0.10332620328730999</v>
      </c>
      <c r="AC61" s="14">
        <f t="shared" si="13"/>
        <v>0.12944869286870797</v>
      </c>
      <c r="AD61" s="14">
        <f t="shared" si="14"/>
        <v>0.1374313103023371</v>
      </c>
      <c r="AE61" s="14">
        <f t="shared" si="15"/>
        <v>8.4203965434724054E-2</v>
      </c>
      <c r="AM61" s="14">
        <f t="shared" si="16"/>
        <v>6.06743335692429E-2</v>
      </c>
      <c r="AN61" s="14">
        <f t="shared" si="17"/>
        <v>2.2044312039818704E-2</v>
      </c>
      <c r="AO61" s="14">
        <f t="shared" si="18"/>
        <v>4.0411930026328612E-2</v>
      </c>
      <c r="AP61" s="14">
        <f t="shared" si="19"/>
        <v>5.3780680044630574E-2</v>
      </c>
      <c r="AQ61" s="14">
        <f t="shared" si="20"/>
        <v>6.5013711084532605E-2</v>
      </c>
      <c r="AR61" s="14">
        <f t="shared" si="21"/>
        <v>4.9097011336151006E-3</v>
      </c>
      <c r="AS61" s="14">
        <f t="shared" si="22"/>
        <v>0.23489526198101138</v>
      </c>
      <c r="AT61" s="14">
        <f t="shared" si="23"/>
        <v>4.4626362335244861E-3</v>
      </c>
      <c r="AU61" s="14">
        <f t="shared" si="24"/>
        <v>8.5373345121114969E-2</v>
      </c>
      <c r="AV61" s="14">
        <f t="shared" si="25"/>
        <v>0.21269435748061399</v>
      </c>
      <c r="AW61" s="14">
        <f t="shared" si="26"/>
        <v>9.0238415410485606E-2</v>
      </c>
      <c r="AX61" s="14">
        <f t="shared" si="27"/>
        <v>0.10273984023189209</v>
      </c>
      <c r="AY61" s="14">
        <f t="shared" si="28"/>
        <v>0.12616037881425721</v>
      </c>
      <c r="AZ61" s="14">
        <f t="shared" si="29"/>
        <v>7.9589913438003618E-2</v>
      </c>
    </row>
    <row r="62" spans="2:52" x14ac:dyDescent="0.3">
      <c r="B62" s="13">
        <v>-2.2848036550102476E-2</v>
      </c>
      <c r="C62" s="13">
        <v>7.5543324317811356E-3</v>
      </c>
      <c r="D62" s="13">
        <v>1.8218933313053354E-2</v>
      </c>
      <c r="E62" s="13">
        <v>-0.1025226129526529</v>
      </c>
      <c r="F62" s="13">
        <v>3.5726393691704751E-2</v>
      </c>
      <c r="G62" s="13">
        <v>-5.7528298411728004E-2</v>
      </c>
      <c r="H62" s="13">
        <v>-6.8675087244461044E-2</v>
      </c>
      <c r="I62" s="13">
        <v>-3.2335380642936347E-2</v>
      </c>
      <c r="J62" s="13">
        <v>-4.1350489203568257E-2</v>
      </c>
      <c r="K62" s="13">
        <v>-0.26791360116712815</v>
      </c>
      <c r="L62" s="13">
        <v>3.5914232238373214E-2</v>
      </c>
      <c r="M62" s="13">
        <v>-0.1131860082088133</v>
      </c>
      <c r="N62" s="13">
        <v>-0.13507846487193556</v>
      </c>
      <c r="O62" s="13">
        <v>-6.93611277975026E-2</v>
      </c>
      <c r="R62" s="14">
        <f t="shared" si="2"/>
        <v>-1.8278429240081981E-2</v>
      </c>
      <c r="S62" s="14">
        <f t="shared" si="3"/>
        <v>9.065198918137363E-3</v>
      </c>
      <c r="T62" s="14">
        <f t="shared" si="4"/>
        <v>2.1862719975664024E-2</v>
      </c>
      <c r="U62" s="14">
        <f t="shared" si="5"/>
        <v>-8.201809036212232E-2</v>
      </c>
      <c r="V62" s="14">
        <f t="shared" si="6"/>
        <v>4.28716724300457E-2</v>
      </c>
      <c r="W62" s="14">
        <f t="shared" si="7"/>
        <v>-4.6022638729382406E-2</v>
      </c>
      <c r="X62" s="14">
        <f t="shared" si="8"/>
        <v>-5.4940069795568841E-2</v>
      </c>
      <c r="Y62" s="14">
        <f t="shared" si="9"/>
        <v>-2.5868304514349079E-2</v>
      </c>
      <c r="Z62" s="14">
        <f t="shared" si="10"/>
        <v>-3.3080391362854608E-2</v>
      </c>
      <c r="AA62" s="14">
        <f t="shared" si="11"/>
        <v>-0.21433088093370253</v>
      </c>
      <c r="AB62" s="14">
        <f t="shared" si="12"/>
        <v>4.3097078686047854E-2</v>
      </c>
      <c r="AC62" s="14">
        <f t="shared" si="13"/>
        <v>-9.0548806567050652E-2</v>
      </c>
      <c r="AD62" s="14">
        <f t="shared" si="14"/>
        <v>-0.10806277189754845</v>
      </c>
      <c r="AE62" s="14">
        <f t="shared" si="15"/>
        <v>-5.5488902238002083E-2</v>
      </c>
      <c r="AM62" s="14">
        <f t="shared" si="16"/>
        <v>-2.6084545660613995E-2</v>
      </c>
      <c r="AN62" s="14">
        <f t="shared" si="17"/>
        <v>-1.1731507601682645E-2</v>
      </c>
      <c r="AO62" s="14">
        <f t="shared" si="18"/>
        <v>1.3984783636034585E-2</v>
      </c>
      <c r="AP62" s="14">
        <f t="shared" si="19"/>
        <v>-9.1852598401653732E-2</v>
      </c>
      <c r="AQ62" s="14">
        <f t="shared" si="20"/>
        <v>2.9048732966282201E-2</v>
      </c>
      <c r="AR62" s="14">
        <f t="shared" si="21"/>
        <v>-5.4535243559019758E-2</v>
      </c>
      <c r="AS62" s="14">
        <f t="shared" si="22"/>
        <v>-6.7753072790408445E-2</v>
      </c>
      <c r="AT62" s="14">
        <f t="shared" si="23"/>
        <v>-3.1264235824893905E-2</v>
      </c>
      <c r="AU62" s="14">
        <f t="shared" si="24"/>
        <v>-4.9203883939612447E-2</v>
      </c>
      <c r="AV62" s="14">
        <f t="shared" si="25"/>
        <v>-0.23638226914383698</v>
      </c>
      <c r="AW62" s="14">
        <f t="shared" si="26"/>
        <v>3.0009290809223467E-2</v>
      </c>
      <c r="AX62" s="14">
        <f t="shared" si="27"/>
        <v>-0.11725765920386653</v>
      </c>
      <c r="AY62" s="14">
        <f t="shared" si="28"/>
        <v>-0.11933370338562836</v>
      </c>
      <c r="AZ62" s="14">
        <f t="shared" si="29"/>
        <v>-6.0102954234722526E-2</v>
      </c>
    </row>
    <row r="63" spans="2:52" x14ac:dyDescent="0.3">
      <c r="B63" s="13">
        <v>1.0146351374981075E-2</v>
      </c>
      <c r="C63" s="13">
        <v>6.0961501805123306E-3</v>
      </c>
      <c r="D63" s="13">
        <v>-1.9342072022547188E-2</v>
      </c>
      <c r="E63" s="13">
        <v>-2.3290292128615754E-3</v>
      </c>
      <c r="F63" s="13">
        <v>5.6382157642082369E-2</v>
      </c>
      <c r="G63" s="13">
        <v>-4.2092357204802835E-3</v>
      </c>
      <c r="H63" s="13">
        <v>-7.3192846133796705E-3</v>
      </c>
      <c r="I63" s="13">
        <v>-2.7607655324097157E-2</v>
      </c>
      <c r="J63" s="13">
        <v>4.7408187373111844E-2</v>
      </c>
      <c r="K63" s="13">
        <v>0.13283049895643936</v>
      </c>
      <c r="L63" s="13">
        <v>1.3609591847875994E-2</v>
      </c>
      <c r="M63" s="13">
        <v>0.20296801827895128</v>
      </c>
      <c r="N63" s="13">
        <v>0.2650229101250336</v>
      </c>
      <c r="O63" s="13">
        <v>2.5280750297258178E-2</v>
      </c>
      <c r="R63" s="14">
        <f t="shared" si="2"/>
        <v>1.217562164997729E-2</v>
      </c>
      <c r="S63" s="14">
        <f t="shared" si="3"/>
        <v>7.3153802166147962E-3</v>
      </c>
      <c r="T63" s="14">
        <f t="shared" si="4"/>
        <v>-1.5473657618037751E-2</v>
      </c>
      <c r="U63" s="14">
        <f t="shared" si="5"/>
        <v>-1.8632233702892604E-3</v>
      </c>
      <c r="V63" s="14">
        <f t="shared" si="6"/>
        <v>6.7658589170498842E-2</v>
      </c>
      <c r="W63" s="14">
        <f t="shared" si="7"/>
        <v>-3.367388576384227E-3</v>
      </c>
      <c r="X63" s="14">
        <f t="shared" si="8"/>
        <v>-5.8554276907037371E-3</v>
      </c>
      <c r="Y63" s="14">
        <f t="shared" si="9"/>
        <v>-2.2086124259277726E-2</v>
      </c>
      <c r="Z63" s="14">
        <f t="shared" si="10"/>
        <v>5.6889824847734208E-2</v>
      </c>
      <c r="AA63" s="14">
        <f t="shared" si="11"/>
        <v>0.15939659874772724</v>
      </c>
      <c r="AB63" s="14">
        <f t="shared" si="12"/>
        <v>1.6331510217451193E-2</v>
      </c>
      <c r="AC63" s="14">
        <f t="shared" si="13"/>
        <v>0.24356162193474151</v>
      </c>
      <c r="AD63" s="14">
        <f t="shared" si="14"/>
        <v>0.31802749215004028</v>
      </c>
      <c r="AE63" s="14">
        <f t="shared" si="15"/>
        <v>3.0336900356709811E-2</v>
      </c>
      <c r="AM63" s="14">
        <f t="shared" si="16"/>
        <v>4.3695052294452771E-3</v>
      </c>
      <c r="AN63" s="14">
        <f t="shared" si="17"/>
        <v>-1.3481326303205213E-2</v>
      </c>
      <c r="AO63" s="14">
        <f t="shared" si="18"/>
        <v>-2.3351593957667192E-2</v>
      </c>
      <c r="AP63" s="14">
        <f t="shared" si="19"/>
        <v>-1.169773140982067E-2</v>
      </c>
      <c r="AQ63" s="14">
        <f t="shared" si="20"/>
        <v>5.3835649706735343E-2</v>
      </c>
      <c r="AR63" s="14">
        <f t="shared" si="21"/>
        <v>-1.1879993406021581E-2</v>
      </c>
      <c r="AS63" s="14">
        <f t="shared" si="22"/>
        <v>-1.8668430685543337E-2</v>
      </c>
      <c r="AT63" s="14">
        <f t="shared" si="23"/>
        <v>-2.7482055569822552E-2</v>
      </c>
      <c r="AU63" s="14">
        <f t="shared" si="24"/>
        <v>4.0766332270976369E-2</v>
      </c>
      <c r="AV63" s="14">
        <f t="shared" si="25"/>
        <v>0.1373452105375928</v>
      </c>
      <c r="AW63" s="14">
        <f t="shared" si="26"/>
        <v>3.2437223406268072E-3</v>
      </c>
      <c r="AX63" s="14">
        <f t="shared" si="27"/>
        <v>0.21685276929792563</v>
      </c>
      <c r="AY63" s="14">
        <f t="shared" si="28"/>
        <v>0.30675656066196039</v>
      </c>
      <c r="AZ63" s="14">
        <f t="shared" si="29"/>
        <v>2.5722848359989368E-2</v>
      </c>
    </row>
    <row r="64" spans="2:52" x14ac:dyDescent="0.3">
      <c r="B64" s="13">
        <v>-3.9034562011126053E-2</v>
      </c>
      <c r="C64" s="13">
        <v>8.5100560801935343E-2</v>
      </c>
      <c r="D64" s="13">
        <v>-3.4856075508978498E-2</v>
      </c>
      <c r="E64" s="13">
        <v>-5.6915293671933237E-2</v>
      </c>
      <c r="F64" s="13">
        <v>-5.6432948713023026E-2</v>
      </c>
      <c r="G64" s="13">
        <v>-3.8809275171752096E-2</v>
      </c>
      <c r="H64" s="13">
        <v>-1.4507784971482763E-2</v>
      </c>
      <c r="I64" s="13">
        <v>-5.4549963254065234E-2</v>
      </c>
      <c r="J64" s="13">
        <v>2.617520836402722E-2</v>
      </c>
      <c r="K64" s="13">
        <v>-0.10945888205010861</v>
      </c>
      <c r="L64" s="13">
        <v>-4.0199046037115382E-2</v>
      </c>
      <c r="M64" s="13">
        <v>-0.1285747529845942</v>
      </c>
      <c r="N64" s="13">
        <v>-0.13297257729844117</v>
      </c>
      <c r="O64" s="13">
        <v>-2.9060962710291422E-2</v>
      </c>
      <c r="R64" s="14">
        <f t="shared" si="2"/>
        <v>-3.1227649608900843E-2</v>
      </c>
      <c r="S64" s="14">
        <f t="shared" si="3"/>
        <v>0.10212067296232241</v>
      </c>
      <c r="T64" s="14">
        <f t="shared" si="4"/>
        <v>-2.7884860407182799E-2</v>
      </c>
      <c r="U64" s="14">
        <f t="shared" si="5"/>
        <v>-4.5532234937546594E-2</v>
      </c>
      <c r="V64" s="14">
        <f t="shared" si="6"/>
        <v>-4.5146358970418424E-2</v>
      </c>
      <c r="W64" s="14">
        <f t="shared" si="7"/>
        <v>-3.1047420137401679E-2</v>
      </c>
      <c r="X64" s="14">
        <f t="shared" si="8"/>
        <v>-1.1606227977186211E-2</v>
      </c>
      <c r="Y64" s="14">
        <f t="shared" si="9"/>
        <v>-4.3639970603252191E-2</v>
      </c>
      <c r="Z64" s="14">
        <f t="shared" si="10"/>
        <v>3.1410250036832663E-2</v>
      </c>
      <c r="AA64" s="14">
        <f t="shared" si="11"/>
        <v>-8.7567105640086892E-2</v>
      </c>
      <c r="AB64" s="14">
        <f t="shared" si="12"/>
        <v>-3.2159236829692309E-2</v>
      </c>
      <c r="AC64" s="14">
        <f t="shared" si="13"/>
        <v>-0.10285980238767536</v>
      </c>
      <c r="AD64" s="14">
        <f t="shared" si="14"/>
        <v>-0.10637806183875294</v>
      </c>
      <c r="AE64" s="14">
        <f t="shared" si="15"/>
        <v>-2.3248770168233138E-2</v>
      </c>
      <c r="AM64" s="14">
        <f t="shared" si="16"/>
        <v>-3.9033766029432856E-2</v>
      </c>
      <c r="AN64" s="14">
        <f t="shared" si="17"/>
        <v>8.1323966442502407E-2</v>
      </c>
      <c r="AO64" s="14">
        <f t="shared" si="18"/>
        <v>-3.5762796746812237E-2</v>
      </c>
      <c r="AP64" s="14">
        <f t="shared" si="19"/>
        <v>-5.5366742977078005E-2</v>
      </c>
      <c r="AQ64" s="14">
        <f t="shared" si="20"/>
        <v>-5.8969298434181923E-2</v>
      </c>
      <c r="AR64" s="14">
        <f t="shared" si="21"/>
        <v>-3.9560024967039031E-2</v>
      </c>
      <c r="AS64" s="14">
        <f t="shared" si="22"/>
        <v>-2.4419230972025807E-2</v>
      </c>
      <c r="AT64" s="14">
        <f t="shared" si="23"/>
        <v>-4.9035901913797017E-2</v>
      </c>
      <c r="AU64" s="14">
        <f t="shared" si="24"/>
        <v>1.5286757460074827E-2</v>
      </c>
      <c r="AV64" s="14">
        <f t="shared" si="25"/>
        <v>-0.10961849385022135</v>
      </c>
      <c r="AW64" s="14">
        <f t="shared" si="26"/>
        <v>-4.5247024706516696E-2</v>
      </c>
      <c r="AX64" s="14">
        <f t="shared" si="27"/>
        <v>-0.12956865502449125</v>
      </c>
      <c r="AY64" s="14">
        <f t="shared" si="28"/>
        <v>-0.11764899332683285</v>
      </c>
      <c r="AZ64" s="14">
        <f t="shared" si="29"/>
        <v>-2.7862822164953581E-2</v>
      </c>
    </row>
    <row r="65" spans="2:52" x14ac:dyDescent="0.3">
      <c r="B65" s="13">
        <v>2.9020643426697447E-2</v>
      </c>
      <c r="C65" s="13">
        <v>2.5435877441468496E-2</v>
      </c>
      <c r="D65" s="13">
        <v>2.4064113361180705E-2</v>
      </c>
      <c r="E65" s="13">
        <v>4.9468450747471665E-2</v>
      </c>
      <c r="F65" s="13">
        <v>4.6114557105174838E-3</v>
      </c>
      <c r="G65" s="13">
        <v>1.4862269321241012E-2</v>
      </c>
      <c r="H65" s="13">
        <v>8.3616336949048478E-2</v>
      </c>
      <c r="I65" s="13">
        <v>8.2157618578162478E-2</v>
      </c>
      <c r="J65" s="13">
        <v>7.2035078750732548E-2</v>
      </c>
      <c r="K65" s="13">
        <v>9.881966366165168E-2</v>
      </c>
      <c r="L65" s="13">
        <v>3.4430353950878415E-2</v>
      </c>
      <c r="M65" s="13">
        <v>2.9234725108351043E-2</v>
      </c>
      <c r="N65" s="13">
        <v>4.6316846190878287E-2</v>
      </c>
      <c r="O65" s="13">
        <v>-4.3118465905326142E-2</v>
      </c>
      <c r="R65" s="14">
        <f t="shared" si="2"/>
        <v>3.4824772112036932E-2</v>
      </c>
      <c r="S65" s="14">
        <f t="shared" si="3"/>
        <v>3.0523052929762193E-2</v>
      </c>
      <c r="T65" s="14">
        <f t="shared" si="4"/>
        <v>2.8876936033416845E-2</v>
      </c>
      <c r="U65" s="14">
        <f t="shared" si="5"/>
        <v>5.9362140896965995E-2</v>
      </c>
      <c r="V65" s="14">
        <f t="shared" si="6"/>
        <v>5.5337468526209807E-3</v>
      </c>
      <c r="W65" s="14">
        <f t="shared" si="7"/>
        <v>1.7834723185489215E-2</v>
      </c>
      <c r="X65" s="14">
        <f t="shared" si="8"/>
        <v>0.10033960433885818</v>
      </c>
      <c r="Y65" s="14">
        <f t="shared" si="9"/>
        <v>9.8589142293794965E-2</v>
      </c>
      <c r="Z65" s="14">
        <f t="shared" si="10"/>
        <v>8.6442094500879058E-2</v>
      </c>
      <c r="AA65" s="14">
        <f t="shared" si="11"/>
        <v>0.11858359639398201</v>
      </c>
      <c r="AB65" s="14">
        <f t="shared" si="12"/>
        <v>4.1316424741054097E-2</v>
      </c>
      <c r="AC65" s="14">
        <f t="shared" si="13"/>
        <v>3.5081670130021253E-2</v>
      </c>
      <c r="AD65" s="14">
        <f t="shared" si="14"/>
        <v>5.558021542905394E-2</v>
      </c>
      <c r="AE65" s="14">
        <f t="shared" si="15"/>
        <v>-3.4494772724260915E-2</v>
      </c>
      <c r="AM65" s="14">
        <f t="shared" si="16"/>
        <v>2.7018655691504918E-2</v>
      </c>
      <c r="AN65" s="14">
        <f t="shared" si="17"/>
        <v>9.7263464099421847E-3</v>
      </c>
      <c r="AO65" s="14">
        <f t="shared" si="18"/>
        <v>2.0998999693787407E-2</v>
      </c>
      <c r="AP65" s="14">
        <f t="shared" si="19"/>
        <v>4.9527632857434584E-2</v>
      </c>
      <c r="AQ65" s="14">
        <f t="shared" si="20"/>
        <v>-8.2891926111425193E-3</v>
      </c>
      <c r="AR65" s="14">
        <f t="shared" si="21"/>
        <v>9.3221183558518609E-3</v>
      </c>
      <c r="AS65" s="14">
        <f t="shared" si="22"/>
        <v>8.7526601344018573E-2</v>
      </c>
      <c r="AT65" s="14">
        <f t="shared" si="23"/>
        <v>9.3193210983250147E-2</v>
      </c>
      <c r="AU65" s="14">
        <f t="shared" si="24"/>
        <v>7.0318601924121218E-2</v>
      </c>
      <c r="AV65" s="14">
        <f t="shared" si="25"/>
        <v>9.6532208183847557E-2</v>
      </c>
      <c r="AW65" s="14">
        <f t="shared" si="26"/>
        <v>2.822863686422971E-2</v>
      </c>
      <c r="AX65" s="14">
        <f t="shared" si="27"/>
        <v>8.3728174932053735E-3</v>
      </c>
      <c r="AY65" s="14">
        <f t="shared" si="28"/>
        <v>4.4309283940974033E-2</v>
      </c>
      <c r="AZ65" s="14">
        <f t="shared" si="29"/>
        <v>-3.9108824720981358E-2</v>
      </c>
    </row>
    <row r="66" spans="2:52" x14ac:dyDescent="0.3">
      <c r="B66" s="13">
        <v>-1.689353433549598E-2</v>
      </c>
      <c r="C66" s="13">
        <v>-3.9270944636711401E-2</v>
      </c>
      <c r="D66" s="13">
        <v>-2.6595200869813096E-2</v>
      </c>
      <c r="E66" s="13">
        <v>-3.2779144823407325E-2</v>
      </c>
      <c r="F66" s="13">
        <v>-0.13137414354203655</v>
      </c>
      <c r="G66" s="13">
        <v>-4.4935642434344697E-2</v>
      </c>
      <c r="H66" s="13">
        <v>-3.1475347493217565E-2</v>
      </c>
      <c r="I66" s="13">
        <v>-2.9540023075151044E-2</v>
      </c>
      <c r="J66" s="13">
        <v>-5.1443633904575688E-2</v>
      </c>
      <c r="K66" s="13">
        <v>-0.18826072131576013</v>
      </c>
      <c r="L66" s="13">
        <v>-0.10545694302398748</v>
      </c>
      <c r="M66" s="13">
        <v>-0.12516314295400605</v>
      </c>
      <c r="N66" s="13">
        <v>-8.9702645867953901E-2</v>
      </c>
      <c r="O66" s="13">
        <v>-5.3518171504731864E-2</v>
      </c>
      <c r="R66" s="14">
        <f t="shared" si="2"/>
        <v>-1.3514827468396785E-2</v>
      </c>
      <c r="S66" s="14">
        <f t="shared" si="3"/>
        <v>-3.1416755709369124E-2</v>
      </c>
      <c r="T66" s="14">
        <f t="shared" si="4"/>
        <v>-2.1276160695850477E-2</v>
      </c>
      <c r="U66" s="14">
        <f t="shared" si="5"/>
        <v>-2.6223315858725862E-2</v>
      </c>
      <c r="V66" s="14">
        <f t="shared" si="6"/>
        <v>-0.10509931483362925</v>
      </c>
      <c r="W66" s="14">
        <f t="shared" si="7"/>
        <v>-3.5948513947475759E-2</v>
      </c>
      <c r="X66" s="14">
        <f t="shared" si="8"/>
        <v>-2.5180277994574052E-2</v>
      </c>
      <c r="Y66" s="14">
        <f t="shared" si="9"/>
        <v>-2.3632018460120835E-2</v>
      </c>
      <c r="Z66" s="14">
        <f t="shared" si="10"/>
        <v>-4.1154907123660552E-2</v>
      </c>
      <c r="AA66" s="14">
        <f t="shared" si="11"/>
        <v>-0.15060857705260811</v>
      </c>
      <c r="AB66" s="14">
        <f t="shared" si="12"/>
        <v>-8.4365554419189984E-2</v>
      </c>
      <c r="AC66" s="14">
        <f t="shared" si="13"/>
        <v>-0.10013051436320484</v>
      </c>
      <c r="AD66" s="14">
        <f t="shared" si="14"/>
        <v>-7.1762116694363123E-2</v>
      </c>
      <c r="AE66" s="14">
        <f t="shared" si="15"/>
        <v>-4.2814537203785495E-2</v>
      </c>
      <c r="AM66" s="14">
        <f t="shared" si="16"/>
        <v>-2.1320943888928797E-2</v>
      </c>
      <c r="AN66" s="14">
        <f t="shared" si="17"/>
        <v>-5.2213462229189128E-2</v>
      </c>
      <c r="AO66" s="14">
        <f t="shared" si="18"/>
        <v>-2.9154097035479914E-2</v>
      </c>
      <c r="AP66" s="14">
        <f t="shared" si="19"/>
        <v>-3.605782389825727E-2</v>
      </c>
      <c r="AQ66" s="14">
        <f t="shared" si="20"/>
        <v>-0.11892225429739275</v>
      </c>
      <c r="AR66" s="14">
        <f t="shared" si="21"/>
        <v>-4.4461118777113111E-2</v>
      </c>
      <c r="AS66" s="14">
        <f t="shared" si="22"/>
        <v>-3.7993280989413653E-2</v>
      </c>
      <c r="AT66" s="14">
        <f t="shared" si="23"/>
        <v>-2.9027949770665661E-2</v>
      </c>
      <c r="AU66" s="14">
        <f t="shared" si="24"/>
        <v>-5.7278399700418384E-2</v>
      </c>
      <c r="AV66" s="14">
        <f t="shared" si="25"/>
        <v>-0.17265996526274258</v>
      </c>
      <c r="AW66" s="14">
        <f t="shared" si="26"/>
        <v>-9.7453342296014364E-2</v>
      </c>
      <c r="AX66" s="14">
        <f t="shared" si="27"/>
        <v>-0.12683936700002071</v>
      </c>
      <c r="AY66" s="14">
        <f t="shared" si="28"/>
        <v>-8.3033048182443031E-2</v>
      </c>
      <c r="AZ66" s="14">
        <f t="shared" si="29"/>
        <v>-4.7428589200505938E-2</v>
      </c>
    </row>
    <row r="67" spans="2:52" x14ac:dyDescent="0.3">
      <c r="B67" s="13">
        <v>4.2840158676492227E-2</v>
      </c>
      <c r="C67" s="13">
        <v>0.11346860959264606</v>
      </c>
      <c r="D67" s="13">
        <v>0.11694686099472941</v>
      </c>
      <c r="E67" s="13">
        <v>0.1144550820988957</v>
      </c>
      <c r="F67" s="13">
        <v>3.7847094184185602E-2</v>
      </c>
      <c r="G67" s="13">
        <v>8.6726608867037175E-2</v>
      </c>
      <c r="H67" s="13">
        <v>8.5891964355289424E-2</v>
      </c>
      <c r="I67" s="13">
        <v>3.4223872387577313E-2</v>
      </c>
      <c r="J67" s="13">
        <v>0.10609529408840038</v>
      </c>
      <c r="K67" s="13">
        <v>0.33866188207937581</v>
      </c>
      <c r="L67" s="13">
        <v>2.1307850199024279E-2</v>
      </c>
      <c r="M67" s="13">
        <v>6.9627590645042564E-2</v>
      </c>
      <c r="N67" s="13">
        <v>6.8448187973504424E-2</v>
      </c>
      <c r="O67" s="13">
        <v>3.0374281351768926E-2</v>
      </c>
      <c r="R67" s="14">
        <f t="shared" si="2"/>
        <v>5.140819041179067E-2</v>
      </c>
      <c r="S67" s="14">
        <f t="shared" si="3"/>
        <v>0.13616233151117527</v>
      </c>
      <c r="T67" s="14">
        <f t="shared" si="4"/>
        <v>0.14033623319367527</v>
      </c>
      <c r="U67" s="14">
        <f t="shared" si="5"/>
        <v>0.13734609851867483</v>
      </c>
      <c r="V67" s="14">
        <f t="shared" si="6"/>
        <v>4.5416513021022724E-2</v>
      </c>
      <c r="W67" s="14">
        <f t="shared" si="7"/>
        <v>0.10407193064044461</v>
      </c>
      <c r="X67" s="14">
        <f t="shared" si="8"/>
        <v>0.1030703572263473</v>
      </c>
      <c r="Y67" s="14">
        <f t="shared" si="9"/>
        <v>4.1068646865092776E-2</v>
      </c>
      <c r="Z67" s="14">
        <f t="shared" si="10"/>
        <v>0.12731435290608045</v>
      </c>
      <c r="AA67" s="14">
        <f t="shared" si="11"/>
        <v>0.40639425849525096</v>
      </c>
      <c r="AB67" s="14">
        <f t="shared" si="12"/>
        <v>2.5569420238829136E-2</v>
      </c>
      <c r="AC67" s="14">
        <f t="shared" si="13"/>
        <v>8.3553108774051074E-2</v>
      </c>
      <c r="AD67" s="14">
        <f t="shared" si="14"/>
        <v>8.21378255682053E-2</v>
      </c>
      <c r="AE67" s="14">
        <f t="shared" si="15"/>
        <v>3.6449137622122707E-2</v>
      </c>
      <c r="AM67" s="14">
        <f t="shared" si="16"/>
        <v>4.3602073991258657E-2</v>
      </c>
      <c r="AN67" s="14">
        <f t="shared" si="17"/>
        <v>0.11536562499135526</v>
      </c>
      <c r="AO67" s="14">
        <f t="shared" si="18"/>
        <v>0.13245829685404584</v>
      </c>
      <c r="AP67" s="14">
        <f t="shared" si="19"/>
        <v>0.12751159047914343</v>
      </c>
      <c r="AQ67" s="14">
        <f t="shared" si="20"/>
        <v>3.1593573557259225E-2</v>
      </c>
      <c r="AR67" s="14">
        <f t="shared" si="21"/>
        <v>9.5559325810807255E-2</v>
      </c>
      <c r="AS67" s="14">
        <f t="shared" si="22"/>
        <v>9.02573542315077E-2</v>
      </c>
      <c r="AT67" s="14">
        <f t="shared" si="23"/>
        <v>3.567271555454795E-2</v>
      </c>
      <c r="AU67" s="14">
        <f t="shared" si="24"/>
        <v>0.11119086032932261</v>
      </c>
      <c r="AV67" s="14">
        <f t="shared" si="25"/>
        <v>0.38434287028511649</v>
      </c>
      <c r="AW67" s="14">
        <f t="shared" si="26"/>
        <v>1.248163236200475E-2</v>
      </c>
      <c r="AX67" s="14">
        <f t="shared" si="27"/>
        <v>5.6844256137235191E-2</v>
      </c>
      <c r="AY67" s="14">
        <f t="shared" si="28"/>
        <v>7.0866894080125392E-2</v>
      </c>
      <c r="AZ67" s="14">
        <f t="shared" si="29"/>
        <v>3.1835085625402264E-2</v>
      </c>
    </row>
    <row r="68" spans="2:52" x14ac:dyDescent="0.3">
      <c r="B68" s="13">
        <v>3.3309978881532858E-2</v>
      </c>
      <c r="C68" s="13">
        <v>3.999771396937378E-2</v>
      </c>
      <c r="D68" s="13">
        <v>4.071434195622484E-3</v>
      </c>
      <c r="E68" s="13">
        <v>3.6901704588611098E-2</v>
      </c>
      <c r="F68" s="13">
        <v>5.5500829551021466E-2</v>
      </c>
      <c r="G68" s="13">
        <v>-8.3215418301725696E-3</v>
      </c>
      <c r="H68" s="13">
        <v>5.1801830262426504E-2</v>
      </c>
      <c r="I68" s="13">
        <v>7.7307121776370988E-2</v>
      </c>
      <c r="J68" s="13">
        <v>-1.193998919969365E-2</v>
      </c>
      <c r="K68" s="13">
        <v>-0.10021683634977792</v>
      </c>
      <c r="L68" s="13">
        <v>-3.2947166856043063E-2</v>
      </c>
      <c r="M68" s="13">
        <v>3.9806250400419574E-2</v>
      </c>
      <c r="N68" s="13">
        <v>-6.8281507416405471E-2</v>
      </c>
      <c r="O68" s="13">
        <v>-2.1702967355470984E-3</v>
      </c>
      <c r="R68" s="14">
        <f t="shared" si="2"/>
        <v>3.9971974657839429E-2</v>
      </c>
      <c r="S68" s="14">
        <f t="shared" si="3"/>
        <v>4.7997256763248536E-2</v>
      </c>
      <c r="T68" s="14">
        <f t="shared" si="4"/>
        <v>4.8857210347469805E-3</v>
      </c>
      <c r="U68" s="14">
        <f t="shared" si="5"/>
        <v>4.4282045506333315E-2</v>
      </c>
      <c r="V68" s="14">
        <f t="shared" si="6"/>
        <v>6.6600995461225762E-2</v>
      </c>
      <c r="W68" s="14">
        <f t="shared" si="7"/>
        <v>-6.6572334641380564E-3</v>
      </c>
      <c r="X68" s="14">
        <f t="shared" si="8"/>
        <v>6.2162196314911801E-2</v>
      </c>
      <c r="Y68" s="14">
        <f t="shared" si="9"/>
        <v>9.2768546131645188E-2</v>
      </c>
      <c r="Z68" s="14">
        <f t="shared" si="10"/>
        <v>-9.5519913597549213E-3</v>
      </c>
      <c r="AA68" s="14">
        <f t="shared" si="11"/>
        <v>-8.017346907982234E-2</v>
      </c>
      <c r="AB68" s="14">
        <f t="shared" si="12"/>
        <v>-2.6357733484834452E-2</v>
      </c>
      <c r="AC68" s="14">
        <f t="shared" si="13"/>
        <v>4.7767500480503489E-2</v>
      </c>
      <c r="AD68" s="14">
        <f t="shared" si="14"/>
        <v>-5.4625205933124379E-2</v>
      </c>
      <c r="AE68" s="14">
        <f t="shared" si="15"/>
        <v>-1.7362373884376788E-3</v>
      </c>
      <c r="AM68" s="14">
        <f t="shared" si="16"/>
        <v>3.2165858237307415E-2</v>
      </c>
      <c r="AN68" s="14">
        <f t="shared" si="17"/>
        <v>2.7200550243428528E-2</v>
      </c>
      <c r="AO68" s="14">
        <f t="shared" si="18"/>
        <v>-2.992215304882459E-3</v>
      </c>
      <c r="AP68" s="14">
        <f t="shared" si="19"/>
        <v>3.4447537466801903E-2</v>
      </c>
      <c r="AQ68" s="14">
        <f t="shared" si="20"/>
        <v>5.2778055997462263E-2</v>
      </c>
      <c r="AR68" s="14">
        <f t="shared" si="21"/>
        <v>-1.516983829377541E-2</v>
      </c>
      <c r="AS68" s="14">
        <f t="shared" si="22"/>
        <v>4.9349193320072204E-2</v>
      </c>
      <c r="AT68" s="14">
        <f t="shared" si="23"/>
        <v>8.7372614821100369E-2</v>
      </c>
      <c r="AU68" s="14">
        <f t="shared" si="24"/>
        <v>-2.5675483936512755E-2</v>
      </c>
      <c r="AV68" s="14">
        <f t="shared" si="25"/>
        <v>-0.1022248572899568</v>
      </c>
      <c r="AW68" s="14">
        <f t="shared" si="26"/>
        <v>-3.9445521361658839E-2</v>
      </c>
      <c r="AX68" s="14">
        <f t="shared" si="27"/>
        <v>2.1058647843687609E-2</v>
      </c>
      <c r="AY68" s="14">
        <f t="shared" si="28"/>
        <v>-6.5896137421204287E-2</v>
      </c>
      <c r="AZ68" s="14">
        <f t="shared" si="29"/>
        <v>-6.350289385158121E-3</v>
      </c>
    </row>
    <row r="69" spans="2:52" x14ac:dyDescent="0.3">
      <c r="B69" s="13">
        <v>2.8604133764773904E-2</v>
      </c>
      <c r="C69" s="13">
        <v>3.6660997063171212E-2</v>
      </c>
      <c r="D69" s="13">
        <v>2.7178356447915747E-2</v>
      </c>
      <c r="E69" s="13">
        <v>-1.6350701310460358E-2</v>
      </c>
      <c r="F69" s="13">
        <v>8.5758908017193602E-2</v>
      </c>
      <c r="G69" s="13">
        <v>5.1247435800140018E-2</v>
      </c>
      <c r="H69" s="13">
        <v>2.8378504445995351E-2</v>
      </c>
      <c r="I69" s="13">
        <v>-3.0744626160162832E-2</v>
      </c>
      <c r="J69" s="13">
        <v>4.256594960728359E-2</v>
      </c>
      <c r="K69" s="13">
        <v>-3.8404773939049834E-3</v>
      </c>
      <c r="L69" s="13">
        <v>3.0426686630707935E-2</v>
      </c>
      <c r="M69" s="13">
        <v>3.0032287098875076E-2</v>
      </c>
      <c r="N69" s="13">
        <v>9.2579181293093171E-2</v>
      </c>
      <c r="O69" s="13">
        <v>6.7214543419424247E-2</v>
      </c>
      <c r="R69" s="14">
        <f t="shared" si="2"/>
        <v>3.4324960517728681E-2</v>
      </c>
      <c r="S69" s="14">
        <f t="shared" si="3"/>
        <v>4.3993196475805456E-2</v>
      </c>
      <c r="T69" s="14">
        <f t="shared" si="4"/>
        <v>3.2614027737498892E-2</v>
      </c>
      <c r="U69" s="14">
        <f t="shared" si="5"/>
        <v>-1.3080561048368286E-2</v>
      </c>
      <c r="V69" s="14">
        <f t="shared" si="6"/>
        <v>0.10291068962063232</v>
      </c>
      <c r="W69" s="14">
        <f t="shared" si="7"/>
        <v>6.1496922960168017E-2</v>
      </c>
      <c r="X69" s="14">
        <f t="shared" si="8"/>
        <v>3.4054205335194418E-2</v>
      </c>
      <c r="Y69" s="14">
        <f t="shared" si="9"/>
        <v>-2.4595700928130265E-2</v>
      </c>
      <c r="Z69" s="14">
        <f t="shared" si="10"/>
        <v>5.1079139528740304E-2</v>
      </c>
      <c r="AA69" s="14">
        <f t="shared" si="11"/>
        <v>-3.0723819151239869E-3</v>
      </c>
      <c r="AB69" s="14">
        <f t="shared" si="12"/>
        <v>3.6512023956849521E-2</v>
      </c>
      <c r="AC69" s="14">
        <f t="shared" si="13"/>
        <v>3.6038744518650093E-2</v>
      </c>
      <c r="AD69" s="14">
        <f t="shared" si="14"/>
        <v>0.11109501755171181</v>
      </c>
      <c r="AE69" s="14">
        <f t="shared" si="15"/>
        <v>8.0657452103309088E-2</v>
      </c>
      <c r="AM69" s="14">
        <f t="shared" si="16"/>
        <v>2.6518844097196667E-2</v>
      </c>
      <c r="AN69" s="14">
        <f t="shared" si="17"/>
        <v>2.3196489955985448E-2</v>
      </c>
      <c r="AO69" s="14">
        <f t="shared" si="18"/>
        <v>2.4736091397869454E-2</v>
      </c>
      <c r="AP69" s="14">
        <f t="shared" si="19"/>
        <v>-2.2915069087899698E-2</v>
      </c>
      <c r="AQ69" s="14">
        <f t="shared" si="20"/>
        <v>8.9087750156868817E-2</v>
      </c>
      <c r="AR69" s="14">
        <f t="shared" si="21"/>
        <v>5.2984318130530665E-2</v>
      </c>
      <c r="AS69" s="14">
        <f t="shared" si="22"/>
        <v>2.1241202340354821E-2</v>
      </c>
      <c r="AT69" s="14">
        <f t="shared" si="23"/>
        <v>-2.9991632238675091E-2</v>
      </c>
      <c r="AU69" s="14">
        <f t="shared" si="24"/>
        <v>3.4955646951982472E-2</v>
      </c>
      <c r="AV69" s="14">
        <f t="shared" si="25"/>
        <v>-2.5123770125258443E-2</v>
      </c>
      <c r="AW69" s="14">
        <f t="shared" si="26"/>
        <v>2.3424236080025133E-2</v>
      </c>
      <c r="AX69" s="14">
        <f t="shared" si="27"/>
        <v>9.3298918818342132E-3</v>
      </c>
      <c r="AY69" s="14">
        <f t="shared" si="28"/>
        <v>9.9824086063631898E-2</v>
      </c>
      <c r="AZ69" s="14">
        <f t="shared" si="29"/>
        <v>7.6043400106588652E-2</v>
      </c>
    </row>
    <row r="70" spans="2:52" x14ac:dyDescent="0.3">
      <c r="B70" s="13">
        <v>-1.4564876952733591E-3</v>
      </c>
      <c r="C70" s="13">
        <v>-2.6999086151434488E-2</v>
      </c>
      <c r="D70" s="13">
        <v>1.1381395490146532E-2</v>
      </c>
      <c r="E70" s="13">
        <v>4.4221204388455421E-2</v>
      </c>
      <c r="F70" s="13">
        <v>-0.11425845318279786</v>
      </c>
      <c r="G70" s="13">
        <v>-1.1979690382716714E-2</v>
      </c>
      <c r="H70" s="13">
        <v>1.9438047766150261E-2</v>
      </c>
      <c r="I70" s="13">
        <v>-5.9732958805953196E-2</v>
      </c>
      <c r="J70" s="13">
        <v>-7.1253913258352897E-2</v>
      </c>
      <c r="K70" s="13">
        <v>-9.5103008724666482E-2</v>
      </c>
      <c r="L70" s="13">
        <v>-1.653981725360441E-2</v>
      </c>
      <c r="M70" s="13">
        <v>-4.3537710298682107E-2</v>
      </c>
      <c r="N70" s="13">
        <v>-2.6791440755090049E-2</v>
      </c>
      <c r="O70" s="13">
        <v>-2.7319977669562866E-2</v>
      </c>
      <c r="R70" s="14">
        <f t="shared" si="2"/>
        <v>-1.1651901562186873E-3</v>
      </c>
      <c r="S70" s="14">
        <f t="shared" si="3"/>
        <v>-2.1599268921147594E-2</v>
      </c>
      <c r="T70" s="14">
        <f t="shared" si="4"/>
        <v>1.3657674588175838E-2</v>
      </c>
      <c r="U70" s="14">
        <f t="shared" si="5"/>
        <v>5.3065445266146503E-2</v>
      </c>
      <c r="V70" s="14">
        <f t="shared" si="6"/>
        <v>-9.1406762546238293E-2</v>
      </c>
      <c r="W70" s="14">
        <f t="shared" si="7"/>
        <v>-9.5837523061733723E-3</v>
      </c>
      <c r="X70" s="14">
        <f t="shared" si="8"/>
        <v>2.3325657319380314E-2</v>
      </c>
      <c r="Y70" s="14">
        <f t="shared" si="9"/>
        <v>-4.7786367044762558E-2</v>
      </c>
      <c r="Z70" s="14">
        <f t="shared" si="10"/>
        <v>-5.7003130606682322E-2</v>
      </c>
      <c r="AA70" s="14">
        <f t="shared" si="11"/>
        <v>-7.6082406979733189E-2</v>
      </c>
      <c r="AB70" s="14">
        <f t="shared" si="12"/>
        <v>-1.3231853802883529E-2</v>
      </c>
      <c r="AC70" s="14">
        <f t="shared" si="13"/>
        <v>-3.4830168238945684E-2</v>
      </c>
      <c r="AD70" s="14">
        <f t="shared" si="14"/>
        <v>-2.1433152604072039E-2</v>
      </c>
      <c r="AE70" s="14">
        <f t="shared" si="15"/>
        <v>-2.1855982135650293E-2</v>
      </c>
      <c r="AM70" s="14">
        <f t="shared" si="16"/>
        <v>-8.9713065767507011E-3</v>
      </c>
      <c r="AN70" s="14">
        <f t="shared" si="17"/>
        <v>-4.2395975440967598E-2</v>
      </c>
      <c r="AO70" s="14">
        <f t="shared" si="18"/>
        <v>5.7797382485463983E-3</v>
      </c>
      <c r="AP70" s="14">
        <f t="shared" si="19"/>
        <v>4.3230937226615092E-2</v>
      </c>
      <c r="AQ70" s="14">
        <f t="shared" si="20"/>
        <v>-0.10522970201000179</v>
      </c>
      <c r="AR70" s="14">
        <f t="shared" si="21"/>
        <v>-1.8096357135810724E-2</v>
      </c>
      <c r="AS70" s="14">
        <f t="shared" si="22"/>
        <v>1.0512654324540715E-2</v>
      </c>
      <c r="AT70" s="14">
        <f t="shared" si="23"/>
        <v>-5.3182298355307384E-2</v>
      </c>
      <c r="AU70" s="14">
        <f t="shared" si="24"/>
        <v>-7.3126623183440154E-2</v>
      </c>
      <c r="AV70" s="14">
        <f t="shared" si="25"/>
        <v>-9.8133795189867645E-2</v>
      </c>
      <c r="AW70" s="14">
        <f t="shared" si="26"/>
        <v>-2.6319641679707913E-2</v>
      </c>
      <c r="AX70" s="14">
        <f t="shared" si="27"/>
        <v>-6.153902087576156E-2</v>
      </c>
      <c r="AY70" s="14">
        <f t="shared" si="28"/>
        <v>-3.2704084092151947E-2</v>
      </c>
      <c r="AZ70" s="14">
        <f t="shared" si="29"/>
        <v>-2.6470034132370736E-2</v>
      </c>
    </row>
    <row r="71" spans="2:52" x14ac:dyDescent="0.3">
      <c r="B71" s="13">
        <v>3.3346500722198176E-3</v>
      </c>
      <c r="C71" s="13">
        <v>-1.0409015914735526E-2</v>
      </c>
      <c r="D71" s="13">
        <v>-1.8901798596315203E-2</v>
      </c>
      <c r="E71" s="13">
        <v>4.1419360608964534E-3</v>
      </c>
      <c r="F71" s="13">
        <v>-3.2427174255940426E-4</v>
      </c>
      <c r="G71" s="13">
        <v>4.3994791594848424E-3</v>
      </c>
      <c r="H71" s="13">
        <v>2.463617822634365E-2</v>
      </c>
      <c r="I71" s="13">
        <v>1.223544675883835E-2</v>
      </c>
      <c r="J71" s="13">
        <v>6.0339253390054304E-2</v>
      </c>
      <c r="K71" s="13">
        <v>0.12914761168447714</v>
      </c>
      <c r="L71" s="13">
        <v>9.5755599195721311E-3</v>
      </c>
      <c r="M71" s="13">
        <v>8.5258708877687939E-2</v>
      </c>
      <c r="N71" s="13">
        <v>-3.7524275265143667E-2</v>
      </c>
      <c r="O71" s="13">
        <v>-3.3253859954287368E-2</v>
      </c>
      <c r="R71" s="14">
        <f t="shared" si="2"/>
        <v>4.0015800866637806E-3</v>
      </c>
      <c r="S71" s="14">
        <f t="shared" si="3"/>
        <v>-8.3272127317884203E-3</v>
      </c>
      <c r="T71" s="14">
        <f t="shared" si="4"/>
        <v>-1.5121438877052163E-2</v>
      </c>
      <c r="U71" s="14">
        <f t="shared" si="5"/>
        <v>4.9703232730757439E-3</v>
      </c>
      <c r="V71" s="14">
        <f t="shared" si="6"/>
        <v>-2.5941739404752341E-4</v>
      </c>
      <c r="W71" s="14">
        <f t="shared" si="7"/>
        <v>5.2793749913818107E-3</v>
      </c>
      <c r="X71" s="14">
        <f t="shared" si="8"/>
        <v>2.956341387161238E-2</v>
      </c>
      <c r="Y71" s="14">
        <f t="shared" si="9"/>
        <v>1.468253611060602E-2</v>
      </c>
      <c r="Z71" s="14">
        <f t="shared" si="10"/>
        <v>7.2407104068065165E-2</v>
      </c>
      <c r="AA71" s="14">
        <f t="shared" si="11"/>
        <v>0.15497713402137256</v>
      </c>
      <c r="AB71" s="14">
        <f t="shared" si="12"/>
        <v>1.1490671903486557E-2</v>
      </c>
      <c r="AC71" s="14">
        <f t="shared" si="13"/>
        <v>0.10231045065322553</v>
      </c>
      <c r="AD71" s="14">
        <f t="shared" si="14"/>
        <v>-3.0019420212114935E-2</v>
      </c>
      <c r="AE71" s="14">
        <f t="shared" si="15"/>
        <v>-2.6603087963429896E-2</v>
      </c>
      <c r="AM71" s="14">
        <f t="shared" si="16"/>
        <v>-3.8045363338682324E-3</v>
      </c>
      <c r="AN71" s="14">
        <f t="shared" si="17"/>
        <v>-2.9123919251608427E-2</v>
      </c>
      <c r="AO71" s="14">
        <f t="shared" si="18"/>
        <v>-2.2999375216681602E-2</v>
      </c>
      <c r="AP71" s="14">
        <f t="shared" si="19"/>
        <v>-4.864184766455666E-3</v>
      </c>
      <c r="AQ71" s="14">
        <f t="shared" si="20"/>
        <v>-1.4082356857811023E-2</v>
      </c>
      <c r="AR71" s="14">
        <f t="shared" si="21"/>
        <v>-3.2332298382555429E-3</v>
      </c>
      <c r="AS71" s="14">
        <f t="shared" si="22"/>
        <v>1.675041087677278E-2</v>
      </c>
      <c r="AT71" s="14">
        <f t="shared" si="23"/>
        <v>9.2866048000611948E-3</v>
      </c>
      <c r="AU71" s="14">
        <f t="shared" si="24"/>
        <v>5.6283611491307325E-2</v>
      </c>
      <c r="AV71" s="14">
        <f t="shared" si="25"/>
        <v>0.13292574581123812</v>
      </c>
      <c r="AW71" s="14">
        <f t="shared" si="26"/>
        <v>-1.5971159733378284E-3</v>
      </c>
      <c r="AX71" s="14">
        <f t="shared" si="27"/>
        <v>7.5601598016409643E-2</v>
      </c>
      <c r="AY71" s="14">
        <f t="shared" si="28"/>
        <v>-4.1290351700194843E-2</v>
      </c>
      <c r="AZ71" s="14">
        <f t="shared" si="29"/>
        <v>-3.1217139960150339E-2</v>
      </c>
    </row>
    <row r="72" spans="2:52" x14ac:dyDescent="0.3">
      <c r="B72" s="13">
        <v>-1.1507132663026195E-3</v>
      </c>
      <c r="C72" s="13">
        <v>1.3363227812167158E-2</v>
      </c>
      <c r="D72" s="13">
        <v>-1.328903850053752E-3</v>
      </c>
      <c r="E72" s="13">
        <v>-3.2297001625990855E-2</v>
      </c>
      <c r="F72" s="13">
        <v>-0.11392562019394366</v>
      </c>
      <c r="G72" s="13">
        <v>4.2494577998377372E-2</v>
      </c>
      <c r="H72" s="13">
        <v>-3.9601841351536909E-2</v>
      </c>
      <c r="I72" s="13">
        <v>-6.5724131709824635E-2</v>
      </c>
      <c r="J72" s="13">
        <v>-2.6268206873781192E-2</v>
      </c>
      <c r="K72" s="13">
        <v>-0.16899352023167666</v>
      </c>
      <c r="L72" s="13">
        <v>-2.0864181651143506E-2</v>
      </c>
      <c r="M72" s="13">
        <v>-7.4195289333432543E-2</v>
      </c>
      <c r="N72" s="13">
        <v>-6.1303319351059656E-2</v>
      </c>
      <c r="O72" s="13">
        <v>-8.275621804937458E-2</v>
      </c>
      <c r="R72" s="14">
        <f t="shared" ref="R72:R135" si="30">IF(B72&gt;0,B72*1.2,B72*0.8)</f>
        <v>-9.2057061304209572E-4</v>
      </c>
      <c r="S72" s="14">
        <f t="shared" ref="S72:S135" si="31">IF(C72&gt;0,C72*1.2,C72*0.8)</f>
        <v>1.6035873374600589E-2</v>
      </c>
      <c r="T72" s="14">
        <f t="shared" ref="T72:T135" si="32">IF(D72&gt;0,D72*1.2,D72*0.8)</f>
        <v>-1.0631230800430015E-3</v>
      </c>
      <c r="U72" s="14">
        <f t="shared" ref="U72:U135" si="33">IF(E72&gt;0,E72*1.2,E72*0.8)</f>
        <v>-2.5837601300792684E-2</v>
      </c>
      <c r="V72" s="14">
        <f t="shared" ref="V72:V135" si="34">IF(F72&gt;0,F72*1.2,F72*0.8)</f>
        <v>-9.1140496155154932E-2</v>
      </c>
      <c r="W72" s="14">
        <f t="shared" ref="W72:W135" si="35">IF(G72&gt;0,G72*1.2,G72*0.8)</f>
        <v>5.0993493598052844E-2</v>
      </c>
      <c r="X72" s="14">
        <f t="shared" ref="X72:X135" si="36">IF(H72&gt;0,H72*1.2,H72*0.8)</f>
        <v>-3.1681473081229532E-2</v>
      </c>
      <c r="Y72" s="14">
        <f t="shared" ref="Y72:Y135" si="37">IF(I72&gt;0,I72*1.2,I72*0.8)</f>
        <v>-5.2579305367859708E-2</v>
      </c>
      <c r="Z72" s="14">
        <f t="shared" ref="Z72:Z135" si="38">IF(J72&gt;0,J72*1.2,J72*0.8)</f>
        <v>-2.1014565499024956E-2</v>
      </c>
      <c r="AA72" s="14">
        <f t="shared" ref="AA72:AA135" si="39">IF(K72&gt;0,K72*1.2,K72*0.8)</f>
        <v>-0.13519481618534132</v>
      </c>
      <c r="AB72" s="14">
        <f t="shared" ref="AB72:AB135" si="40">IF(L72&gt;0,L72*1.2,L72*0.8)</f>
        <v>-1.6691345320914805E-2</v>
      </c>
      <c r="AC72" s="14">
        <f t="shared" ref="AC72:AC135" si="41">IF(M72&gt;0,M72*1.2,M72*0.8)</f>
        <v>-5.935623146674604E-2</v>
      </c>
      <c r="AD72" s="14">
        <f t="shared" ref="AD72:AD135" si="42">IF(N72&gt;0,N72*1.2,N72*0.8)</f>
        <v>-4.9042655480847727E-2</v>
      </c>
      <c r="AE72" s="14">
        <f t="shared" ref="AE72:AE135" si="43">IF(O72&gt;0,O72*1.2,O72*0.8)</f>
        <v>-6.6204974439499673E-2</v>
      </c>
      <c r="AM72" s="14">
        <f t="shared" ref="AM72:AM135" si="44">R72-R$204</f>
        <v>-8.7266870335741091E-3</v>
      </c>
      <c r="AN72" s="14">
        <f t="shared" ref="AN72:AN135" si="45">S72-S$204</f>
        <v>-4.7608331452194189E-3</v>
      </c>
      <c r="AO72" s="14">
        <f t="shared" ref="AO72:AO135" si="46">T72-T$204</f>
        <v>-8.9410594196724404E-3</v>
      </c>
      <c r="AP72" s="14">
        <f t="shared" ref="AP72:AP135" si="47">U72-U$204</f>
        <v>-3.5672109340324096E-2</v>
      </c>
      <c r="AQ72" s="14">
        <f t="shared" ref="AQ72:AQ135" si="48">V72-V$204</f>
        <v>-0.10496343561891844</v>
      </c>
      <c r="AR72" s="14">
        <f t="shared" ref="AR72:AR135" si="49">W72-W$204</f>
        <v>4.2480888768415492E-2</v>
      </c>
      <c r="AS72" s="14">
        <f t="shared" ref="AS72:AS135" si="50">X72-X$204</f>
        <v>-4.4494476076069128E-2</v>
      </c>
      <c r="AT72" s="14">
        <f t="shared" ref="AT72:AT135" si="51">Y72-Y$204</f>
        <v>-5.7975236678404533E-2</v>
      </c>
      <c r="AU72" s="14">
        <f t="shared" ref="AU72:AU135" si="52">Z72-Z$204</f>
        <v>-3.7138058075782791E-2</v>
      </c>
      <c r="AV72" s="14">
        <f t="shared" ref="AV72:AV135" si="53">AA72-AA$204</f>
        <v>-0.15724620439547576</v>
      </c>
      <c r="AW72" s="14">
        <f t="shared" ref="AW72:AW135" si="54">AB72-AB$204</f>
        <v>-2.9779133197739192E-2</v>
      </c>
      <c r="AX72" s="14">
        <f t="shared" ref="AX72:AX135" si="55">AC72-AC$204</f>
        <v>-8.6065084103561923E-2</v>
      </c>
      <c r="AY72" s="14">
        <f t="shared" ref="AY72:AY135" si="56">AD72-AD$204</f>
        <v>-6.0313586968927635E-2</v>
      </c>
      <c r="AZ72" s="14">
        <f t="shared" ref="AZ72:AZ135" si="57">AE72-AE$204</f>
        <v>-7.0819026436220109E-2</v>
      </c>
    </row>
    <row r="73" spans="2:52" x14ac:dyDescent="0.3">
      <c r="B73" s="13">
        <v>2.7847631580229827E-2</v>
      </c>
      <c r="C73" s="13">
        <v>2.2964377120248649E-2</v>
      </c>
      <c r="D73" s="13">
        <v>7.2541997014379772E-2</v>
      </c>
      <c r="E73" s="13">
        <v>1.8143858481585135E-2</v>
      </c>
      <c r="F73" s="13">
        <v>-4.6753174206414618E-3</v>
      </c>
      <c r="G73" s="13">
        <v>-1.4218025868904076E-2</v>
      </c>
      <c r="H73" s="13">
        <v>0.1211957681881229</v>
      </c>
      <c r="I73" s="13">
        <v>-0.13911280246271771</v>
      </c>
      <c r="J73" s="13">
        <v>-9.678574807114658E-2</v>
      </c>
      <c r="K73" s="13">
        <v>-9.3127604007065795E-2</v>
      </c>
      <c r="L73" s="13">
        <v>7.1105664814289692E-3</v>
      </c>
      <c r="M73" s="13">
        <v>-5.3999307249400053E-2</v>
      </c>
      <c r="N73" s="13">
        <v>-3.2210031129916841E-2</v>
      </c>
      <c r="O73" s="13">
        <v>-4.0672219345535873E-2</v>
      </c>
      <c r="R73" s="14">
        <f t="shared" si="30"/>
        <v>3.3417157896275793E-2</v>
      </c>
      <c r="S73" s="14">
        <f t="shared" si="31"/>
        <v>2.7557252544298378E-2</v>
      </c>
      <c r="T73" s="14">
        <f t="shared" si="32"/>
        <v>8.7050396417255718E-2</v>
      </c>
      <c r="U73" s="14">
        <f t="shared" si="33"/>
        <v>2.1772630177902163E-2</v>
      </c>
      <c r="V73" s="14">
        <f t="shared" si="34"/>
        <v>-3.7402539365131698E-3</v>
      </c>
      <c r="W73" s="14">
        <f t="shared" si="35"/>
        <v>-1.1374420695123261E-2</v>
      </c>
      <c r="X73" s="14">
        <f t="shared" si="36"/>
        <v>0.14543492182574747</v>
      </c>
      <c r="Y73" s="14">
        <f t="shared" si="37"/>
        <v>-0.11129024197017418</v>
      </c>
      <c r="Z73" s="14">
        <f t="shared" si="38"/>
        <v>-7.7428598456917269E-2</v>
      </c>
      <c r="AA73" s="14">
        <f t="shared" si="39"/>
        <v>-7.4502083205652644E-2</v>
      </c>
      <c r="AB73" s="14">
        <f t="shared" si="40"/>
        <v>8.532679777714762E-3</v>
      </c>
      <c r="AC73" s="14">
        <f t="shared" si="41"/>
        <v>-4.3199445799520043E-2</v>
      </c>
      <c r="AD73" s="14">
        <f t="shared" si="42"/>
        <v>-2.5768024903933474E-2</v>
      </c>
      <c r="AE73" s="14">
        <f t="shared" si="43"/>
        <v>-3.25377754764287E-2</v>
      </c>
      <c r="AM73" s="14">
        <f t="shared" si="44"/>
        <v>2.5611041475743779E-2</v>
      </c>
      <c r="AN73" s="14">
        <f t="shared" si="45"/>
        <v>6.7605460244783699E-3</v>
      </c>
      <c r="AO73" s="14">
        <f t="shared" si="46"/>
        <v>7.917246007762628E-2</v>
      </c>
      <c r="AP73" s="14">
        <f t="shared" si="47"/>
        <v>1.1938122138370753E-2</v>
      </c>
      <c r="AQ73" s="14">
        <f t="shared" si="48"/>
        <v>-1.7563193400276671E-2</v>
      </c>
      <c r="AR73" s="14">
        <f t="shared" si="49"/>
        <v>-1.9887025524760613E-2</v>
      </c>
      <c r="AS73" s="14">
        <f t="shared" si="50"/>
        <v>0.13262191883090788</v>
      </c>
      <c r="AT73" s="14">
        <f t="shared" si="51"/>
        <v>-0.11668617328071899</v>
      </c>
      <c r="AU73" s="14">
        <f t="shared" si="52"/>
        <v>-9.3552091033675108E-2</v>
      </c>
      <c r="AV73" s="14">
        <f t="shared" si="53"/>
        <v>-9.6553471415787101E-2</v>
      </c>
      <c r="AW73" s="14">
        <f t="shared" si="54"/>
        <v>-4.5551080991096237E-3</v>
      </c>
      <c r="AX73" s="14">
        <f t="shared" si="55"/>
        <v>-6.9908298436335919E-2</v>
      </c>
      <c r="AY73" s="14">
        <f t="shared" si="56"/>
        <v>-3.7038956392013378E-2</v>
      </c>
      <c r="AZ73" s="14">
        <f t="shared" si="57"/>
        <v>-3.7151827473149143E-2</v>
      </c>
    </row>
    <row r="74" spans="2:52" x14ac:dyDescent="0.3">
      <c r="B74" s="13">
        <v>2.2666665976363163E-2</v>
      </c>
      <c r="C74" s="13">
        <v>3.2964175538975973E-2</v>
      </c>
      <c r="D74" s="13">
        <v>1.0972581807188825E-2</v>
      </c>
      <c r="E74" s="13">
        <v>-1.6627126747079463E-2</v>
      </c>
      <c r="F74" s="13">
        <v>3.4396428493906873E-2</v>
      </c>
      <c r="G74" s="13">
        <v>1.8948371372820376E-3</v>
      </c>
      <c r="H74" s="13">
        <v>-3.1877567061939595E-2</v>
      </c>
      <c r="I74" s="13">
        <v>-5.6685776175433022E-2</v>
      </c>
      <c r="J74" s="13">
        <v>1.9794460730914527E-2</v>
      </c>
      <c r="K74" s="13">
        <v>7.9484827603279434E-2</v>
      </c>
      <c r="L74" s="13">
        <v>0.19538666731554599</v>
      </c>
      <c r="M74" s="13">
        <v>-4.4862404057260059E-2</v>
      </c>
      <c r="N74" s="13">
        <v>-2.2307095141414629E-2</v>
      </c>
      <c r="O74" s="13">
        <v>3.1565546267344084E-2</v>
      </c>
      <c r="R74" s="14">
        <f t="shared" si="30"/>
        <v>2.7199999171635795E-2</v>
      </c>
      <c r="S74" s="14">
        <f t="shared" si="31"/>
        <v>3.9557010646771168E-2</v>
      </c>
      <c r="T74" s="14">
        <f t="shared" si="32"/>
        <v>1.3167098168626589E-2</v>
      </c>
      <c r="U74" s="14">
        <f t="shared" si="33"/>
        <v>-1.3301701397663571E-2</v>
      </c>
      <c r="V74" s="14">
        <f t="shared" si="34"/>
        <v>4.1275714192688245E-2</v>
      </c>
      <c r="W74" s="14">
        <f t="shared" si="35"/>
        <v>2.2738045647384452E-3</v>
      </c>
      <c r="X74" s="14">
        <f t="shared" si="36"/>
        <v>-2.5502053649551677E-2</v>
      </c>
      <c r="Y74" s="14">
        <f t="shared" si="37"/>
        <v>-4.5348620940346418E-2</v>
      </c>
      <c r="Z74" s="14">
        <f t="shared" si="38"/>
        <v>2.3753352877097431E-2</v>
      </c>
      <c r="AA74" s="14">
        <f t="shared" si="39"/>
        <v>9.5381793123935313E-2</v>
      </c>
      <c r="AB74" s="14">
        <f t="shared" si="40"/>
        <v>0.23446400077865517</v>
      </c>
      <c r="AC74" s="14">
        <f t="shared" si="41"/>
        <v>-3.5889923245808052E-2</v>
      </c>
      <c r="AD74" s="14">
        <f t="shared" si="42"/>
        <v>-1.7845676113131703E-2</v>
      </c>
      <c r="AE74" s="14">
        <f t="shared" si="43"/>
        <v>3.7878655520812897E-2</v>
      </c>
      <c r="AM74" s="14">
        <f t="shared" si="44"/>
        <v>1.9393882751103781E-2</v>
      </c>
      <c r="AN74" s="14">
        <f t="shared" si="45"/>
        <v>1.876030412695116E-2</v>
      </c>
      <c r="AO74" s="14">
        <f t="shared" si="46"/>
        <v>5.2891618289971493E-3</v>
      </c>
      <c r="AP74" s="14">
        <f t="shared" si="47"/>
        <v>-2.3136209437194979E-2</v>
      </c>
      <c r="AQ74" s="14">
        <f t="shared" si="48"/>
        <v>2.7452774728924746E-2</v>
      </c>
      <c r="AR74" s="14">
        <f t="shared" si="49"/>
        <v>-6.2388002648989084E-3</v>
      </c>
      <c r="AS74" s="14">
        <f t="shared" si="50"/>
        <v>-3.8315056644391277E-2</v>
      </c>
      <c r="AT74" s="14">
        <f t="shared" si="51"/>
        <v>-5.0744552250891244E-2</v>
      </c>
      <c r="AU74" s="14">
        <f t="shared" si="52"/>
        <v>7.6298603003395957E-3</v>
      </c>
      <c r="AV74" s="14">
        <f t="shared" si="53"/>
        <v>7.3330404913800856E-2</v>
      </c>
      <c r="AW74" s="14">
        <f t="shared" si="54"/>
        <v>0.22137621290183079</v>
      </c>
      <c r="AX74" s="14">
        <f t="shared" si="55"/>
        <v>-6.2598775882623928E-2</v>
      </c>
      <c r="AY74" s="14">
        <f t="shared" si="56"/>
        <v>-2.9116607601211611E-2</v>
      </c>
      <c r="AZ74" s="14">
        <f t="shared" si="57"/>
        <v>3.3264603524092454E-2</v>
      </c>
    </row>
    <row r="75" spans="2:52" x14ac:dyDescent="0.3">
      <c r="B75" s="13">
        <v>-5.778024973302702E-3</v>
      </c>
      <c r="C75" s="13">
        <v>-1.1925781468885179E-2</v>
      </c>
      <c r="D75" s="13">
        <v>-5.4226917038825827E-3</v>
      </c>
      <c r="E75" s="13">
        <v>0.10714919634424622</v>
      </c>
      <c r="F75" s="13">
        <v>-1.2306391260165469E-2</v>
      </c>
      <c r="G75" s="13">
        <v>4.2709469099471785E-2</v>
      </c>
      <c r="H75" s="13">
        <v>4.4150182091166933E-3</v>
      </c>
      <c r="I75" s="13">
        <v>3.8145268259690501E-2</v>
      </c>
      <c r="J75" s="13">
        <v>6.1599334581434996E-2</v>
      </c>
      <c r="K75" s="13">
        <v>-1.5573943433206698E-2</v>
      </c>
      <c r="L75" s="13">
        <v>1.8373220256619322E-2</v>
      </c>
      <c r="M75" s="13">
        <v>0.24846135929849955</v>
      </c>
      <c r="N75" s="13">
        <v>-2.2816077131838974E-2</v>
      </c>
      <c r="O75" s="13">
        <v>4.5637029400941954E-3</v>
      </c>
      <c r="R75" s="14">
        <f t="shared" si="30"/>
        <v>-4.6224199786421621E-3</v>
      </c>
      <c r="S75" s="14">
        <f t="shared" si="31"/>
        <v>-9.5406251751081438E-3</v>
      </c>
      <c r="T75" s="14">
        <f t="shared" si="32"/>
        <v>-4.338153363106066E-3</v>
      </c>
      <c r="U75" s="14">
        <f t="shared" si="33"/>
        <v>0.12857903561309544</v>
      </c>
      <c r="V75" s="14">
        <f t="shared" si="34"/>
        <v>-9.8451130081323758E-3</v>
      </c>
      <c r="W75" s="14">
        <f t="shared" si="35"/>
        <v>5.125136291936614E-2</v>
      </c>
      <c r="X75" s="14">
        <f t="shared" si="36"/>
        <v>5.298021850940032E-3</v>
      </c>
      <c r="Y75" s="14">
        <f t="shared" si="37"/>
        <v>4.5774321911628599E-2</v>
      </c>
      <c r="Z75" s="14">
        <f t="shared" si="38"/>
        <v>7.3919201497721992E-2</v>
      </c>
      <c r="AA75" s="14">
        <f t="shared" si="39"/>
        <v>-1.2459154746565358E-2</v>
      </c>
      <c r="AB75" s="14">
        <f t="shared" si="40"/>
        <v>2.2047864307943185E-2</v>
      </c>
      <c r="AC75" s="14">
        <f t="shared" si="41"/>
        <v>0.29815363115819943</v>
      </c>
      <c r="AD75" s="14">
        <f t="shared" si="42"/>
        <v>-1.825286170547118E-2</v>
      </c>
      <c r="AE75" s="14">
        <f t="shared" si="43"/>
        <v>5.4764435281130343E-3</v>
      </c>
      <c r="AM75" s="14">
        <f t="shared" si="44"/>
        <v>-1.2428536399174175E-2</v>
      </c>
      <c r="AN75" s="14">
        <f t="shared" si="45"/>
        <v>-3.0337331694928152E-2</v>
      </c>
      <c r="AO75" s="14">
        <f t="shared" si="46"/>
        <v>-1.2216089702735505E-2</v>
      </c>
      <c r="AP75" s="14">
        <f t="shared" si="47"/>
        <v>0.11874452757356403</v>
      </c>
      <c r="AQ75" s="14">
        <f t="shared" si="48"/>
        <v>-2.3668052471895875E-2</v>
      </c>
      <c r="AR75" s="14">
        <f t="shared" si="49"/>
        <v>4.2738758089728789E-2</v>
      </c>
      <c r="AS75" s="14">
        <f t="shared" si="50"/>
        <v>-7.5149811438995663E-3</v>
      </c>
      <c r="AT75" s="14">
        <f t="shared" si="51"/>
        <v>4.0378390601083773E-2</v>
      </c>
      <c r="AU75" s="14">
        <f t="shared" si="52"/>
        <v>5.7795708920964153E-2</v>
      </c>
      <c r="AV75" s="14">
        <f t="shared" si="53"/>
        <v>-3.4510542956699815E-2</v>
      </c>
      <c r="AW75" s="14">
        <f t="shared" si="54"/>
        <v>8.9600764311187995E-3</v>
      </c>
      <c r="AX75" s="14">
        <f t="shared" si="55"/>
        <v>0.27144477852138355</v>
      </c>
      <c r="AY75" s="14">
        <f t="shared" si="56"/>
        <v>-2.9523793193551084E-2</v>
      </c>
      <c r="AZ75" s="14">
        <f t="shared" si="57"/>
        <v>8.6239153139259193E-4</v>
      </c>
    </row>
    <row r="76" spans="2:52" x14ac:dyDescent="0.3">
      <c r="B76" s="13">
        <v>1.4896890673710132E-2</v>
      </c>
      <c r="C76" s="13">
        <v>9.8065090730796278E-2</v>
      </c>
      <c r="D76" s="13">
        <v>2.987580919588809E-2</v>
      </c>
      <c r="E76" s="13">
        <v>4.3707793405685848E-2</v>
      </c>
      <c r="F76" s="13">
        <v>6.9889401658115732E-2</v>
      </c>
      <c r="G76" s="13">
        <v>5.2901831305928147E-2</v>
      </c>
      <c r="H76" s="13">
        <v>4.9358229738251366E-2</v>
      </c>
      <c r="I76" s="13">
        <v>0.12825433552367885</v>
      </c>
      <c r="J76" s="13">
        <v>0.1054987231074279</v>
      </c>
      <c r="K76" s="13">
        <v>-9.8143094103986736E-3</v>
      </c>
      <c r="L76" s="13">
        <v>1.8807716564741551E-2</v>
      </c>
      <c r="M76" s="13">
        <v>0.20915137900313091</v>
      </c>
      <c r="N76" s="13">
        <v>-2.1065288998014201E-2</v>
      </c>
      <c r="O76" s="13">
        <v>8.5426933013935558E-2</v>
      </c>
      <c r="R76" s="14">
        <f t="shared" si="30"/>
        <v>1.7876268808452157E-2</v>
      </c>
      <c r="S76" s="14">
        <f t="shared" si="31"/>
        <v>0.11767810887695553</v>
      </c>
      <c r="T76" s="14">
        <f t="shared" si="32"/>
        <v>3.585097103506571E-2</v>
      </c>
      <c r="U76" s="14">
        <f t="shared" si="33"/>
        <v>5.2449352086823019E-2</v>
      </c>
      <c r="V76" s="14">
        <f t="shared" si="34"/>
        <v>8.3867281989738876E-2</v>
      </c>
      <c r="W76" s="14">
        <f t="shared" si="35"/>
        <v>6.3482197567113777E-2</v>
      </c>
      <c r="X76" s="14">
        <f t="shared" si="36"/>
        <v>5.9229875685901635E-2</v>
      </c>
      <c r="Y76" s="14">
        <f t="shared" si="37"/>
        <v>0.15390520262841462</v>
      </c>
      <c r="Z76" s="14">
        <f t="shared" si="38"/>
        <v>0.12659846772891348</v>
      </c>
      <c r="AA76" s="14">
        <f t="shared" si="39"/>
        <v>-7.8514475283189399E-3</v>
      </c>
      <c r="AB76" s="14">
        <f t="shared" si="40"/>
        <v>2.256925987768986E-2</v>
      </c>
      <c r="AC76" s="14">
        <f t="shared" si="41"/>
        <v>0.25098165480375706</v>
      </c>
      <c r="AD76" s="14">
        <f t="shared" si="42"/>
        <v>-1.6852231198411362E-2</v>
      </c>
      <c r="AE76" s="14">
        <f t="shared" si="43"/>
        <v>0.10251231961672266</v>
      </c>
      <c r="AM76" s="14">
        <f t="shared" si="44"/>
        <v>1.0070152387920143E-2</v>
      </c>
      <c r="AN76" s="14">
        <f t="shared" si="45"/>
        <v>9.6881402357135521E-2</v>
      </c>
      <c r="AO76" s="14">
        <f t="shared" si="46"/>
        <v>2.7973034695436272E-2</v>
      </c>
      <c r="AP76" s="14">
        <f t="shared" si="47"/>
        <v>4.2614844047291607E-2</v>
      </c>
      <c r="AQ76" s="14">
        <f t="shared" si="48"/>
        <v>7.0044342525975384E-2</v>
      </c>
      <c r="AR76" s="14">
        <f t="shared" si="49"/>
        <v>5.4969592737476425E-2</v>
      </c>
      <c r="AS76" s="14">
        <f t="shared" si="50"/>
        <v>4.6416872691062039E-2</v>
      </c>
      <c r="AT76" s="14">
        <f t="shared" si="51"/>
        <v>0.14850927131786978</v>
      </c>
      <c r="AU76" s="14">
        <f t="shared" si="52"/>
        <v>0.11047497515215564</v>
      </c>
      <c r="AV76" s="14">
        <f t="shared" si="53"/>
        <v>-2.9902835738453398E-2</v>
      </c>
      <c r="AW76" s="14">
        <f t="shared" si="54"/>
        <v>9.4814720008654738E-3</v>
      </c>
      <c r="AX76" s="14">
        <f t="shared" si="55"/>
        <v>0.22427280216694118</v>
      </c>
      <c r="AY76" s="14">
        <f t="shared" si="56"/>
        <v>-2.8123162686491267E-2</v>
      </c>
      <c r="AZ76" s="14">
        <f t="shared" si="57"/>
        <v>9.7898267620002227E-2</v>
      </c>
    </row>
    <row r="77" spans="2:52" x14ac:dyDescent="0.3">
      <c r="B77" s="13">
        <v>1.5402610078958693E-3</v>
      </c>
      <c r="C77" s="13">
        <v>0.21993944732342677</v>
      </c>
      <c r="D77" s="13">
        <v>4.4692111077323564E-2</v>
      </c>
      <c r="E77" s="13">
        <v>1.4957630203240695E-2</v>
      </c>
      <c r="F77" s="13">
        <v>6.9836303862605156E-2</v>
      </c>
      <c r="G77" s="13">
        <v>3.2664945098933147E-2</v>
      </c>
      <c r="H77" s="13">
        <v>6.4630114402477318E-2</v>
      </c>
      <c r="I77" s="13">
        <v>5.6014641554671306E-2</v>
      </c>
      <c r="J77" s="13">
        <v>6.2930678670917228E-2</v>
      </c>
      <c r="K77" s="13">
        <v>2.4626221768264517E-3</v>
      </c>
      <c r="L77" s="13">
        <v>-1.8807716564741676E-2</v>
      </c>
      <c r="M77" s="13">
        <v>0.15329634402134265</v>
      </c>
      <c r="N77" s="13">
        <v>6.3337933775453104E-2</v>
      </c>
      <c r="O77" s="13">
        <v>-4.5717191297074605E-2</v>
      </c>
      <c r="R77" s="14">
        <f t="shared" si="30"/>
        <v>1.8483132094750431E-3</v>
      </c>
      <c r="S77" s="14">
        <f t="shared" si="31"/>
        <v>0.26392733678811209</v>
      </c>
      <c r="T77" s="14">
        <f t="shared" si="32"/>
        <v>5.3630533292788274E-2</v>
      </c>
      <c r="U77" s="14">
        <f t="shared" si="33"/>
        <v>1.7949156243888834E-2</v>
      </c>
      <c r="V77" s="14">
        <f t="shared" si="34"/>
        <v>8.3803564635126185E-2</v>
      </c>
      <c r="W77" s="14">
        <f t="shared" si="35"/>
        <v>3.9197934118719774E-2</v>
      </c>
      <c r="X77" s="14">
        <f t="shared" si="36"/>
        <v>7.7556137282972781E-2</v>
      </c>
      <c r="Y77" s="14">
        <f t="shared" si="37"/>
        <v>6.7217569865605564E-2</v>
      </c>
      <c r="Z77" s="14">
        <f t="shared" si="38"/>
        <v>7.5516814405100677E-2</v>
      </c>
      <c r="AA77" s="14">
        <f t="shared" si="39"/>
        <v>2.9551466121917418E-3</v>
      </c>
      <c r="AB77" s="14">
        <f t="shared" si="40"/>
        <v>-1.5046173251793341E-2</v>
      </c>
      <c r="AC77" s="14">
        <f t="shared" si="41"/>
        <v>0.18395561282561118</v>
      </c>
      <c r="AD77" s="14">
        <f t="shared" si="42"/>
        <v>7.6005520530543727E-2</v>
      </c>
      <c r="AE77" s="14">
        <f t="shared" si="43"/>
        <v>-3.6573753037659688E-2</v>
      </c>
      <c r="AM77" s="14">
        <f t="shared" si="44"/>
        <v>-5.9578032110569699E-3</v>
      </c>
      <c r="AN77" s="14">
        <f t="shared" si="45"/>
        <v>0.24313063026829207</v>
      </c>
      <c r="AO77" s="14">
        <f t="shared" si="46"/>
        <v>4.5752596953158836E-2</v>
      </c>
      <c r="AP77" s="14">
        <f t="shared" si="47"/>
        <v>8.1146482043574237E-3</v>
      </c>
      <c r="AQ77" s="14">
        <f t="shared" si="48"/>
        <v>6.9980625171362693E-2</v>
      </c>
      <c r="AR77" s="14">
        <f t="shared" si="49"/>
        <v>3.0685329289082422E-2</v>
      </c>
      <c r="AS77" s="14">
        <f t="shared" si="50"/>
        <v>6.4743134288133178E-2</v>
      </c>
      <c r="AT77" s="14">
        <f t="shared" si="51"/>
        <v>6.1821638555060739E-2</v>
      </c>
      <c r="AU77" s="14">
        <f t="shared" si="52"/>
        <v>5.9393321828342838E-2</v>
      </c>
      <c r="AV77" s="14">
        <f t="shared" si="53"/>
        <v>-1.9096241597942716E-2</v>
      </c>
      <c r="AW77" s="14">
        <f t="shared" si="54"/>
        <v>-2.8133961128617727E-2</v>
      </c>
      <c r="AX77" s="14">
        <f t="shared" si="55"/>
        <v>0.1572467601887953</v>
      </c>
      <c r="AY77" s="14">
        <f t="shared" si="56"/>
        <v>6.4734589042463819E-2</v>
      </c>
      <c r="AZ77" s="14">
        <f t="shared" si="57"/>
        <v>-4.1187805034380132E-2</v>
      </c>
    </row>
    <row r="78" spans="2:52" x14ac:dyDescent="0.3">
      <c r="B78" s="13">
        <v>3.0980647068657906E-2</v>
      </c>
      <c r="C78" s="13">
        <v>9.7088141269606847E-3</v>
      </c>
      <c r="D78" s="13">
        <v>7.5117443100765355E-3</v>
      </c>
      <c r="E78" s="13">
        <v>4.8138640210735771E-4</v>
      </c>
      <c r="F78" s="13">
        <v>0.10226518806065771</v>
      </c>
      <c r="G78" s="13">
        <v>3.3887675410339151E-2</v>
      </c>
      <c r="H78" s="13">
        <v>3.9545038511689605E-2</v>
      </c>
      <c r="I78" s="13">
        <v>1.2566622599858641E-2</v>
      </c>
      <c r="J78" s="13">
        <v>-1.8334719993128447E-2</v>
      </c>
      <c r="K78" s="13">
        <v>0.12579334407099982</v>
      </c>
      <c r="L78" s="13">
        <v>3.2747873874854519E-2</v>
      </c>
      <c r="M78" s="13">
        <v>6.1787487765681284E-2</v>
      </c>
      <c r="N78" s="13">
        <v>7.0431028042214155E-2</v>
      </c>
      <c r="O78" s="13">
        <v>1.2297695474661375E-2</v>
      </c>
      <c r="R78" s="14">
        <f t="shared" si="30"/>
        <v>3.7176776482389484E-2</v>
      </c>
      <c r="S78" s="14">
        <f t="shared" si="31"/>
        <v>1.1650576952352821E-2</v>
      </c>
      <c r="T78" s="14">
        <f t="shared" si="32"/>
        <v>9.0140931720918416E-3</v>
      </c>
      <c r="U78" s="14">
        <f t="shared" si="33"/>
        <v>5.7766368252882921E-4</v>
      </c>
      <c r="V78" s="14">
        <f t="shared" si="34"/>
        <v>0.12271822567278924</v>
      </c>
      <c r="W78" s="14">
        <f t="shared" si="35"/>
        <v>4.0665210492406977E-2</v>
      </c>
      <c r="X78" s="14">
        <f t="shared" si="36"/>
        <v>4.7454046214027525E-2</v>
      </c>
      <c r="Y78" s="14">
        <f t="shared" si="37"/>
        <v>1.5079947119830369E-2</v>
      </c>
      <c r="Z78" s="14">
        <f t="shared" si="38"/>
        <v>-1.4667775994502759E-2</v>
      </c>
      <c r="AA78" s="14">
        <f t="shared" si="39"/>
        <v>0.15095201288519977</v>
      </c>
      <c r="AB78" s="14">
        <f t="shared" si="40"/>
        <v>3.9297448649825421E-2</v>
      </c>
      <c r="AC78" s="14">
        <f t="shared" si="41"/>
        <v>7.4144985318817538E-2</v>
      </c>
      <c r="AD78" s="14">
        <f t="shared" si="42"/>
        <v>8.4517233650656984E-2</v>
      </c>
      <c r="AE78" s="14">
        <f t="shared" si="43"/>
        <v>1.4757234569593649E-2</v>
      </c>
      <c r="AM78" s="14">
        <f t="shared" si="44"/>
        <v>2.937066006185747E-2</v>
      </c>
      <c r="AN78" s="14">
        <f t="shared" si="45"/>
        <v>-9.1461295674671872E-3</v>
      </c>
      <c r="AO78" s="14">
        <f t="shared" si="46"/>
        <v>1.1361568324624021E-3</v>
      </c>
      <c r="AP78" s="14">
        <f t="shared" si="47"/>
        <v>-9.2568443570025805E-3</v>
      </c>
      <c r="AQ78" s="14">
        <f t="shared" si="48"/>
        <v>0.10889528620902575</v>
      </c>
      <c r="AR78" s="14">
        <f t="shared" si="49"/>
        <v>3.2152605662769625E-2</v>
      </c>
      <c r="AS78" s="14">
        <f t="shared" si="50"/>
        <v>3.4641043219187928E-2</v>
      </c>
      <c r="AT78" s="14">
        <f t="shared" si="51"/>
        <v>9.6840158092855455E-3</v>
      </c>
      <c r="AU78" s="14">
        <f t="shared" si="52"/>
        <v>-3.0791268571260594E-2</v>
      </c>
      <c r="AV78" s="14">
        <f t="shared" si="53"/>
        <v>0.1289006246750653</v>
      </c>
      <c r="AW78" s="14">
        <f t="shared" si="54"/>
        <v>2.6209660773001034E-2</v>
      </c>
      <c r="AX78" s="14">
        <f t="shared" si="55"/>
        <v>4.7436132682001655E-2</v>
      </c>
      <c r="AY78" s="14">
        <f t="shared" si="56"/>
        <v>7.3246302162577076E-2</v>
      </c>
      <c r="AZ78" s="14">
        <f t="shared" si="57"/>
        <v>1.0143182572873208E-2</v>
      </c>
    </row>
    <row r="79" spans="2:52" x14ac:dyDescent="0.3">
      <c r="B79" s="13">
        <v>5.5262358059044708E-5</v>
      </c>
      <c r="C79" s="13">
        <v>-1.4340834760880323E-2</v>
      </c>
      <c r="D79" s="13">
        <v>-2.6006086626644491E-2</v>
      </c>
      <c r="E79" s="13">
        <v>-1.9765730567712206E-2</v>
      </c>
      <c r="F79" s="13">
        <v>0.13297040901858076</v>
      </c>
      <c r="G79" s="13">
        <v>-6.6214712209007008E-3</v>
      </c>
      <c r="H79" s="13">
        <v>-2.8501073436594363E-2</v>
      </c>
      <c r="I79" s="13">
        <v>-3.1222048261359988E-2</v>
      </c>
      <c r="J79" s="13">
        <v>-1.1899758169076138E-2</v>
      </c>
      <c r="K79" s="13">
        <v>-0.19187909106051773</v>
      </c>
      <c r="L79" s="13">
        <v>3.1221564689738794E-2</v>
      </c>
      <c r="M79" s="13">
        <v>3.3855636939338726E-2</v>
      </c>
      <c r="N79" s="13">
        <v>0.14436376381252131</v>
      </c>
      <c r="O79" s="13">
        <v>7.4498997709222207E-4</v>
      </c>
      <c r="R79" s="14">
        <f t="shared" si="30"/>
        <v>6.6314829670853642E-5</v>
      </c>
      <c r="S79" s="14">
        <f t="shared" si="31"/>
        <v>-1.1472667808704259E-2</v>
      </c>
      <c r="T79" s="14">
        <f t="shared" si="32"/>
        <v>-2.0804869301315594E-2</v>
      </c>
      <c r="U79" s="14">
        <f t="shared" si="33"/>
        <v>-1.5812584454169765E-2</v>
      </c>
      <c r="V79" s="14">
        <f t="shared" si="34"/>
        <v>0.1595644908222969</v>
      </c>
      <c r="W79" s="14">
        <f t="shared" si="35"/>
        <v>-5.297176976720561E-3</v>
      </c>
      <c r="X79" s="14">
        <f t="shared" si="36"/>
        <v>-2.2800858749275493E-2</v>
      </c>
      <c r="Y79" s="14">
        <f t="shared" si="37"/>
        <v>-2.4977638609087992E-2</v>
      </c>
      <c r="Z79" s="14">
        <f t="shared" si="38"/>
        <v>-9.5198065352609107E-3</v>
      </c>
      <c r="AA79" s="14">
        <f t="shared" si="39"/>
        <v>-0.1535032728484142</v>
      </c>
      <c r="AB79" s="14">
        <f t="shared" si="40"/>
        <v>3.746587762768655E-2</v>
      </c>
      <c r="AC79" s="14">
        <f t="shared" si="41"/>
        <v>4.0626764327206473E-2</v>
      </c>
      <c r="AD79" s="14">
        <f t="shared" si="42"/>
        <v>0.17323651657502556</v>
      </c>
      <c r="AE79" s="14">
        <f t="shared" si="43"/>
        <v>8.9398797251066646E-4</v>
      </c>
      <c r="AM79" s="14">
        <f t="shared" si="44"/>
        <v>-7.7398015908611596E-3</v>
      </c>
      <c r="AN79" s="14">
        <f t="shared" si="45"/>
        <v>-3.2269374328524267E-2</v>
      </c>
      <c r="AO79" s="14">
        <f t="shared" si="46"/>
        <v>-2.8682805640945032E-2</v>
      </c>
      <c r="AP79" s="14">
        <f t="shared" si="47"/>
        <v>-2.5647092493701173E-2</v>
      </c>
      <c r="AQ79" s="14">
        <f t="shared" si="48"/>
        <v>0.14574155135853339</v>
      </c>
      <c r="AR79" s="14">
        <f t="shared" si="49"/>
        <v>-1.3809781806357915E-2</v>
      </c>
      <c r="AS79" s="14">
        <f t="shared" si="50"/>
        <v>-3.5613861744115093E-2</v>
      </c>
      <c r="AT79" s="14">
        <f t="shared" si="51"/>
        <v>-3.0373569919632817E-2</v>
      </c>
      <c r="AU79" s="14">
        <f t="shared" si="52"/>
        <v>-2.5643299112018746E-2</v>
      </c>
      <c r="AV79" s="14">
        <f t="shared" si="53"/>
        <v>-0.17555466105854867</v>
      </c>
      <c r="AW79" s="14">
        <f t="shared" si="54"/>
        <v>2.4378089750862163E-2</v>
      </c>
      <c r="AX79" s="14">
        <f t="shared" si="55"/>
        <v>1.3917911690390593E-2</v>
      </c>
      <c r="AY79" s="14">
        <f t="shared" si="56"/>
        <v>0.16196558508694567</v>
      </c>
      <c r="AZ79" s="14">
        <f t="shared" si="57"/>
        <v>-3.720064024209776E-3</v>
      </c>
    </row>
    <row r="80" spans="2:52" x14ac:dyDescent="0.3">
      <c r="B80" s="13">
        <v>2.1647286752214241E-2</v>
      </c>
      <c r="C80" s="13">
        <v>9.6317949087032798E-2</v>
      </c>
      <c r="D80" s="13">
        <v>4.6457421352234012E-2</v>
      </c>
      <c r="E80" s="13">
        <v>1.0579525759550863E-2</v>
      </c>
      <c r="F80" s="13">
        <v>6.3950172971977845E-2</v>
      </c>
      <c r="G80" s="13">
        <v>1.65518803663794E-2</v>
      </c>
      <c r="H80" s="13">
        <v>5.8813540394974745E-2</v>
      </c>
      <c r="I80" s="13">
        <v>5.6827999166531196E-2</v>
      </c>
      <c r="J80" s="13">
        <v>3.6830893466973054E-2</v>
      </c>
      <c r="K80" s="13">
        <v>4.2442302733244543E-2</v>
      </c>
      <c r="L80" s="13">
        <v>5.9892468031441E-2</v>
      </c>
      <c r="M80" s="13">
        <v>8.1782461476728088E-2</v>
      </c>
      <c r="N80" s="13">
        <v>1.7265178809958363E-2</v>
      </c>
      <c r="O80" s="13">
        <v>4.2572026217452014E-2</v>
      </c>
      <c r="R80" s="14">
        <f t="shared" si="30"/>
        <v>2.5976744102657087E-2</v>
      </c>
      <c r="S80" s="14">
        <f t="shared" si="31"/>
        <v>0.11558153890443935</v>
      </c>
      <c r="T80" s="14">
        <f t="shared" si="32"/>
        <v>5.5748905622680811E-2</v>
      </c>
      <c r="U80" s="14">
        <f t="shared" si="33"/>
        <v>1.2695430911461034E-2</v>
      </c>
      <c r="V80" s="14">
        <f t="shared" si="34"/>
        <v>7.6740207566373411E-2</v>
      </c>
      <c r="W80" s="14">
        <f t="shared" si="35"/>
        <v>1.9862256439655279E-2</v>
      </c>
      <c r="X80" s="14">
        <f t="shared" si="36"/>
        <v>7.0576248473969691E-2</v>
      </c>
      <c r="Y80" s="14">
        <f t="shared" si="37"/>
        <v>6.8193598999837429E-2</v>
      </c>
      <c r="Z80" s="14">
        <f t="shared" si="38"/>
        <v>4.4197072160367661E-2</v>
      </c>
      <c r="AA80" s="14">
        <f t="shared" si="39"/>
        <v>5.0930763279893453E-2</v>
      </c>
      <c r="AB80" s="14">
        <f t="shared" si="40"/>
        <v>7.18709616377292E-2</v>
      </c>
      <c r="AC80" s="14">
        <f t="shared" si="41"/>
        <v>9.8138953772073698E-2</v>
      </c>
      <c r="AD80" s="14">
        <f t="shared" si="42"/>
        <v>2.0718214571950035E-2</v>
      </c>
      <c r="AE80" s="14">
        <f t="shared" si="43"/>
        <v>5.1086431460942418E-2</v>
      </c>
      <c r="AM80" s="14">
        <f t="shared" si="44"/>
        <v>1.8170627682125073E-2</v>
      </c>
      <c r="AN80" s="14">
        <f t="shared" si="45"/>
        <v>9.478483238461935E-2</v>
      </c>
      <c r="AO80" s="14">
        <f t="shared" si="46"/>
        <v>4.7870969283051373E-2</v>
      </c>
      <c r="AP80" s="14">
        <f t="shared" si="47"/>
        <v>2.8609228719296241E-3</v>
      </c>
      <c r="AQ80" s="14">
        <f t="shared" si="48"/>
        <v>6.2917268102609919E-2</v>
      </c>
      <c r="AR80" s="14">
        <f t="shared" si="49"/>
        <v>1.1349651610017926E-2</v>
      </c>
      <c r="AS80" s="14">
        <f t="shared" si="50"/>
        <v>5.7763245479130094E-2</v>
      </c>
      <c r="AT80" s="14">
        <f t="shared" si="51"/>
        <v>6.2797667689292611E-2</v>
      </c>
      <c r="AU80" s="14">
        <f t="shared" si="52"/>
        <v>2.8073579583609825E-2</v>
      </c>
      <c r="AV80" s="14">
        <f t="shared" si="53"/>
        <v>2.8879375069758996E-2</v>
      </c>
      <c r="AW80" s="14">
        <f t="shared" si="54"/>
        <v>5.8783173760904812E-2</v>
      </c>
      <c r="AX80" s="14">
        <f t="shared" si="55"/>
        <v>7.1430101135257815E-2</v>
      </c>
      <c r="AY80" s="14">
        <f t="shared" si="56"/>
        <v>9.4472830838701286E-3</v>
      </c>
      <c r="AZ80" s="14">
        <f t="shared" si="57"/>
        <v>4.6472379464221975E-2</v>
      </c>
    </row>
    <row r="81" spans="2:52" x14ac:dyDescent="0.3">
      <c r="B81" s="13">
        <v>9.4726219615903634E-3</v>
      </c>
      <c r="C81" s="13">
        <v>-1.1307540975463274E-2</v>
      </c>
      <c r="D81" s="13">
        <v>-2.1584952579157442E-2</v>
      </c>
      <c r="E81" s="13">
        <v>-9.679987734303579E-3</v>
      </c>
      <c r="F81" s="13">
        <v>-1.5237948087881963E-2</v>
      </c>
      <c r="G81" s="13">
        <v>3.0141203304936234E-2</v>
      </c>
      <c r="H81" s="13">
        <v>2.713732603412709E-2</v>
      </c>
      <c r="I81" s="13">
        <v>1.3023439886286823E-2</v>
      </c>
      <c r="J81" s="13">
        <v>-7.6948149637426813E-2</v>
      </c>
      <c r="K81" s="13">
        <v>0.10054592195353983</v>
      </c>
      <c r="L81" s="13">
        <v>-4.1446064394742082E-3</v>
      </c>
      <c r="M81" s="13">
        <v>-0.14996721369834717</v>
      </c>
      <c r="N81" s="13">
        <v>-0.12201819017259058</v>
      </c>
      <c r="O81" s="13">
        <v>-5.0347185003807138E-2</v>
      </c>
      <c r="R81" s="14">
        <f t="shared" si="30"/>
        <v>1.1367146353908435E-2</v>
      </c>
      <c r="S81" s="14">
        <f t="shared" si="31"/>
        <v>-9.0460327803706195E-3</v>
      </c>
      <c r="T81" s="14">
        <f t="shared" si="32"/>
        <v>-1.7267962063325953E-2</v>
      </c>
      <c r="U81" s="14">
        <f t="shared" si="33"/>
        <v>-7.7439901874428634E-3</v>
      </c>
      <c r="V81" s="14">
        <f t="shared" si="34"/>
        <v>-1.2190358470305571E-2</v>
      </c>
      <c r="W81" s="14">
        <f t="shared" si="35"/>
        <v>3.6169443965923483E-2</v>
      </c>
      <c r="X81" s="14">
        <f t="shared" si="36"/>
        <v>3.2564791240952504E-2</v>
      </c>
      <c r="Y81" s="14">
        <f t="shared" si="37"/>
        <v>1.5628127863544186E-2</v>
      </c>
      <c r="Z81" s="14">
        <f t="shared" si="38"/>
        <v>-6.1558519709941452E-2</v>
      </c>
      <c r="AA81" s="14">
        <f t="shared" si="39"/>
        <v>0.12065510634424778</v>
      </c>
      <c r="AB81" s="14">
        <f t="shared" si="40"/>
        <v>-3.3156851515793668E-3</v>
      </c>
      <c r="AC81" s="14">
        <f t="shared" si="41"/>
        <v>-0.11997377095867774</v>
      </c>
      <c r="AD81" s="14">
        <f t="shared" si="42"/>
        <v>-9.7614552138072463E-2</v>
      </c>
      <c r="AE81" s="14">
        <f t="shared" si="43"/>
        <v>-4.0277748003045712E-2</v>
      </c>
      <c r="AM81" s="14">
        <f t="shared" si="44"/>
        <v>3.5610299333764224E-3</v>
      </c>
      <c r="AN81" s="14">
        <f t="shared" si="45"/>
        <v>-2.9842739300190629E-2</v>
      </c>
      <c r="AO81" s="14">
        <f t="shared" si="46"/>
        <v>-2.5145898402955391E-2</v>
      </c>
      <c r="AP81" s="14">
        <f t="shared" si="47"/>
        <v>-1.7578498226974274E-2</v>
      </c>
      <c r="AQ81" s="14">
        <f t="shared" si="48"/>
        <v>-2.601329793406907E-2</v>
      </c>
      <c r="AR81" s="14">
        <f t="shared" si="49"/>
        <v>2.7656839136286131E-2</v>
      </c>
      <c r="AS81" s="14">
        <f t="shared" si="50"/>
        <v>1.9751788246112907E-2</v>
      </c>
      <c r="AT81" s="14">
        <f t="shared" si="51"/>
        <v>1.0232196552999361E-2</v>
      </c>
      <c r="AU81" s="14">
        <f t="shared" si="52"/>
        <v>-7.7682012286699284E-2</v>
      </c>
      <c r="AV81" s="14">
        <f t="shared" si="53"/>
        <v>9.8603718134113325E-2</v>
      </c>
      <c r="AW81" s="14">
        <f t="shared" si="54"/>
        <v>-1.6403473028403753E-2</v>
      </c>
      <c r="AX81" s="14">
        <f t="shared" si="55"/>
        <v>-0.14668262359549361</v>
      </c>
      <c r="AY81" s="14">
        <f t="shared" si="56"/>
        <v>-0.10888548362615237</v>
      </c>
      <c r="AZ81" s="14">
        <f t="shared" si="57"/>
        <v>-4.4891799999766155E-2</v>
      </c>
    </row>
    <row r="82" spans="2:52" x14ac:dyDescent="0.3">
      <c r="B82" s="13">
        <v>3.8307586848585352E-2</v>
      </c>
      <c r="C82" s="13">
        <v>2.129926257824849E-3</v>
      </c>
      <c r="D82" s="13">
        <v>1.6342361456957322E-2</v>
      </c>
      <c r="E82" s="13">
        <v>-2.1815441250491396E-2</v>
      </c>
      <c r="F82" s="13">
        <v>1.9947803437117884E-2</v>
      </c>
      <c r="G82" s="13">
        <v>7.9325765422078951E-3</v>
      </c>
      <c r="H82" s="13">
        <v>-6.0794684476122313E-3</v>
      </c>
      <c r="I82" s="13">
        <v>9.0087356037524033E-2</v>
      </c>
      <c r="J82" s="13">
        <v>2.2168056340472551E-2</v>
      </c>
      <c r="K82" s="13">
        <v>0.15184725508354185</v>
      </c>
      <c r="L82" s="13">
        <v>-3.930186540826869E-3</v>
      </c>
      <c r="M82" s="13">
        <v>8.8613798769353214E-2</v>
      </c>
      <c r="N82" s="13">
        <v>2.1971957955481312E-2</v>
      </c>
      <c r="O82" s="13">
        <v>1.8736607600491846E-2</v>
      </c>
      <c r="R82" s="14">
        <f t="shared" si="30"/>
        <v>4.5969104218302421E-2</v>
      </c>
      <c r="S82" s="14">
        <f t="shared" si="31"/>
        <v>2.5559115093898186E-3</v>
      </c>
      <c r="T82" s="14">
        <f t="shared" si="32"/>
        <v>1.9610833748348787E-2</v>
      </c>
      <c r="U82" s="14">
        <f t="shared" si="33"/>
        <v>-1.7452353000393116E-2</v>
      </c>
      <c r="V82" s="14">
        <f t="shared" si="34"/>
        <v>2.393736412454146E-2</v>
      </c>
      <c r="W82" s="14">
        <f t="shared" si="35"/>
        <v>9.5190918506494731E-3</v>
      </c>
      <c r="X82" s="14">
        <f t="shared" si="36"/>
        <v>-4.8635747580897852E-3</v>
      </c>
      <c r="Y82" s="14">
        <f t="shared" si="37"/>
        <v>0.10810482724502883</v>
      </c>
      <c r="Z82" s="14">
        <f t="shared" si="38"/>
        <v>2.660166760856706E-2</v>
      </c>
      <c r="AA82" s="14">
        <f t="shared" si="39"/>
        <v>0.18221670610025023</v>
      </c>
      <c r="AB82" s="14">
        <f t="shared" si="40"/>
        <v>-3.1441492326614953E-3</v>
      </c>
      <c r="AC82" s="14">
        <f t="shared" si="41"/>
        <v>0.10633655852322385</v>
      </c>
      <c r="AD82" s="14">
        <f t="shared" si="42"/>
        <v>2.6366349546577576E-2</v>
      </c>
      <c r="AE82" s="14">
        <f t="shared" si="43"/>
        <v>2.2483929120590215E-2</v>
      </c>
      <c r="AM82" s="14">
        <f t="shared" si="44"/>
        <v>3.8162987797770408E-2</v>
      </c>
      <c r="AN82" s="14">
        <f t="shared" si="45"/>
        <v>-1.8240795010430189E-2</v>
      </c>
      <c r="AO82" s="14">
        <f t="shared" si="46"/>
        <v>1.1732897408719347E-2</v>
      </c>
      <c r="AP82" s="14">
        <f t="shared" si="47"/>
        <v>-2.7286861039924525E-2</v>
      </c>
      <c r="AQ82" s="14">
        <f t="shared" si="48"/>
        <v>1.011442466077796E-2</v>
      </c>
      <c r="AR82" s="14">
        <f t="shared" si="49"/>
        <v>1.0064870210121195E-3</v>
      </c>
      <c r="AS82" s="14">
        <f t="shared" si="50"/>
        <v>-1.7676577752929384E-2</v>
      </c>
      <c r="AT82" s="14">
        <f t="shared" si="51"/>
        <v>0.10270889593448401</v>
      </c>
      <c r="AU82" s="14">
        <f t="shared" si="52"/>
        <v>1.0478175031809225E-2</v>
      </c>
      <c r="AV82" s="14">
        <f t="shared" si="53"/>
        <v>0.16016531789011579</v>
      </c>
      <c r="AW82" s="14">
        <f t="shared" si="54"/>
        <v>-1.6231937109485881E-2</v>
      </c>
      <c r="AX82" s="14">
        <f t="shared" si="55"/>
        <v>7.9627705886407968E-2</v>
      </c>
      <c r="AY82" s="14">
        <f t="shared" si="56"/>
        <v>1.509541805849767E-2</v>
      </c>
      <c r="AZ82" s="14">
        <f t="shared" si="57"/>
        <v>1.7869877123869771E-2</v>
      </c>
    </row>
    <row r="83" spans="2:52" x14ac:dyDescent="0.3">
      <c r="B83" s="13">
        <v>-1.710687759357539E-2</v>
      </c>
      <c r="C83" s="13">
        <v>4.7169898781388667E-3</v>
      </c>
      <c r="D83" s="13">
        <v>-9.7970566426632717E-3</v>
      </c>
      <c r="E83" s="13">
        <v>-1.8396192160184263E-3</v>
      </c>
      <c r="F83" s="13">
        <v>4.722996370311195E-2</v>
      </c>
      <c r="G83" s="13">
        <v>-4.4591447763385273E-3</v>
      </c>
      <c r="H83" s="13">
        <v>1.2294314263454897E-2</v>
      </c>
      <c r="I83" s="13">
        <v>-1.3605652055778598E-2</v>
      </c>
      <c r="J83" s="13">
        <v>-1.9387380235233551E-2</v>
      </c>
      <c r="K83" s="13">
        <v>9.5500746741538189E-2</v>
      </c>
      <c r="L83" s="13">
        <v>-6.0409105639529772E-3</v>
      </c>
      <c r="M83" s="13">
        <v>6.5210305538742589E-4</v>
      </c>
      <c r="N83" s="13">
        <v>-1.7825221550897906E-2</v>
      </c>
      <c r="O83" s="13">
        <v>-3.309924016314416E-2</v>
      </c>
      <c r="R83" s="14">
        <f t="shared" si="30"/>
        <v>-1.3685502074860313E-2</v>
      </c>
      <c r="S83" s="14">
        <f t="shared" si="31"/>
        <v>5.6603878537666401E-3</v>
      </c>
      <c r="T83" s="14">
        <f t="shared" si="32"/>
        <v>-7.8376453141306181E-3</v>
      </c>
      <c r="U83" s="14">
        <f t="shared" si="33"/>
        <v>-1.4716953728147412E-3</v>
      </c>
      <c r="V83" s="14">
        <f t="shared" si="34"/>
        <v>5.667595644373434E-2</v>
      </c>
      <c r="W83" s="14">
        <f t="shared" si="35"/>
        <v>-3.5673158210708222E-3</v>
      </c>
      <c r="X83" s="14">
        <f t="shared" si="36"/>
        <v>1.4753177116145877E-2</v>
      </c>
      <c r="Y83" s="14">
        <f t="shared" si="37"/>
        <v>-1.0884521644622879E-2</v>
      </c>
      <c r="Z83" s="14">
        <f t="shared" si="38"/>
        <v>-1.5509904188186841E-2</v>
      </c>
      <c r="AA83" s="14">
        <f t="shared" si="39"/>
        <v>0.11460089608984582</v>
      </c>
      <c r="AB83" s="14">
        <f t="shared" si="40"/>
        <v>-4.8327284511623823E-3</v>
      </c>
      <c r="AC83" s="14">
        <f t="shared" si="41"/>
        <v>7.8252366646491107E-4</v>
      </c>
      <c r="AD83" s="14">
        <f t="shared" si="42"/>
        <v>-1.4260177240718326E-2</v>
      </c>
      <c r="AE83" s="14">
        <f t="shared" si="43"/>
        <v>-2.6479392130515329E-2</v>
      </c>
      <c r="AM83" s="14">
        <f t="shared" si="44"/>
        <v>-2.1491618495392325E-2</v>
      </c>
      <c r="AN83" s="14">
        <f t="shared" si="45"/>
        <v>-1.5136318666053368E-2</v>
      </c>
      <c r="AO83" s="14">
        <f t="shared" si="46"/>
        <v>-1.5715581653760059E-2</v>
      </c>
      <c r="AP83" s="14">
        <f t="shared" si="47"/>
        <v>-1.1306203412346151E-2</v>
      </c>
      <c r="AQ83" s="14">
        <f t="shared" si="48"/>
        <v>4.2853016979970841E-2</v>
      </c>
      <c r="AR83" s="14">
        <f t="shared" si="49"/>
        <v>-1.2079920650708176E-2</v>
      </c>
      <c r="AS83" s="14">
        <f t="shared" si="50"/>
        <v>1.9401741213062786E-3</v>
      </c>
      <c r="AT83" s="14">
        <f t="shared" si="51"/>
        <v>-1.6280452955167703E-2</v>
      </c>
      <c r="AU83" s="14">
        <f t="shared" si="52"/>
        <v>-3.1633396764944678E-2</v>
      </c>
      <c r="AV83" s="14">
        <f t="shared" si="53"/>
        <v>9.2549507879711362E-2</v>
      </c>
      <c r="AW83" s="14">
        <f t="shared" si="54"/>
        <v>-1.7920516327986767E-2</v>
      </c>
      <c r="AX83" s="14">
        <f t="shared" si="55"/>
        <v>-2.5926328970350968E-2</v>
      </c>
      <c r="AY83" s="14">
        <f t="shared" si="56"/>
        <v>-2.5531108728798234E-2</v>
      </c>
      <c r="AZ83" s="14">
        <f t="shared" si="57"/>
        <v>-3.1093444127235772E-2</v>
      </c>
    </row>
    <row r="84" spans="2:52" x14ac:dyDescent="0.3">
      <c r="B84" s="13">
        <v>5.2442509910424225E-5</v>
      </c>
      <c r="C84" s="13">
        <v>6.7548691906548081E-2</v>
      </c>
      <c r="D84" s="13">
        <v>2.3504291001622171E-2</v>
      </c>
      <c r="E84" s="13">
        <v>4.8519111766965606E-2</v>
      </c>
      <c r="F84" s="13">
        <v>2.5009849627301087E-2</v>
      </c>
      <c r="G84" s="13">
        <v>3.7060885099851296E-2</v>
      </c>
      <c r="H84" s="13">
        <v>6.1213635215807645E-2</v>
      </c>
      <c r="I84" s="13">
        <v>0.11854378122369254</v>
      </c>
      <c r="J84" s="13">
        <v>3.6466811168179333E-2</v>
      </c>
      <c r="K84" s="13">
        <v>0.29101112864850792</v>
      </c>
      <c r="L84" s="13">
        <v>4.1986545717431198E-2</v>
      </c>
      <c r="M84" s="13">
        <v>6.6817538891042513E-2</v>
      </c>
      <c r="N84" s="13">
        <v>0.1639026605431543</v>
      </c>
      <c r="O84" s="13">
        <v>7.224629120449956E-2</v>
      </c>
      <c r="R84" s="14">
        <f t="shared" si="30"/>
        <v>6.293101189250907E-5</v>
      </c>
      <c r="S84" s="14">
        <f t="shared" si="31"/>
        <v>8.1058430287857697E-2</v>
      </c>
      <c r="T84" s="14">
        <f t="shared" si="32"/>
        <v>2.8205149201946604E-2</v>
      </c>
      <c r="U84" s="14">
        <f t="shared" si="33"/>
        <v>5.8222934120358727E-2</v>
      </c>
      <c r="V84" s="14">
        <f t="shared" si="34"/>
        <v>3.0011819552761304E-2</v>
      </c>
      <c r="W84" s="14">
        <f t="shared" si="35"/>
        <v>4.4473062119821556E-2</v>
      </c>
      <c r="X84" s="14">
        <f t="shared" si="36"/>
        <v>7.3456362258969177E-2</v>
      </c>
      <c r="Y84" s="14">
        <f t="shared" si="37"/>
        <v>0.14225253746843103</v>
      </c>
      <c r="Z84" s="14">
        <f t="shared" si="38"/>
        <v>4.3760173401815199E-2</v>
      </c>
      <c r="AA84" s="14">
        <f t="shared" si="39"/>
        <v>0.3492133543782095</v>
      </c>
      <c r="AB84" s="14">
        <f t="shared" si="40"/>
        <v>5.0383854860917433E-2</v>
      </c>
      <c r="AC84" s="14">
        <f t="shared" si="41"/>
        <v>8.0181046669251008E-2</v>
      </c>
      <c r="AD84" s="14">
        <f t="shared" si="42"/>
        <v>0.19668319265178516</v>
      </c>
      <c r="AE84" s="14">
        <f t="shared" si="43"/>
        <v>8.6695549445399464E-2</v>
      </c>
      <c r="AM84" s="14">
        <f t="shared" si="44"/>
        <v>-7.7431854086395038E-3</v>
      </c>
      <c r="AN84" s="14">
        <f t="shared" si="45"/>
        <v>6.0261723768037692E-2</v>
      </c>
      <c r="AO84" s="14">
        <f t="shared" si="46"/>
        <v>2.0327212862317166E-2</v>
      </c>
      <c r="AP84" s="14">
        <f t="shared" si="47"/>
        <v>4.8388426080827315E-2</v>
      </c>
      <c r="AQ84" s="14">
        <f t="shared" si="48"/>
        <v>1.6188880088997805E-2</v>
      </c>
      <c r="AR84" s="14">
        <f t="shared" si="49"/>
        <v>3.5960457290184204E-2</v>
      </c>
      <c r="AS84" s="14">
        <f t="shared" si="50"/>
        <v>6.064335926412958E-2</v>
      </c>
      <c r="AT84" s="14">
        <f t="shared" si="51"/>
        <v>0.1368566061578862</v>
      </c>
      <c r="AU84" s="14">
        <f t="shared" si="52"/>
        <v>2.7636680825057363E-2</v>
      </c>
      <c r="AV84" s="14">
        <f t="shared" si="53"/>
        <v>0.32716196616807502</v>
      </c>
      <c r="AW84" s="14">
        <f t="shared" si="54"/>
        <v>3.7296066984093046E-2</v>
      </c>
      <c r="AX84" s="14">
        <f t="shared" si="55"/>
        <v>5.3472194032435125E-2</v>
      </c>
      <c r="AY84" s="14">
        <f t="shared" si="56"/>
        <v>0.18541226116370527</v>
      </c>
      <c r="AZ84" s="14">
        <f t="shared" si="57"/>
        <v>8.2081497448679028E-2</v>
      </c>
    </row>
    <row r="85" spans="2:52" x14ac:dyDescent="0.3">
      <c r="B85" s="13">
        <v>6.5337503429461312E-3</v>
      </c>
      <c r="C85" s="13">
        <v>-2.584238262552099E-2</v>
      </c>
      <c r="D85" s="13">
        <v>-4.2669982449904005E-3</v>
      </c>
      <c r="E85" s="13">
        <v>-4.4009709553507997E-2</v>
      </c>
      <c r="F85" s="13">
        <v>-7.894751781504461E-2</v>
      </c>
      <c r="G85" s="13">
        <v>-3.5367143837291358E-2</v>
      </c>
      <c r="H85" s="13">
        <v>-4.8456746129722297E-2</v>
      </c>
      <c r="I85" s="13">
        <v>-3.1675108479756249E-2</v>
      </c>
      <c r="J85" s="13">
        <v>9.9900930750861858E-3</v>
      </c>
      <c r="K85" s="13">
        <v>-4.3571632738021074E-2</v>
      </c>
      <c r="L85" s="13">
        <v>5.3937839187161357E-2</v>
      </c>
      <c r="M85" s="13">
        <v>1.8275972190240858E-3</v>
      </c>
      <c r="N85" s="13">
        <v>-7.0499207392188748E-3</v>
      </c>
      <c r="O85" s="13">
        <v>6.2138316023377911E-3</v>
      </c>
      <c r="R85" s="14">
        <f t="shared" si="30"/>
        <v>7.8405004115353564E-3</v>
      </c>
      <c r="S85" s="14">
        <f t="shared" si="31"/>
        <v>-2.0673906100416792E-2</v>
      </c>
      <c r="T85" s="14">
        <f t="shared" si="32"/>
        <v>-3.4135985959923205E-3</v>
      </c>
      <c r="U85" s="14">
        <f t="shared" si="33"/>
        <v>-3.5207767642806399E-2</v>
      </c>
      <c r="V85" s="14">
        <f t="shared" si="34"/>
        <v>-6.3158014252035696E-2</v>
      </c>
      <c r="W85" s="14">
        <f t="shared" si="35"/>
        <v>-2.8293715069833088E-2</v>
      </c>
      <c r="X85" s="14">
        <f t="shared" si="36"/>
        <v>-3.8765396903777838E-2</v>
      </c>
      <c r="Y85" s="14">
        <f t="shared" si="37"/>
        <v>-2.5340086783805001E-2</v>
      </c>
      <c r="Z85" s="14">
        <f t="shared" si="38"/>
        <v>1.1988111690103423E-2</v>
      </c>
      <c r="AA85" s="14">
        <f t="shared" si="39"/>
        <v>-3.485730619041686E-2</v>
      </c>
      <c r="AB85" s="14">
        <f t="shared" si="40"/>
        <v>6.4725407024593631E-2</v>
      </c>
      <c r="AC85" s="14">
        <f t="shared" si="41"/>
        <v>2.193116662828903E-3</v>
      </c>
      <c r="AD85" s="14">
        <f t="shared" si="42"/>
        <v>-5.6399365913750998E-3</v>
      </c>
      <c r="AE85" s="14">
        <f t="shared" si="43"/>
        <v>7.4565979228053492E-3</v>
      </c>
      <c r="AM85" s="14">
        <f t="shared" si="44"/>
        <v>3.4383991003343432E-5</v>
      </c>
      <c r="AN85" s="14">
        <f t="shared" si="45"/>
        <v>-4.1470612620236796E-2</v>
      </c>
      <c r="AO85" s="14">
        <f t="shared" si="46"/>
        <v>-1.129153493562176E-2</v>
      </c>
      <c r="AP85" s="14">
        <f t="shared" si="47"/>
        <v>-4.5042275682337811E-2</v>
      </c>
      <c r="AQ85" s="14">
        <f t="shared" si="48"/>
        <v>-7.6980953715799189E-2</v>
      </c>
      <c r="AR85" s="14">
        <f t="shared" si="49"/>
        <v>-3.680631989947044E-2</v>
      </c>
      <c r="AS85" s="14">
        <f t="shared" si="50"/>
        <v>-5.1578399898617434E-2</v>
      </c>
      <c r="AT85" s="14">
        <f t="shared" si="51"/>
        <v>-3.0736018094349827E-2</v>
      </c>
      <c r="AU85" s="14">
        <f t="shared" si="52"/>
        <v>-4.1353808866544123E-3</v>
      </c>
      <c r="AV85" s="14">
        <f t="shared" si="53"/>
        <v>-5.6908694400551317E-2</v>
      </c>
      <c r="AW85" s="14">
        <f t="shared" si="54"/>
        <v>5.1637619147769244E-2</v>
      </c>
      <c r="AX85" s="14">
        <f t="shared" si="55"/>
        <v>-2.4515735973986978E-2</v>
      </c>
      <c r="AY85" s="14">
        <f t="shared" si="56"/>
        <v>-1.6910868079455008E-2</v>
      </c>
      <c r="AZ85" s="14">
        <f t="shared" si="57"/>
        <v>2.8425459260849068E-3</v>
      </c>
    </row>
    <row r="86" spans="2:52" x14ac:dyDescent="0.3">
      <c r="B86" s="13">
        <v>2.0064112739263402E-2</v>
      </c>
      <c r="C86" s="13">
        <v>5.360387052329775E-2</v>
      </c>
      <c r="D86" s="13">
        <v>-1.5832857786531325E-2</v>
      </c>
      <c r="E86" s="13">
        <v>9.9527841251878857E-2</v>
      </c>
      <c r="F86" s="13">
        <v>2.4390526410955998E-2</v>
      </c>
      <c r="G86" s="13">
        <v>1.6857117066423025E-2</v>
      </c>
      <c r="H86" s="13">
        <v>0.10083728555865566</v>
      </c>
      <c r="I86" s="13">
        <v>-0.17637381661196858</v>
      </c>
      <c r="J86" s="13">
        <v>3.067124597048786E-2</v>
      </c>
      <c r="K86" s="13">
        <v>-6.1989369363899961E-2</v>
      </c>
      <c r="L86" s="13">
        <v>1.9084148446900207E-2</v>
      </c>
      <c r="M86" s="13">
        <v>8.065116525239345E-2</v>
      </c>
      <c r="N86" s="13">
        <v>0.19818151467733711</v>
      </c>
      <c r="O86" s="13">
        <v>2.8452408500087432E-2</v>
      </c>
      <c r="R86" s="14">
        <f t="shared" si="30"/>
        <v>2.4076935287116082E-2</v>
      </c>
      <c r="S86" s="14">
        <f t="shared" si="31"/>
        <v>6.4324644627957298E-2</v>
      </c>
      <c r="T86" s="14">
        <f t="shared" si="32"/>
        <v>-1.2666286229225061E-2</v>
      </c>
      <c r="U86" s="14">
        <f t="shared" si="33"/>
        <v>0.11943340950225462</v>
      </c>
      <c r="V86" s="14">
        <f t="shared" si="34"/>
        <v>2.9268631693147196E-2</v>
      </c>
      <c r="W86" s="14">
        <f t="shared" si="35"/>
        <v>2.0228540479707628E-2</v>
      </c>
      <c r="X86" s="14">
        <f t="shared" si="36"/>
        <v>0.12100474267038679</v>
      </c>
      <c r="Y86" s="14">
        <f t="shared" si="37"/>
        <v>-0.14109905328957487</v>
      </c>
      <c r="Z86" s="14">
        <f t="shared" si="38"/>
        <v>3.6805495164585429E-2</v>
      </c>
      <c r="AA86" s="14">
        <f t="shared" si="39"/>
        <v>-4.959149549111997E-2</v>
      </c>
      <c r="AB86" s="14">
        <f t="shared" si="40"/>
        <v>2.2900978136280246E-2</v>
      </c>
      <c r="AC86" s="14">
        <f t="shared" si="41"/>
        <v>9.6781398302872135E-2</v>
      </c>
      <c r="AD86" s="14">
        <f t="shared" si="42"/>
        <v>0.23781781761280452</v>
      </c>
      <c r="AE86" s="14">
        <f t="shared" si="43"/>
        <v>3.4142890200104914E-2</v>
      </c>
      <c r="AM86" s="14">
        <f t="shared" si="44"/>
        <v>1.6270818866584068E-2</v>
      </c>
      <c r="AN86" s="14">
        <f t="shared" si="45"/>
        <v>4.3527938108137293E-2</v>
      </c>
      <c r="AO86" s="14">
        <f t="shared" si="46"/>
        <v>-2.0544222568854499E-2</v>
      </c>
      <c r="AP86" s="14">
        <f t="shared" si="47"/>
        <v>0.10959890146272321</v>
      </c>
      <c r="AQ86" s="14">
        <f t="shared" si="48"/>
        <v>1.5445692229383697E-2</v>
      </c>
      <c r="AR86" s="14">
        <f t="shared" si="49"/>
        <v>1.1715935650070274E-2</v>
      </c>
      <c r="AS86" s="14">
        <f t="shared" si="50"/>
        <v>0.10819173967554718</v>
      </c>
      <c r="AT86" s="14">
        <f t="shared" si="51"/>
        <v>-0.1464949846001197</v>
      </c>
      <c r="AU86" s="14">
        <f t="shared" si="52"/>
        <v>2.0682002587827594E-2</v>
      </c>
      <c r="AV86" s="14">
        <f t="shared" si="53"/>
        <v>-7.1642883701254434E-2</v>
      </c>
      <c r="AW86" s="14">
        <f t="shared" si="54"/>
        <v>9.8131902594558607E-3</v>
      </c>
      <c r="AX86" s="14">
        <f t="shared" si="55"/>
        <v>7.0072545666056252E-2</v>
      </c>
      <c r="AY86" s="14">
        <f t="shared" si="56"/>
        <v>0.22654688612472462</v>
      </c>
      <c r="AZ86" s="14">
        <f t="shared" si="57"/>
        <v>2.9528838203384471E-2</v>
      </c>
    </row>
    <row r="87" spans="2:52" x14ac:dyDescent="0.3">
      <c r="B87" s="13">
        <v>-7.3295195416429509E-2</v>
      </c>
      <c r="C87" s="13">
        <v>-4.528828153369608E-2</v>
      </c>
      <c r="D87" s="13">
        <v>-3.1797319684254005E-2</v>
      </c>
      <c r="E87" s="13">
        <v>-3.4296966944903133E-2</v>
      </c>
      <c r="F87" s="13">
        <v>-4.8366143584947514E-2</v>
      </c>
      <c r="G87" s="13">
        <v>5.4174699998547522E-2</v>
      </c>
      <c r="H87" s="13">
        <v>-4.6376647927199359E-2</v>
      </c>
      <c r="I87" s="13">
        <v>6.5329210416230953E-3</v>
      </c>
      <c r="J87" s="13">
        <v>-3.3391974945663941E-2</v>
      </c>
      <c r="K87" s="13">
        <v>-8.1882375467868432E-2</v>
      </c>
      <c r="L87" s="13">
        <v>-6.3016345516740319E-2</v>
      </c>
      <c r="M87" s="13">
        <v>2.1661496781179467E-2</v>
      </c>
      <c r="N87" s="13">
        <v>-3.705811630344058E-2</v>
      </c>
      <c r="O87" s="13">
        <v>-5.6579039547959675E-2</v>
      </c>
      <c r="R87" s="14">
        <f t="shared" si="30"/>
        <v>-5.8636156333143612E-2</v>
      </c>
      <c r="S87" s="14">
        <f t="shared" si="31"/>
        <v>-3.6230625226956865E-2</v>
      </c>
      <c r="T87" s="14">
        <f t="shared" si="32"/>
        <v>-2.5437855747403204E-2</v>
      </c>
      <c r="U87" s="14">
        <f t="shared" si="33"/>
        <v>-2.7437573555922509E-2</v>
      </c>
      <c r="V87" s="14">
        <f t="shared" si="34"/>
        <v>-3.8692914867958013E-2</v>
      </c>
      <c r="W87" s="14">
        <f t="shared" si="35"/>
        <v>6.5009639998257027E-2</v>
      </c>
      <c r="X87" s="14">
        <f t="shared" si="36"/>
        <v>-3.710131834175949E-2</v>
      </c>
      <c r="Y87" s="14">
        <f t="shared" si="37"/>
        <v>7.8395052499477137E-3</v>
      </c>
      <c r="Z87" s="14">
        <f t="shared" si="38"/>
        <v>-2.6713579956531154E-2</v>
      </c>
      <c r="AA87" s="14">
        <f t="shared" si="39"/>
        <v>-6.5505900374294754E-2</v>
      </c>
      <c r="AB87" s="14">
        <f t="shared" si="40"/>
        <v>-5.0413076413392259E-2</v>
      </c>
      <c r="AC87" s="14">
        <f t="shared" si="41"/>
        <v>2.599379613741536E-2</v>
      </c>
      <c r="AD87" s="14">
        <f t="shared" si="42"/>
        <v>-2.9646493042752464E-2</v>
      </c>
      <c r="AE87" s="14">
        <f t="shared" si="43"/>
        <v>-4.5263231638367742E-2</v>
      </c>
      <c r="AM87" s="14">
        <f t="shared" si="44"/>
        <v>-6.6442272753675619E-2</v>
      </c>
      <c r="AN87" s="14">
        <f t="shared" si="45"/>
        <v>-5.7027331746776877E-2</v>
      </c>
      <c r="AO87" s="14">
        <f t="shared" si="46"/>
        <v>-3.3315792087032642E-2</v>
      </c>
      <c r="AP87" s="14">
        <f t="shared" si="47"/>
        <v>-3.7272081595453921E-2</v>
      </c>
      <c r="AQ87" s="14">
        <f t="shared" si="48"/>
        <v>-5.2515854331721512E-2</v>
      </c>
      <c r="AR87" s="14">
        <f t="shared" si="49"/>
        <v>5.6497035168619675E-2</v>
      </c>
      <c r="AS87" s="14">
        <f t="shared" si="50"/>
        <v>-4.9914321336599086E-2</v>
      </c>
      <c r="AT87" s="14">
        <f t="shared" si="51"/>
        <v>2.4435739394028889E-3</v>
      </c>
      <c r="AU87" s="14">
        <f t="shared" si="52"/>
        <v>-4.2837072533288986E-2</v>
      </c>
      <c r="AV87" s="14">
        <f t="shared" si="53"/>
        <v>-8.755728858442921E-2</v>
      </c>
      <c r="AW87" s="14">
        <f t="shared" si="54"/>
        <v>-6.3500864290216646E-2</v>
      </c>
      <c r="AX87" s="14">
        <f t="shared" si="55"/>
        <v>-7.1505649940051957E-4</v>
      </c>
      <c r="AY87" s="14">
        <f t="shared" si="56"/>
        <v>-4.0917424530832372E-2</v>
      </c>
      <c r="AZ87" s="14">
        <f t="shared" si="57"/>
        <v>-4.9877283635088185E-2</v>
      </c>
    </row>
    <row r="88" spans="2:52" x14ac:dyDescent="0.3">
      <c r="B88" s="13">
        <v>-2.3348661983835253E-2</v>
      </c>
      <c r="C88" s="13">
        <v>-8.9619152894988036E-2</v>
      </c>
      <c r="D88" s="13">
        <v>-2.0870376342923932E-2</v>
      </c>
      <c r="E88" s="13">
        <v>1.1254824434786193E-2</v>
      </c>
      <c r="F88" s="13">
        <v>-4.5162858108805951E-2</v>
      </c>
      <c r="G88" s="13">
        <v>-8.3459726119423875E-3</v>
      </c>
      <c r="H88" s="13">
        <v>-2.9690114566811067E-2</v>
      </c>
      <c r="I88" s="13">
        <v>-6.932515259982773E-2</v>
      </c>
      <c r="J88" s="13">
        <v>-1.5198980275414494E-2</v>
      </c>
      <c r="K88" s="13">
        <v>-7.4892399980316382E-2</v>
      </c>
      <c r="L88" s="13">
        <v>-3.3520177962962409E-2</v>
      </c>
      <c r="M88" s="13">
        <v>-0.16640494475072529</v>
      </c>
      <c r="N88" s="13">
        <v>-8.5675216830398498E-2</v>
      </c>
      <c r="O88" s="13">
        <v>-3.6271114415502938E-2</v>
      </c>
      <c r="R88" s="14">
        <f t="shared" si="30"/>
        <v>-1.8678929587068203E-2</v>
      </c>
      <c r="S88" s="14">
        <f t="shared" si="31"/>
        <v>-7.1695322315990434E-2</v>
      </c>
      <c r="T88" s="14">
        <f t="shared" si="32"/>
        <v>-1.6696301074339146E-2</v>
      </c>
      <c r="U88" s="14">
        <f t="shared" si="33"/>
        <v>1.3505789321743431E-2</v>
      </c>
      <c r="V88" s="14">
        <f t="shared" si="34"/>
        <v>-3.6130286487044763E-2</v>
      </c>
      <c r="W88" s="14">
        <f t="shared" si="35"/>
        <v>-6.6767780895539107E-3</v>
      </c>
      <c r="X88" s="14">
        <f t="shared" si="36"/>
        <v>-2.3752091653448854E-2</v>
      </c>
      <c r="Y88" s="14">
        <f t="shared" si="37"/>
        <v>-5.5460122079862187E-2</v>
      </c>
      <c r="Z88" s="14">
        <f t="shared" si="38"/>
        <v>-1.2159184220331597E-2</v>
      </c>
      <c r="AA88" s="14">
        <f t="shared" si="39"/>
        <v>-5.9913919984253106E-2</v>
      </c>
      <c r="AB88" s="14">
        <f t="shared" si="40"/>
        <v>-2.681614237036993E-2</v>
      </c>
      <c r="AC88" s="14">
        <f t="shared" si="41"/>
        <v>-0.13312395580058023</v>
      </c>
      <c r="AD88" s="14">
        <f t="shared" si="42"/>
        <v>-6.8540173464318802E-2</v>
      </c>
      <c r="AE88" s="14">
        <f t="shared" si="43"/>
        <v>-2.9016891532402351E-2</v>
      </c>
      <c r="AM88" s="14">
        <f t="shared" si="44"/>
        <v>-2.6485046007600217E-2</v>
      </c>
      <c r="AN88" s="14">
        <f t="shared" si="45"/>
        <v>-9.2492028835810439E-2</v>
      </c>
      <c r="AO88" s="14">
        <f t="shared" si="46"/>
        <v>-2.4574237413968587E-2</v>
      </c>
      <c r="AP88" s="14">
        <f t="shared" si="47"/>
        <v>3.6712812822120213E-3</v>
      </c>
      <c r="AQ88" s="14">
        <f t="shared" si="48"/>
        <v>-4.9953225950808262E-2</v>
      </c>
      <c r="AR88" s="14">
        <f t="shared" si="49"/>
        <v>-1.5189382919191264E-2</v>
      </c>
      <c r="AS88" s="14">
        <f t="shared" si="50"/>
        <v>-3.656509464828845E-2</v>
      </c>
      <c r="AT88" s="14">
        <f t="shared" si="51"/>
        <v>-6.0856053390407013E-2</v>
      </c>
      <c r="AU88" s="14">
        <f t="shared" si="52"/>
        <v>-2.8282676797089432E-2</v>
      </c>
      <c r="AV88" s="14">
        <f t="shared" si="53"/>
        <v>-8.1965308194387562E-2</v>
      </c>
      <c r="AW88" s="14">
        <f t="shared" si="54"/>
        <v>-3.9903930247194318E-2</v>
      </c>
      <c r="AX88" s="14">
        <f t="shared" si="55"/>
        <v>-0.15983280843739611</v>
      </c>
      <c r="AY88" s="14">
        <f t="shared" si="56"/>
        <v>-7.9811104952398709E-2</v>
      </c>
      <c r="AZ88" s="14">
        <f t="shared" si="57"/>
        <v>-3.3630943529122791E-2</v>
      </c>
    </row>
    <row r="89" spans="2:52" x14ac:dyDescent="0.3">
      <c r="B89" s="13">
        <v>-1.8735645118341585E-2</v>
      </c>
      <c r="C89" s="13">
        <v>5.8245813702432141E-2</v>
      </c>
      <c r="D89" s="13">
        <v>-1.4212226858409897E-2</v>
      </c>
      <c r="E89" s="13">
        <v>-1.6341504416980582E-2</v>
      </c>
      <c r="F89" s="13">
        <v>-0.1187055710964053</v>
      </c>
      <c r="G89" s="13">
        <v>-3.8218397923577153E-2</v>
      </c>
      <c r="H89" s="13">
        <v>-6.2904353426330481E-2</v>
      </c>
      <c r="I89" s="13">
        <v>-8.8553397341445059E-2</v>
      </c>
      <c r="J89" s="13">
        <v>-9.6265403427975328E-3</v>
      </c>
      <c r="K89" s="13">
        <v>-0.10151380422926422</v>
      </c>
      <c r="L89" s="13">
        <v>2.2172854070136985E-2</v>
      </c>
      <c r="M89" s="13">
        <v>-6.7788442750069441E-2</v>
      </c>
      <c r="N89" s="13">
        <v>5.0454087851321567E-4</v>
      </c>
      <c r="O89" s="13">
        <v>-4.6655212930430375E-3</v>
      </c>
      <c r="R89" s="14">
        <f t="shared" si="30"/>
        <v>-1.498851609467327E-2</v>
      </c>
      <c r="S89" s="14">
        <f t="shared" si="31"/>
        <v>6.989497644291856E-2</v>
      </c>
      <c r="T89" s="14">
        <f t="shared" si="32"/>
        <v>-1.1369781486727917E-2</v>
      </c>
      <c r="U89" s="14">
        <f t="shared" si="33"/>
        <v>-1.3073203533584467E-2</v>
      </c>
      <c r="V89" s="14">
        <f t="shared" si="34"/>
        <v>-9.4964456877124237E-2</v>
      </c>
      <c r="W89" s="14">
        <f t="shared" si="35"/>
        <v>-3.0574718338861724E-2</v>
      </c>
      <c r="X89" s="14">
        <f t="shared" si="36"/>
        <v>-5.0323482741064386E-2</v>
      </c>
      <c r="Y89" s="14">
        <f t="shared" si="37"/>
        <v>-7.0842717873156047E-2</v>
      </c>
      <c r="Z89" s="14">
        <f t="shared" si="38"/>
        <v>-7.7012322742380269E-3</v>
      </c>
      <c r="AA89" s="14">
        <f t="shared" si="39"/>
        <v>-8.1211043383411383E-2</v>
      </c>
      <c r="AB89" s="14">
        <f t="shared" si="40"/>
        <v>2.6607424884164382E-2</v>
      </c>
      <c r="AC89" s="14">
        <f t="shared" si="41"/>
        <v>-5.4230754200055555E-2</v>
      </c>
      <c r="AD89" s="14">
        <f t="shared" si="42"/>
        <v>6.0544905421585878E-4</v>
      </c>
      <c r="AE89" s="14">
        <f t="shared" si="43"/>
        <v>-3.7324170344344302E-3</v>
      </c>
      <c r="AM89" s="14">
        <f t="shared" si="44"/>
        <v>-2.2794632515205283E-2</v>
      </c>
      <c r="AN89" s="14">
        <f t="shared" si="45"/>
        <v>4.9098269923098556E-2</v>
      </c>
      <c r="AO89" s="14">
        <f t="shared" si="46"/>
        <v>-1.9247717826357355E-2</v>
      </c>
      <c r="AP89" s="14">
        <f t="shared" si="47"/>
        <v>-2.2907711573115878E-2</v>
      </c>
      <c r="AQ89" s="14">
        <f t="shared" si="48"/>
        <v>-0.10878739634088774</v>
      </c>
      <c r="AR89" s="14">
        <f t="shared" si="49"/>
        <v>-3.9087323168499076E-2</v>
      </c>
      <c r="AS89" s="14">
        <f t="shared" si="50"/>
        <v>-6.3136485735903983E-2</v>
      </c>
      <c r="AT89" s="14">
        <f t="shared" si="51"/>
        <v>-7.6238649183700866E-2</v>
      </c>
      <c r="AU89" s="14">
        <f t="shared" si="52"/>
        <v>-2.3824724850995863E-2</v>
      </c>
      <c r="AV89" s="14">
        <f t="shared" si="53"/>
        <v>-0.10326243159354584</v>
      </c>
      <c r="AW89" s="14">
        <f t="shared" si="54"/>
        <v>1.3519637007339996E-2</v>
      </c>
      <c r="AX89" s="14">
        <f t="shared" si="55"/>
        <v>-8.0939606836871431E-2</v>
      </c>
      <c r="AY89" s="14">
        <f t="shared" si="56"/>
        <v>-1.0665482433864048E-2</v>
      </c>
      <c r="AZ89" s="14">
        <f t="shared" si="57"/>
        <v>-8.3464690311548725E-3</v>
      </c>
    </row>
    <row r="90" spans="2:52" x14ac:dyDescent="0.3">
      <c r="B90" s="13">
        <v>2.3337224506253518E-2</v>
      </c>
      <c r="C90" s="13">
        <v>6.0923449598775867E-2</v>
      </c>
      <c r="D90" s="13">
        <v>2.0330353366573593E-2</v>
      </c>
      <c r="E90" s="13">
        <v>1.8808357348497045E-2</v>
      </c>
      <c r="F90" s="13">
        <v>0.10183209288233351</v>
      </c>
      <c r="G90" s="13">
        <v>3.002101493577514E-4</v>
      </c>
      <c r="H90" s="13">
        <v>7.9121291879492277E-3</v>
      </c>
      <c r="I90" s="13">
        <v>7.5963468919347764E-3</v>
      </c>
      <c r="J90" s="13">
        <v>1.8760250583106229E-2</v>
      </c>
      <c r="K90" s="13">
        <v>1.4513649135798371E-2</v>
      </c>
      <c r="L90" s="13">
        <v>-1.6469633409939403E-2</v>
      </c>
      <c r="M90" s="13">
        <v>8.9872710002364582E-3</v>
      </c>
      <c r="N90" s="13">
        <v>-3.0082268355914016E-2</v>
      </c>
      <c r="O90" s="13">
        <v>2.1047123664929088E-2</v>
      </c>
      <c r="R90" s="14">
        <f t="shared" si="30"/>
        <v>2.8004669407504221E-2</v>
      </c>
      <c r="S90" s="14">
        <f t="shared" si="31"/>
        <v>7.310813951853104E-2</v>
      </c>
      <c r="T90" s="14">
        <f t="shared" si="32"/>
        <v>2.4396424039888311E-2</v>
      </c>
      <c r="U90" s="14">
        <f t="shared" si="33"/>
        <v>2.2570028818196454E-2</v>
      </c>
      <c r="V90" s="14">
        <f t="shared" si="34"/>
        <v>0.1221985114588002</v>
      </c>
      <c r="W90" s="14">
        <f t="shared" si="35"/>
        <v>3.6025217922930168E-4</v>
      </c>
      <c r="X90" s="14">
        <f t="shared" si="36"/>
        <v>9.4945550255390726E-3</v>
      </c>
      <c r="Y90" s="14">
        <f t="shared" si="37"/>
        <v>9.115616270321732E-3</v>
      </c>
      <c r="Z90" s="14">
        <f t="shared" si="38"/>
        <v>2.2512300699727473E-2</v>
      </c>
      <c r="AA90" s="14">
        <f t="shared" si="39"/>
        <v>1.7416378962958043E-2</v>
      </c>
      <c r="AB90" s="14">
        <f t="shared" si="40"/>
        <v>-1.3175706727951523E-2</v>
      </c>
      <c r="AC90" s="14">
        <f t="shared" si="41"/>
        <v>1.078472520028375E-2</v>
      </c>
      <c r="AD90" s="14">
        <f t="shared" si="42"/>
        <v>-2.4065814684731214E-2</v>
      </c>
      <c r="AE90" s="14">
        <f t="shared" si="43"/>
        <v>2.5256548397914906E-2</v>
      </c>
      <c r="AM90" s="14">
        <f t="shared" si="44"/>
        <v>2.0198552986972207E-2</v>
      </c>
      <c r="AN90" s="14">
        <f t="shared" si="45"/>
        <v>5.2311432998711035E-2</v>
      </c>
      <c r="AO90" s="14">
        <f t="shared" si="46"/>
        <v>1.651848770025887E-2</v>
      </c>
      <c r="AP90" s="14">
        <f t="shared" si="47"/>
        <v>1.2735520778665044E-2</v>
      </c>
      <c r="AQ90" s="14">
        <f t="shared" si="48"/>
        <v>0.1083755719950367</v>
      </c>
      <c r="AR90" s="14">
        <f t="shared" si="49"/>
        <v>-8.1523526504080519E-3</v>
      </c>
      <c r="AS90" s="14">
        <f t="shared" si="50"/>
        <v>-3.3184479693005257E-3</v>
      </c>
      <c r="AT90" s="14">
        <f t="shared" si="51"/>
        <v>3.7196849597769073E-3</v>
      </c>
      <c r="AU90" s="14">
        <f t="shared" si="52"/>
        <v>6.3888081229696372E-3</v>
      </c>
      <c r="AV90" s="14">
        <f t="shared" si="53"/>
        <v>-4.6350092471764137E-3</v>
      </c>
      <c r="AW90" s="14">
        <f t="shared" si="54"/>
        <v>-2.6263494604775908E-2</v>
      </c>
      <c r="AX90" s="14">
        <f t="shared" si="55"/>
        <v>-1.592412743653213E-2</v>
      </c>
      <c r="AY90" s="14">
        <f t="shared" si="56"/>
        <v>-3.5336746172811122E-2</v>
      </c>
      <c r="AZ90" s="14">
        <f t="shared" si="57"/>
        <v>2.0642496401194463E-2</v>
      </c>
    </row>
    <row r="91" spans="2:52" x14ac:dyDescent="0.3">
      <c r="B91" s="13">
        <v>5.8973262530996114E-2</v>
      </c>
      <c r="C91" s="13">
        <v>5.269387764990531E-2</v>
      </c>
      <c r="D91" s="13">
        <v>1.7433379952222997E-2</v>
      </c>
      <c r="E91" s="13">
        <v>4.3540808283288185E-2</v>
      </c>
      <c r="F91" s="13">
        <v>2.6552428401140398E-2</v>
      </c>
      <c r="G91" s="13">
        <v>3.5820765387400672E-2</v>
      </c>
      <c r="H91" s="13">
        <v>3.7400385665967532E-2</v>
      </c>
      <c r="I91" s="13">
        <v>0.12102103093015885</v>
      </c>
      <c r="J91" s="13">
        <v>7.5000550212126676E-2</v>
      </c>
      <c r="K91" s="13">
        <v>4.9008164593472528E-2</v>
      </c>
      <c r="L91" s="13">
        <v>6.7718174054950855E-2</v>
      </c>
      <c r="M91" s="13">
        <v>4.3763294385292265E-2</v>
      </c>
      <c r="N91" s="13">
        <v>6.0142909664532979E-2</v>
      </c>
      <c r="O91" s="13">
        <v>5.7683468818702843E-2</v>
      </c>
      <c r="R91" s="14">
        <f t="shared" si="30"/>
        <v>7.0767915037195331E-2</v>
      </c>
      <c r="S91" s="14">
        <f t="shared" si="31"/>
        <v>6.3232653179886369E-2</v>
      </c>
      <c r="T91" s="14">
        <f t="shared" si="32"/>
        <v>2.0920055942667597E-2</v>
      </c>
      <c r="U91" s="14">
        <f t="shared" si="33"/>
        <v>5.2248969939945822E-2</v>
      </c>
      <c r="V91" s="14">
        <f t="shared" si="34"/>
        <v>3.1862914081368474E-2</v>
      </c>
      <c r="W91" s="14">
        <f t="shared" si="35"/>
        <v>4.2984918464880804E-2</v>
      </c>
      <c r="X91" s="14">
        <f t="shared" si="36"/>
        <v>4.4880462799161039E-2</v>
      </c>
      <c r="Y91" s="14">
        <f t="shared" si="37"/>
        <v>0.14522523711619062</v>
      </c>
      <c r="Z91" s="14">
        <f t="shared" si="38"/>
        <v>9.0000660254552015E-2</v>
      </c>
      <c r="AA91" s="14">
        <f t="shared" si="39"/>
        <v>5.8809797512167028E-2</v>
      </c>
      <c r="AB91" s="14">
        <f t="shared" si="40"/>
        <v>8.1261808865941018E-2</v>
      </c>
      <c r="AC91" s="14">
        <f t="shared" si="41"/>
        <v>5.2515953262350715E-2</v>
      </c>
      <c r="AD91" s="14">
        <f t="shared" si="42"/>
        <v>7.2171491597439574E-2</v>
      </c>
      <c r="AE91" s="14">
        <f t="shared" si="43"/>
        <v>6.9220162582443415E-2</v>
      </c>
      <c r="AM91" s="14">
        <f t="shared" si="44"/>
        <v>6.2961798616663317E-2</v>
      </c>
      <c r="AN91" s="14">
        <f t="shared" si="45"/>
        <v>4.2435946660066365E-2</v>
      </c>
      <c r="AO91" s="14">
        <f t="shared" si="46"/>
        <v>1.3042119603038157E-2</v>
      </c>
      <c r="AP91" s="14">
        <f t="shared" si="47"/>
        <v>4.241446190041441E-2</v>
      </c>
      <c r="AQ91" s="14">
        <f t="shared" si="48"/>
        <v>1.8039974617604974E-2</v>
      </c>
      <c r="AR91" s="14">
        <f t="shared" si="49"/>
        <v>3.4472313635243453E-2</v>
      </c>
      <c r="AS91" s="14">
        <f t="shared" si="50"/>
        <v>3.2067459804321442E-2</v>
      </c>
      <c r="AT91" s="14">
        <f t="shared" si="51"/>
        <v>0.13982930580564579</v>
      </c>
      <c r="AU91" s="14">
        <f t="shared" si="52"/>
        <v>7.3877167677794175E-2</v>
      </c>
      <c r="AV91" s="14">
        <f t="shared" si="53"/>
        <v>3.6758409302032571E-2</v>
      </c>
      <c r="AW91" s="14">
        <f t="shared" si="54"/>
        <v>6.8174020989116638E-2</v>
      </c>
      <c r="AX91" s="14">
        <f t="shared" si="55"/>
        <v>2.5807100625534835E-2</v>
      </c>
      <c r="AY91" s="14">
        <f t="shared" si="56"/>
        <v>6.0900560109359667E-2</v>
      </c>
      <c r="AZ91" s="14">
        <f t="shared" si="57"/>
        <v>6.4606110585722978E-2</v>
      </c>
    </row>
    <row r="92" spans="2:52" x14ac:dyDescent="0.3">
      <c r="B92" s="13">
        <v>-6.1383645154890747E-2</v>
      </c>
      <c r="C92" s="13">
        <v>-6.252035698133393E-2</v>
      </c>
      <c r="D92" s="13">
        <v>1.692526789134478E-2</v>
      </c>
      <c r="E92" s="13">
        <v>5.2933515745732952E-3</v>
      </c>
      <c r="F92" s="13">
        <v>1.414381949838937E-2</v>
      </c>
      <c r="G92" s="13">
        <v>7.9609195447424852E-4</v>
      </c>
      <c r="H92" s="13">
        <v>5.0818760822618813E-3</v>
      </c>
      <c r="I92" s="13">
        <v>-0.10599928923432095</v>
      </c>
      <c r="J92" s="13">
        <v>4.1667633269654503E-2</v>
      </c>
      <c r="K92" s="13">
        <v>5.1235593017768331E-2</v>
      </c>
      <c r="L92" s="13">
        <v>4.2426877387902184E-3</v>
      </c>
      <c r="M92" s="13">
        <v>-3.2992441672192608E-3</v>
      </c>
      <c r="N92" s="13">
        <v>2.1188515913223911E-2</v>
      </c>
      <c r="O92" s="13">
        <v>4.7294565830150173E-3</v>
      </c>
      <c r="R92" s="14">
        <f t="shared" si="30"/>
        <v>-4.9106916123912603E-2</v>
      </c>
      <c r="S92" s="14">
        <f t="shared" si="31"/>
        <v>-5.0016285585067148E-2</v>
      </c>
      <c r="T92" s="14">
        <f t="shared" si="32"/>
        <v>2.0310321469613736E-2</v>
      </c>
      <c r="U92" s="14">
        <f t="shared" si="33"/>
        <v>6.352021889487954E-3</v>
      </c>
      <c r="V92" s="14">
        <f t="shared" si="34"/>
        <v>1.6972583398067242E-2</v>
      </c>
      <c r="W92" s="14">
        <f t="shared" si="35"/>
        <v>9.5531034536909813E-4</v>
      </c>
      <c r="X92" s="14">
        <f t="shared" si="36"/>
        <v>6.0982512987142572E-3</v>
      </c>
      <c r="Y92" s="14">
        <f t="shared" si="37"/>
        <v>-8.479943138745677E-2</v>
      </c>
      <c r="Z92" s="14">
        <f t="shared" si="38"/>
        <v>5.0001159923585399E-2</v>
      </c>
      <c r="AA92" s="14">
        <f t="shared" si="39"/>
        <v>6.1482711621321996E-2</v>
      </c>
      <c r="AB92" s="14">
        <f t="shared" si="40"/>
        <v>5.0912252865482621E-3</v>
      </c>
      <c r="AC92" s="14">
        <f t="shared" si="41"/>
        <v>-2.6393953337754089E-3</v>
      </c>
      <c r="AD92" s="14">
        <f t="shared" si="42"/>
        <v>2.5426219095868691E-2</v>
      </c>
      <c r="AE92" s="14">
        <f t="shared" si="43"/>
        <v>5.6753478996180206E-3</v>
      </c>
      <c r="AM92" s="14">
        <f t="shared" si="44"/>
        <v>-5.6913032544444617E-2</v>
      </c>
      <c r="AN92" s="14">
        <f t="shared" si="45"/>
        <v>-7.081299210488716E-2</v>
      </c>
      <c r="AO92" s="14">
        <f t="shared" si="46"/>
        <v>1.2432385129984297E-2</v>
      </c>
      <c r="AP92" s="14">
        <f t="shared" si="47"/>
        <v>-3.4824861500434559E-3</v>
      </c>
      <c r="AQ92" s="14">
        <f t="shared" si="48"/>
        <v>3.1496439343037426E-3</v>
      </c>
      <c r="AR92" s="14">
        <f t="shared" si="49"/>
        <v>-7.5572944842682557E-3</v>
      </c>
      <c r="AS92" s="14">
        <f t="shared" si="50"/>
        <v>-6.7147516961253411E-3</v>
      </c>
      <c r="AT92" s="14">
        <f t="shared" si="51"/>
        <v>-9.0195362698001588E-2</v>
      </c>
      <c r="AU92" s="14">
        <f t="shared" si="52"/>
        <v>3.3877667346827567E-2</v>
      </c>
      <c r="AV92" s="14">
        <f t="shared" si="53"/>
        <v>3.943132341118754E-2</v>
      </c>
      <c r="AW92" s="14">
        <f t="shared" si="54"/>
        <v>-7.9965625902761236E-3</v>
      </c>
      <c r="AX92" s="14">
        <f t="shared" si="55"/>
        <v>-2.9348247970591289E-2</v>
      </c>
      <c r="AY92" s="14">
        <f t="shared" si="56"/>
        <v>1.4155287607788785E-2</v>
      </c>
      <c r="AZ92" s="14">
        <f t="shared" si="57"/>
        <v>1.0612959028975782E-3</v>
      </c>
    </row>
    <row r="93" spans="2:52" x14ac:dyDescent="0.3">
      <c r="B93" s="13">
        <v>-1.7951160144431801E-2</v>
      </c>
      <c r="C93" s="13">
        <v>-3.7335285194665543E-2</v>
      </c>
      <c r="D93" s="13">
        <v>-1.2189950640802258E-2</v>
      </c>
      <c r="E93" s="13">
        <v>7.4512726957422807E-3</v>
      </c>
      <c r="F93" s="13">
        <v>9.9107606502291057E-2</v>
      </c>
      <c r="G93" s="13">
        <v>1.5505299507593953E-2</v>
      </c>
      <c r="H93" s="13">
        <v>8.0909836238566187E-3</v>
      </c>
      <c r="I93" s="13">
        <v>-2.47991145341327E-2</v>
      </c>
      <c r="J93" s="13">
        <v>-1.5830515877681729E-2</v>
      </c>
      <c r="K93" s="13">
        <v>7.3063812310228296E-4</v>
      </c>
      <c r="L93" s="13">
        <v>5.9096837252280007E-3</v>
      </c>
      <c r="M93" s="13">
        <v>1.3132165083458252E-2</v>
      </c>
      <c r="N93" s="13">
        <v>-9.0338731433227473E-2</v>
      </c>
      <c r="O93" s="13">
        <v>-1.3271131424520688E-2</v>
      </c>
      <c r="R93" s="14">
        <f t="shared" si="30"/>
        <v>-1.4360928115545442E-2</v>
      </c>
      <c r="S93" s="14">
        <f t="shared" si="31"/>
        <v>-2.9868228155732438E-2</v>
      </c>
      <c r="T93" s="14">
        <f t="shared" si="32"/>
        <v>-9.751960512641808E-3</v>
      </c>
      <c r="U93" s="14">
        <f t="shared" si="33"/>
        <v>8.9415272348907365E-3</v>
      </c>
      <c r="V93" s="14">
        <f t="shared" si="34"/>
        <v>0.11892912780274927</v>
      </c>
      <c r="W93" s="14">
        <f t="shared" si="35"/>
        <v>1.8606359409112743E-2</v>
      </c>
      <c r="X93" s="14">
        <f t="shared" si="36"/>
        <v>9.709180348627942E-3</v>
      </c>
      <c r="Y93" s="14">
        <f t="shared" si="37"/>
        <v>-1.983929162730616E-2</v>
      </c>
      <c r="Z93" s="14">
        <f t="shared" si="38"/>
        <v>-1.2664412702145383E-2</v>
      </c>
      <c r="AA93" s="14">
        <f t="shared" si="39"/>
        <v>8.7676574772273957E-4</v>
      </c>
      <c r="AB93" s="14">
        <f t="shared" si="40"/>
        <v>7.0916204702736003E-3</v>
      </c>
      <c r="AC93" s="14">
        <f t="shared" si="41"/>
        <v>1.5758598100149901E-2</v>
      </c>
      <c r="AD93" s="14">
        <f t="shared" si="42"/>
        <v>-7.2270985146581979E-2</v>
      </c>
      <c r="AE93" s="14">
        <f t="shared" si="43"/>
        <v>-1.061690513961655E-2</v>
      </c>
      <c r="AM93" s="14">
        <f t="shared" si="44"/>
        <v>-2.2167044536077454E-2</v>
      </c>
      <c r="AN93" s="14">
        <f t="shared" si="45"/>
        <v>-5.0664934675552442E-2</v>
      </c>
      <c r="AO93" s="14">
        <f t="shared" si="46"/>
        <v>-1.7629896852271246E-2</v>
      </c>
      <c r="AP93" s="14">
        <f t="shared" si="47"/>
        <v>-8.9298080464067335E-4</v>
      </c>
      <c r="AQ93" s="14">
        <f t="shared" si="48"/>
        <v>0.10510618833898577</v>
      </c>
      <c r="AR93" s="14">
        <f t="shared" si="49"/>
        <v>1.0093754579475389E-2</v>
      </c>
      <c r="AS93" s="14">
        <f t="shared" si="50"/>
        <v>-3.1038226462116562E-3</v>
      </c>
      <c r="AT93" s="14">
        <f t="shared" si="51"/>
        <v>-2.5235222937850986E-2</v>
      </c>
      <c r="AU93" s="14">
        <f t="shared" si="52"/>
        <v>-2.8787905278903219E-2</v>
      </c>
      <c r="AV93" s="14">
        <f t="shared" si="53"/>
        <v>-2.1174622462411717E-2</v>
      </c>
      <c r="AW93" s="14">
        <f t="shared" si="54"/>
        <v>-5.9961674065507854E-3</v>
      </c>
      <c r="AX93" s="14">
        <f t="shared" si="55"/>
        <v>-1.0950254536665979E-2</v>
      </c>
      <c r="AY93" s="14">
        <f t="shared" si="56"/>
        <v>-8.3541916634661886E-2</v>
      </c>
      <c r="AZ93" s="14">
        <f t="shared" si="57"/>
        <v>-1.5230957136336994E-2</v>
      </c>
    </row>
    <row r="94" spans="2:52" x14ac:dyDescent="0.3">
      <c r="B94" s="13">
        <v>-1.2578618010708929E-3</v>
      </c>
      <c r="C94" s="13">
        <v>-5.3573797086275778E-2</v>
      </c>
      <c r="D94" s="13">
        <v>-4.0825779882637463E-2</v>
      </c>
      <c r="E94" s="13">
        <v>-5.3440699154772724E-2</v>
      </c>
      <c r="F94" s="13">
        <v>-0.11378215740181732</v>
      </c>
      <c r="G94" s="13">
        <v>-8.3682059462221001E-2</v>
      </c>
      <c r="H94" s="13">
        <v>-4.1041783364361272E-3</v>
      </c>
      <c r="I94" s="13">
        <v>-5.2673239408738269E-2</v>
      </c>
      <c r="J94" s="13">
        <v>-1.7560356121488568E-2</v>
      </c>
      <c r="K94" s="13">
        <v>-0.14643050648195322</v>
      </c>
      <c r="L94" s="13">
        <v>-6.7686005750378669E-2</v>
      </c>
      <c r="M94" s="13">
        <v>-8.1511496187286675E-2</v>
      </c>
      <c r="N94" s="13">
        <v>-9.6136642394904145E-2</v>
      </c>
      <c r="O94" s="13">
        <v>-3.2297748720762749E-2</v>
      </c>
      <c r="R94" s="14">
        <f t="shared" si="30"/>
        <v>-1.0062894408567143E-3</v>
      </c>
      <c r="S94" s="14">
        <f t="shared" si="31"/>
        <v>-4.2859037669020626E-2</v>
      </c>
      <c r="T94" s="14">
        <f t="shared" si="32"/>
        <v>-3.2660623906109972E-2</v>
      </c>
      <c r="U94" s="14">
        <f t="shared" si="33"/>
        <v>-4.2752559323818183E-2</v>
      </c>
      <c r="V94" s="14">
        <f t="shared" si="34"/>
        <v>-9.1025725921453859E-2</v>
      </c>
      <c r="W94" s="14">
        <f t="shared" si="35"/>
        <v>-6.6945647569776806E-2</v>
      </c>
      <c r="X94" s="14">
        <f t="shared" si="36"/>
        <v>-3.2833426691489019E-3</v>
      </c>
      <c r="Y94" s="14">
        <f t="shared" si="37"/>
        <v>-4.2138591526990621E-2</v>
      </c>
      <c r="Z94" s="14">
        <f t="shared" si="38"/>
        <v>-1.4048284897190856E-2</v>
      </c>
      <c r="AA94" s="14">
        <f t="shared" si="39"/>
        <v>-0.11714440518556257</v>
      </c>
      <c r="AB94" s="14">
        <f t="shared" si="40"/>
        <v>-5.4148804600302941E-2</v>
      </c>
      <c r="AC94" s="14">
        <f t="shared" si="41"/>
        <v>-6.5209196949829337E-2</v>
      </c>
      <c r="AD94" s="14">
        <f t="shared" si="42"/>
        <v>-7.6909313915923316E-2</v>
      </c>
      <c r="AE94" s="14">
        <f t="shared" si="43"/>
        <v>-2.5838198976610202E-2</v>
      </c>
      <c r="AM94" s="14">
        <f t="shared" si="44"/>
        <v>-8.8124058613887266E-3</v>
      </c>
      <c r="AN94" s="14">
        <f t="shared" si="45"/>
        <v>-6.3655744188840638E-2</v>
      </c>
      <c r="AO94" s="14">
        <f t="shared" si="46"/>
        <v>-4.0538560245739409E-2</v>
      </c>
      <c r="AP94" s="14">
        <f t="shared" si="47"/>
        <v>-5.2587067363349595E-2</v>
      </c>
      <c r="AQ94" s="14">
        <f t="shared" si="48"/>
        <v>-0.10484866538521737</v>
      </c>
      <c r="AR94" s="14">
        <f t="shared" si="49"/>
        <v>-7.5458252399414158E-2</v>
      </c>
      <c r="AS94" s="14">
        <f t="shared" si="50"/>
        <v>-1.6096345663988501E-2</v>
      </c>
      <c r="AT94" s="14">
        <f t="shared" si="51"/>
        <v>-4.7534522837535446E-2</v>
      </c>
      <c r="AU94" s="14">
        <f t="shared" si="52"/>
        <v>-3.017177747394869E-2</v>
      </c>
      <c r="AV94" s="14">
        <f t="shared" si="53"/>
        <v>-0.13919579339569704</v>
      </c>
      <c r="AW94" s="14">
        <f t="shared" si="54"/>
        <v>-6.7236592477127322E-2</v>
      </c>
      <c r="AX94" s="14">
        <f t="shared" si="55"/>
        <v>-9.191804958664522E-2</v>
      </c>
      <c r="AY94" s="14">
        <f t="shared" si="56"/>
        <v>-8.8180245404003224E-2</v>
      </c>
      <c r="AZ94" s="14">
        <f t="shared" si="57"/>
        <v>-3.0452250973330645E-2</v>
      </c>
    </row>
    <row r="95" spans="2:52" x14ac:dyDescent="0.3">
      <c r="B95" s="13">
        <v>-2.069438013026861E-2</v>
      </c>
      <c r="C95" s="13">
        <v>4.442041509978855E-2</v>
      </c>
      <c r="D95" s="13">
        <v>-3.9825578904485945E-3</v>
      </c>
      <c r="E95" s="13">
        <v>4.6723688081164233E-3</v>
      </c>
      <c r="F95" s="13">
        <v>2.1572236252096959E-2</v>
      </c>
      <c r="G95" s="13">
        <v>-1.5610682293178083E-2</v>
      </c>
      <c r="H95" s="13">
        <v>3.7711336387596136E-3</v>
      </c>
      <c r="I95" s="13">
        <v>2.5001302205417401E-2</v>
      </c>
      <c r="J95" s="13">
        <v>2.9157998358595401E-2</v>
      </c>
      <c r="K95" s="13">
        <v>5.6437873716984166E-2</v>
      </c>
      <c r="L95" s="13">
        <v>3.4959312247821686E-2</v>
      </c>
      <c r="M95" s="13">
        <v>0.1242885255433452</v>
      </c>
      <c r="N95" s="13">
        <v>1.8876579372867221E-2</v>
      </c>
      <c r="O95" s="13">
        <v>1.5707506460565901E-2</v>
      </c>
      <c r="R95" s="14">
        <f t="shared" si="30"/>
        <v>-1.6555504104214889E-2</v>
      </c>
      <c r="S95" s="14">
        <f t="shared" si="31"/>
        <v>5.330449811974626E-2</v>
      </c>
      <c r="T95" s="14">
        <f t="shared" si="32"/>
        <v>-3.1860463123588758E-3</v>
      </c>
      <c r="U95" s="14">
        <f t="shared" si="33"/>
        <v>5.6068425697397076E-3</v>
      </c>
      <c r="V95" s="14">
        <f t="shared" si="34"/>
        <v>2.5886683502516352E-2</v>
      </c>
      <c r="W95" s="14">
        <f t="shared" si="35"/>
        <v>-1.2488545834542467E-2</v>
      </c>
      <c r="X95" s="14">
        <f t="shared" si="36"/>
        <v>4.5253603665115364E-3</v>
      </c>
      <c r="Y95" s="14">
        <f t="shared" si="37"/>
        <v>3.000156264650088E-2</v>
      </c>
      <c r="Z95" s="14">
        <f t="shared" si="38"/>
        <v>3.4989598030314477E-2</v>
      </c>
      <c r="AA95" s="14">
        <f t="shared" si="39"/>
        <v>6.7725448460380991E-2</v>
      </c>
      <c r="AB95" s="14">
        <f t="shared" si="40"/>
        <v>4.1951174697386025E-2</v>
      </c>
      <c r="AC95" s="14">
        <f t="shared" si="41"/>
        <v>0.14914623065201424</v>
      </c>
      <c r="AD95" s="14">
        <f t="shared" si="42"/>
        <v>2.2651895247440663E-2</v>
      </c>
      <c r="AE95" s="14">
        <f t="shared" si="43"/>
        <v>1.884900775267908E-2</v>
      </c>
      <c r="AM95" s="14">
        <f t="shared" si="44"/>
        <v>-2.4361620524746903E-2</v>
      </c>
      <c r="AN95" s="14">
        <f t="shared" si="45"/>
        <v>3.2507791599926256E-2</v>
      </c>
      <c r="AO95" s="14">
        <f t="shared" si="46"/>
        <v>-1.1063982651988316E-2</v>
      </c>
      <c r="AP95" s="14">
        <f t="shared" si="47"/>
        <v>-4.2276654697917023E-3</v>
      </c>
      <c r="AQ95" s="14">
        <f t="shared" si="48"/>
        <v>1.2063744038752853E-2</v>
      </c>
      <c r="AR95" s="14">
        <f t="shared" si="49"/>
        <v>-2.1001150664179818E-2</v>
      </c>
      <c r="AS95" s="14">
        <f t="shared" si="50"/>
        <v>-8.287642628328061E-3</v>
      </c>
      <c r="AT95" s="14">
        <f t="shared" si="51"/>
        <v>2.4605631335956054E-2</v>
      </c>
      <c r="AU95" s="14">
        <f t="shared" si="52"/>
        <v>1.8866105453556641E-2</v>
      </c>
      <c r="AV95" s="14">
        <f t="shared" si="53"/>
        <v>4.5674060250246534E-2</v>
      </c>
      <c r="AW95" s="14">
        <f t="shared" si="54"/>
        <v>2.8863386820561637E-2</v>
      </c>
      <c r="AX95" s="14">
        <f t="shared" si="55"/>
        <v>0.12243737801519836</v>
      </c>
      <c r="AY95" s="14">
        <f t="shared" si="56"/>
        <v>1.1380963759360757E-2</v>
      </c>
      <c r="AZ95" s="14">
        <f t="shared" si="57"/>
        <v>1.4234955755958636E-2</v>
      </c>
    </row>
    <row r="96" spans="2:52" x14ac:dyDescent="0.3">
      <c r="B96" s="13">
        <v>3.6023396083528773E-2</v>
      </c>
      <c r="C96" s="13">
        <v>5.0649408976903912E-2</v>
      </c>
      <c r="D96" s="13">
        <v>3.5804200770149001E-2</v>
      </c>
      <c r="E96" s="13">
        <v>5.0077516656275363E-2</v>
      </c>
      <c r="F96" s="13">
        <v>4.0377486821194013E-2</v>
      </c>
      <c r="G96" s="13">
        <v>6.5861928528566554E-3</v>
      </c>
      <c r="H96" s="13">
        <v>4.9454557546449833E-2</v>
      </c>
      <c r="I96" s="13">
        <v>-3.1929736387381329E-2</v>
      </c>
      <c r="J96" s="13">
        <v>5.4130108023830753E-2</v>
      </c>
      <c r="K96" s="13">
        <v>4.4034729063098466E-2</v>
      </c>
      <c r="L96" s="13">
        <v>-4.5766670274118666E-3</v>
      </c>
      <c r="M96" s="13">
        <v>3.7416201385422232E-2</v>
      </c>
      <c r="N96" s="13">
        <v>1.7413724679329456E-2</v>
      </c>
      <c r="O96" s="13">
        <v>-6.5892979132295595E-2</v>
      </c>
      <c r="R96" s="14">
        <f t="shared" si="30"/>
        <v>4.3228075300234529E-2</v>
      </c>
      <c r="S96" s="14">
        <f t="shared" si="31"/>
        <v>6.0779290772284694E-2</v>
      </c>
      <c r="T96" s="14">
        <f t="shared" si="32"/>
        <v>4.2965040924178799E-2</v>
      </c>
      <c r="U96" s="14">
        <f t="shared" si="33"/>
        <v>6.009301998753043E-2</v>
      </c>
      <c r="V96" s="14">
        <f t="shared" si="34"/>
        <v>4.8452984185432812E-2</v>
      </c>
      <c r="W96" s="14">
        <f t="shared" si="35"/>
        <v>7.9034314234279861E-3</v>
      </c>
      <c r="X96" s="14">
        <f t="shared" si="36"/>
        <v>5.93454690557398E-2</v>
      </c>
      <c r="Y96" s="14">
        <f t="shared" si="37"/>
        <v>-2.5543789109905065E-2</v>
      </c>
      <c r="Z96" s="14">
        <f t="shared" si="38"/>
        <v>6.4956129628596898E-2</v>
      </c>
      <c r="AA96" s="14">
        <f t="shared" si="39"/>
        <v>5.2841674875718156E-2</v>
      </c>
      <c r="AB96" s="14">
        <f t="shared" si="40"/>
        <v>-3.6613336219294933E-3</v>
      </c>
      <c r="AC96" s="14">
        <f t="shared" si="41"/>
        <v>4.489944166250668E-2</v>
      </c>
      <c r="AD96" s="14">
        <f t="shared" si="42"/>
        <v>2.0896469615195347E-2</v>
      </c>
      <c r="AE96" s="14">
        <f t="shared" si="43"/>
        <v>-5.2714383305836478E-2</v>
      </c>
      <c r="AM96" s="14">
        <f t="shared" si="44"/>
        <v>3.5421958879702516E-2</v>
      </c>
      <c r="AN96" s="14">
        <f t="shared" si="45"/>
        <v>3.998258425246469E-2</v>
      </c>
      <c r="AO96" s="14">
        <f t="shared" si="46"/>
        <v>3.5087104584549361E-2</v>
      </c>
      <c r="AP96" s="14">
        <f t="shared" si="47"/>
        <v>5.0258511947999018E-2</v>
      </c>
      <c r="AQ96" s="14">
        <f t="shared" si="48"/>
        <v>3.4630044721669313E-2</v>
      </c>
      <c r="AR96" s="14">
        <f t="shared" si="49"/>
        <v>-6.0917340620936754E-4</v>
      </c>
      <c r="AS96" s="14">
        <f t="shared" si="50"/>
        <v>4.6532466060900203E-2</v>
      </c>
      <c r="AT96" s="14">
        <f t="shared" si="51"/>
        <v>-3.0939720420449891E-2</v>
      </c>
      <c r="AU96" s="14">
        <f t="shared" si="52"/>
        <v>4.8832637051839059E-2</v>
      </c>
      <c r="AV96" s="14">
        <f t="shared" si="53"/>
        <v>3.0790286665583699E-2</v>
      </c>
      <c r="AW96" s="14">
        <f t="shared" si="54"/>
        <v>-1.6749121498753877E-2</v>
      </c>
      <c r="AX96" s="14">
        <f t="shared" si="55"/>
        <v>1.81905890256908E-2</v>
      </c>
      <c r="AY96" s="14">
        <f t="shared" si="56"/>
        <v>9.6255381271154409E-3</v>
      </c>
      <c r="AZ96" s="14">
        <f t="shared" si="57"/>
        <v>-5.7328435302556921E-2</v>
      </c>
    </row>
    <row r="97" spans="2:52" x14ac:dyDescent="0.3">
      <c r="B97" s="13">
        <v>7.6331964047714846E-3</v>
      </c>
      <c r="C97" s="13">
        <v>-6.5775286471452081E-3</v>
      </c>
      <c r="D97" s="13">
        <v>1.4351366606158004E-3</v>
      </c>
      <c r="E97" s="13">
        <v>-1.6003495086480092E-3</v>
      </c>
      <c r="F97" s="13">
        <v>-3.6787105176749851E-2</v>
      </c>
      <c r="G97" s="13">
        <v>1.4200044618350225E-2</v>
      </c>
      <c r="H97" s="13">
        <v>-2.3487600463240189E-3</v>
      </c>
      <c r="I97" s="13">
        <v>5.7770235769220796E-3</v>
      </c>
      <c r="J97" s="13">
        <v>4.9843378523162257E-2</v>
      </c>
      <c r="K97" s="13">
        <v>-6.6256369317887254E-2</v>
      </c>
      <c r="L97" s="13">
        <v>-5.1546252271412053E-2</v>
      </c>
      <c r="M97" s="13">
        <v>4.416378560700069E-2</v>
      </c>
      <c r="N97" s="13">
        <v>-8.3587430044916006E-2</v>
      </c>
      <c r="O97" s="13">
        <v>-4.2586174491040921E-2</v>
      </c>
      <c r="R97" s="14">
        <f t="shared" si="30"/>
        <v>9.1598356857257816E-3</v>
      </c>
      <c r="S97" s="14">
        <f t="shared" si="31"/>
        <v>-5.2620229177161668E-3</v>
      </c>
      <c r="T97" s="14">
        <f t="shared" si="32"/>
        <v>1.7221639927389603E-3</v>
      </c>
      <c r="U97" s="14">
        <f t="shared" si="33"/>
        <v>-1.2802796069184075E-3</v>
      </c>
      <c r="V97" s="14">
        <f t="shared" si="34"/>
        <v>-2.9429684141399882E-2</v>
      </c>
      <c r="W97" s="14">
        <f t="shared" si="35"/>
        <v>1.7040053542020268E-2</v>
      </c>
      <c r="X97" s="14">
        <f t="shared" si="36"/>
        <v>-1.8790080370592152E-3</v>
      </c>
      <c r="Y97" s="14">
        <f t="shared" si="37"/>
        <v>6.932428292306495E-3</v>
      </c>
      <c r="Z97" s="14">
        <f t="shared" si="38"/>
        <v>5.9812054227794703E-2</v>
      </c>
      <c r="AA97" s="14">
        <f t="shared" si="39"/>
        <v>-5.3005095454309807E-2</v>
      </c>
      <c r="AB97" s="14">
        <f t="shared" si="40"/>
        <v>-4.1237001817129644E-2</v>
      </c>
      <c r="AC97" s="14">
        <f t="shared" si="41"/>
        <v>5.2996542728400826E-2</v>
      </c>
      <c r="AD97" s="14">
        <f t="shared" si="42"/>
        <v>-6.6869944035932813E-2</v>
      </c>
      <c r="AE97" s="14">
        <f t="shared" si="43"/>
        <v>-3.4068939592832741E-2</v>
      </c>
      <c r="AM97" s="14">
        <f t="shared" si="44"/>
        <v>1.3537192651937686E-3</v>
      </c>
      <c r="AN97" s="14">
        <f t="shared" si="45"/>
        <v>-2.6058729437536177E-2</v>
      </c>
      <c r="AO97" s="14">
        <f t="shared" si="46"/>
        <v>-6.1557723468904793E-3</v>
      </c>
      <c r="AP97" s="14">
        <f t="shared" si="47"/>
        <v>-1.1114787646449818E-2</v>
      </c>
      <c r="AQ97" s="14">
        <f t="shared" si="48"/>
        <v>-4.3252623605163382E-2</v>
      </c>
      <c r="AR97" s="14">
        <f t="shared" si="49"/>
        <v>8.5274487123829148E-3</v>
      </c>
      <c r="AS97" s="14">
        <f t="shared" si="50"/>
        <v>-1.4692011031898813E-2</v>
      </c>
      <c r="AT97" s="14">
        <f t="shared" si="51"/>
        <v>1.5364969817616703E-3</v>
      </c>
      <c r="AU97" s="14">
        <f t="shared" si="52"/>
        <v>4.3688561651036864E-2</v>
      </c>
      <c r="AV97" s="14">
        <f t="shared" si="53"/>
        <v>-7.5056483664444257E-2</v>
      </c>
      <c r="AW97" s="14">
        <f t="shared" si="54"/>
        <v>-5.4324789693954031E-2</v>
      </c>
      <c r="AX97" s="14">
        <f t="shared" si="55"/>
        <v>2.6287690091584947E-2</v>
      </c>
      <c r="AY97" s="14">
        <f t="shared" si="56"/>
        <v>-7.8140875524012721E-2</v>
      </c>
      <c r="AZ97" s="14">
        <f t="shared" si="57"/>
        <v>-3.8682991589553184E-2</v>
      </c>
    </row>
    <row r="98" spans="2:52" x14ac:dyDescent="0.3">
      <c r="B98" s="13">
        <v>-3.3949753506396223E-2</v>
      </c>
      <c r="C98" s="13">
        <v>-9.3793512663756087E-2</v>
      </c>
      <c r="D98" s="13">
        <v>-3.23961163528597E-3</v>
      </c>
      <c r="E98" s="13">
        <v>-1.2895841082924995E-2</v>
      </c>
      <c r="F98" s="13">
        <v>-0.16939180878553697</v>
      </c>
      <c r="G98" s="13">
        <v>-3.6244946359735367E-2</v>
      </c>
      <c r="H98" s="13">
        <v>-1.9380078430695145E-2</v>
      </c>
      <c r="I98" s="13">
        <v>8.3934451485150482E-2</v>
      </c>
      <c r="J98" s="13">
        <v>-3.81960390864702E-2</v>
      </c>
      <c r="K98" s="13">
        <v>1.6611902022918641E-2</v>
      </c>
      <c r="L98" s="13">
        <v>-1.2031612052399372E-2</v>
      </c>
      <c r="M98" s="13">
        <v>-7.4728512043321052E-2</v>
      </c>
      <c r="N98" s="13">
        <v>-9.9709125085208183E-2</v>
      </c>
      <c r="O98" s="13">
        <v>-1.6712585678917712E-2</v>
      </c>
      <c r="R98" s="14">
        <f t="shared" si="30"/>
        <v>-2.715980280511698E-2</v>
      </c>
      <c r="S98" s="14">
        <f t="shared" si="31"/>
        <v>-7.5034810131004881E-2</v>
      </c>
      <c r="T98" s="14">
        <f t="shared" si="32"/>
        <v>-2.5916893082287762E-3</v>
      </c>
      <c r="U98" s="14">
        <f t="shared" si="33"/>
        <v>-1.0316672866339997E-2</v>
      </c>
      <c r="V98" s="14">
        <f t="shared" si="34"/>
        <v>-0.13551344702842957</v>
      </c>
      <c r="W98" s="14">
        <f t="shared" si="35"/>
        <v>-2.8995957087788293E-2</v>
      </c>
      <c r="X98" s="14">
        <f t="shared" si="36"/>
        <v>-1.5504062744556117E-2</v>
      </c>
      <c r="Y98" s="14">
        <f t="shared" si="37"/>
        <v>0.10072134178218058</v>
      </c>
      <c r="Z98" s="14">
        <f t="shared" si="38"/>
        <v>-3.055683126917616E-2</v>
      </c>
      <c r="AA98" s="14">
        <f t="shared" si="39"/>
        <v>1.9934282427502368E-2</v>
      </c>
      <c r="AB98" s="14">
        <f t="shared" si="40"/>
        <v>-9.6252896419194989E-3</v>
      </c>
      <c r="AC98" s="14">
        <f t="shared" si="41"/>
        <v>-5.9782809634656847E-2</v>
      </c>
      <c r="AD98" s="14">
        <f t="shared" si="42"/>
        <v>-7.9767300068166555E-2</v>
      </c>
      <c r="AE98" s="14">
        <f t="shared" si="43"/>
        <v>-1.337006854313417E-2</v>
      </c>
      <c r="AM98" s="14">
        <f t="shared" si="44"/>
        <v>-3.4965919225648991E-2</v>
      </c>
      <c r="AN98" s="14">
        <f t="shared" si="45"/>
        <v>-9.5831516650824886E-2</v>
      </c>
      <c r="AO98" s="14">
        <f t="shared" si="46"/>
        <v>-1.0469625647858215E-2</v>
      </c>
      <c r="AP98" s="14">
        <f t="shared" si="47"/>
        <v>-2.0151180905871407E-2</v>
      </c>
      <c r="AQ98" s="14">
        <f t="shared" si="48"/>
        <v>-0.14933638649219308</v>
      </c>
      <c r="AR98" s="14">
        <f t="shared" si="49"/>
        <v>-3.7508561917425645E-2</v>
      </c>
      <c r="AS98" s="14">
        <f t="shared" si="50"/>
        <v>-2.8317065739395714E-2</v>
      </c>
      <c r="AT98" s="14">
        <f t="shared" si="51"/>
        <v>9.5325410471635758E-2</v>
      </c>
      <c r="AU98" s="14">
        <f t="shared" si="52"/>
        <v>-4.6680323845933999E-2</v>
      </c>
      <c r="AV98" s="14">
        <f t="shared" si="53"/>
        <v>-2.1171057826320887E-3</v>
      </c>
      <c r="AW98" s="14">
        <f t="shared" si="54"/>
        <v>-2.2713077518743886E-2</v>
      </c>
      <c r="AX98" s="14">
        <f t="shared" si="55"/>
        <v>-8.649166227147273E-2</v>
      </c>
      <c r="AY98" s="14">
        <f t="shared" si="56"/>
        <v>-9.1038231556246463E-2</v>
      </c>
      <c r="AZ98" s="14">
        <f t="shared" si="57"/>
        <v>-1.7984120539854612E-2</v>
      </c>
    </row>
    <row r="99" spans="2:52" x14ac:dyDescent="0.3">
      <c r="B99" s="13">
        <v>-2.7325065664339326E-2</v>
      </c>
      <c r="C99" s="13">
        <v>-2.1737331648147572E-2</v>
      </c>
      <c r="D99" s="13">
        <v>9.5662440466480134E-3</v>
      </c>
      <c r="E99" s="13">
        <v>-0.10429585809032665</v>
      </c>
      <c r="F99" s="13">
        <v>-2.2372084306427301E-2</v>
      </c>
      <c r="G99" s="13">
        <v>2.0324134793510817E-2</v>
      </c>
      <c r="H99" s="13">
        <v>-3.9385314420045676E-2</v>
      </c>
      <c r="I99" s="13">
        <v>-1.4941579998198914E-2</v>
      </c>
      <c r="J99" s="13">
        <v>-3.3793533651997471E-2</v>
      </c>
      <c r="K99" s="13">
        <v>-5.3367998569120424E-2</v>
      </c>
      <c r="L99" s="13">
        <v>-4.110330348180067E-2</v>
      </c>
      <c r="M99" s="13">
        <v>-6.6734184550478845E-2</v>
      </c>
      <c r="N99" s="13">
        <v>-5.9423420470800646E-2</v>
      </c>
      <c r="O99" s="13">
        <v>-4.000533461369913E-2</v>
      </c>
      <c r="R99" s="14">
        <f t="shared" si="30"/>
        <v>-2.1860052531471462E-2</v>
      </c>
      <c r="S99" s="14">
        <f t="shared" si="31"/>
        <v>-1.738986531851806E-2</v>
      </c>
      <c r="T99" s="14">
        <f t="shared" si="32"/>
        <v>1.1479492855977616E-2</v>
      </c>
      <c r="U99" s="14">
        <f t="shared" si="33"/>
        <v>-8.3436686472261323E-2</v>
      </c>
      <c r="V99" s="14">
        <f t="shared" si="34"/>
        <v>-1.7897667445141843E-2</v>
      </c>
      <c r="W99" s="14">
        <f t="shared" si="35"/>
        <v>2.438896175221298E-2</v>
      </c>
      <c r="X99" s="14">
        <f t="shared" si="36"/>
        <v>-3.1508251536036543E-2</v>
      </c>
      <c r="Y99" s="14">
        <f t="shared" si="37"/>
        <v>-1.1953263998559132E-2</v>
      </c>
      <c r="Z99" s="14">
        <f t="shared" si="38"/>
        <v>-2.7034826921597976E-2</v>
      </c>
      <c r="AA99" s="14">
        <f t="shared" si="39"/>
        <v>-4.2694398855296342E-2</v>
      </c>
      <c r="AB99" s="14">
        <f t="shared" si="40"/>
        <v>-3.2882642785440536E-2</v>
      </c>
      <c r="AC99" s="14">
        <f t="shared" si="41"/>
        <v>-5.3387347640383082E-2</v>
      </c>
      <c r="AD99" s="14">
        <f t="shared" si="42"/>
        <v>-4.7538736376640522E-2</v>
      </c>
      <c r="AE99" s="14">
        <f t="shared" si="43"/>
        <v>-3.2004267690959307E-2</v>
      </c>
      <c r="AM99" s="14">
        <f t="shared" si="44"/>
        <v>-2.9666168952003476E-2</v>
      </c>
      <c r="AN99" s="14">
        <f t="shared" si="45"/>
        <v>-3.8186571838338068E-2</v>
      </c>
      <c r="AO99" s="14">
        <f t="shared" si="46"/>
        <v>3.6015565163481766E-3</v>
      </c>
      <c r="AP99" s="14">
        <f t="shared" si="47"/>
        <v>-9.3271194511792735E-2</v>
      </c>
      <c r="AQ99" s="14">
        <f t="shared" si="48"/>
        <v>-3.1720606908905338E-2</v>
      </c>
      <c r="AR99" s="14">
        <f t="shared" si="49"/>
        <v>1.5876356922575628E-2</v>
      </c>
      <c r="AS99" s="14">
        <f t="shared" si="50"/>
        <v>-4.4321254530876139E-2</v>
      </c>
      <c r="AT99" s="14">
        <f t="shared" si="51"/>
        <v>-1.7349195309103956E-2</v>
      </c>
      <c r="AU99" s="14">
        <f t="shared" si="52"/>
        <v>-4.3158319498355815E-2</v>
      </c>
      <c r="AV99" s="14">
        <f t="shared" si="53"/>
        <v>-6.4745787065430799E-2</v>
      </c>
      <c r="AW99" s="14">
        <f t="shared" si="54"/>
        <v>-4.5970430662264923E-2</v>
      </c>
      <c r="AX99" s="14">
        <f t="shared" si="55"/>
        <v>-8.0096200277198965E-2</v>
      </c>
      <c r="AY99" s="14">
        <f t="shared" si="56"/>
        <v>-5.880966786472043E-2</v>
      </c>
      <c r="AZ99" s="14">
        <f t="shared" si="57"/>
        <v>-3.661831968767975E-2</v>
      </c>
    </row>
    <row r="100" spans="2:52" x14ac:dyDescent="0.3">
      <c r="B100" s="13">
        <v>4.8897727270863091E-2</v>
      </c>
      <c r="C100" s="13">
        <v>0.10558271319234777</v>
      </c>
      <c r="D100" s="13">
        <v>6.7384593059909056E-2</v>
      </c>
      <c r="E100" s="13">
        <v>5.5173780436628281E-2</v>
      </c>
      <c r="F100" s="13">
        <v>5.9278692197879977E-2</v>
      </c>
      <c r="G100" s="13">
        <v>8.1595138622359717E-2</v>
      </c>
      <c r="H100" s="13">
        <v>5.8479356204318433E-2</v>
      </c>
      <c r="I100" s="13">
        <v>0.14209675548344561</v>
      </c>
      <c r="J100" s="13">
        <v>8.5467154005853849E-2</v>
      </c>
      <c r="K100" s="13">
        <v>0.19244253157659924</v>
      </c>
      <c r="L100" s="13">
        <v>0.14681292020793077</v>
      </c>
      <c r="M100" s="13">
        <v>0.22592666887501417</v>
      </c>
      <c r="N100" s="13">
        <v>0.40812350577477435</v>
      </c>
      <c r="O100" s="13">
        <v>6.0535325914561462E-2</v>
      </c>
      <c r="R100" s="14">
        <f t="shared" si="30"/>
        <v>5.8677272725035708E-2</v>
      </c>
      <c r="S100" s="14">
        <f t="shared" si="31"/>
        <v>0.12669925583081731</v>
      </c>
      <c r="T100" s="14">
        <f t="shared" si="32"/>
        <v>8.0861511671890859E-2</v>
      </c>
      <c r="U100" s="14">
        <f t="shared" si="33"/>
        <v>6.6208536523953934E-2</v>
      </c>
      <c r="V100" s="14">
        <f t="shared" si="34"/>
        <v>7.1134430637455975E-2</v>
      </c>
      <c r="W100" s="14">
        <f t="shared" si="35"/>
        <v>9.7914166346831658E-2</v>
      </c>
      <c r="X100" s="14">
        <f t="shared" si="36"/>
        <v>7.017522744518212E-2</v>
      </c>
      <c r="Y100" s="14">
        <f t="shared" si="37"/>
        <v>0.17051610658013472</v>
      </c>
      <c r="Z100" s="14">
        <f t="shared" si="38"/>
        <v>0.10256058480702461</v>
      </c>
      <c r="AA100" s="14">
        <f t="shared" si="39"/>
        <v>0.23093103789191907</v>
      </c>
      <c r="AB100" s="14">
        <f t="shared" si="40"/>
        <v>0.17617550424951692</v>
      </c>
      <c r="AC100" s="14">
        <f t="shared" si="41"/>
        <v>0.271112002650017</v>
      </c>
      <c r="AD100" s="14">
        <f t="shared" si="42"/>
        <v>0.4897482069297292</v>
      </c>
      <c r="AE100" s="14">
        <f t="shared" si="43"/>
        <v>7.2642391097473752E-2</v>
      </c>
      <c r="AM100" s="14">
        <f t="shared" si="44"/>
        <v>5.0871156304503694E-2</v>
      </c>
      <c r="AN100" s="14">
        <f t="shared" si="45"/>
        <v>0.10590254931099731</v>
      </c>
      <c r="AO100" s="14">
        <f t="shared" si="46"/>
        <v>7.2983575332261422E-2</v>
      </c>
      <c r="AP100" s="14">
        <f t="shared" si="47"/>
        <v>5.6374028484422523E-2</v>
      </c>
      <c r="AQ100" s="14">
        <f t="shared" si="48"/>
        <v>5.7311491173692476E-2</v>
      </c>
      <c r="AR100" s="14">
        <f t="shared" si="49"/>
        <v>8.9401561517194306E-2</v>
      </c>
      <c r="AS100" s="14">
        <f t="shared" si="50"/>
        <v>5.7362224450342524E-2</v>
      </c>
      <c r="AT100" s="14">
        <f t="shared" si="51"/>
        <v>0.16512017526958989</v>
      </c>
      <c r="AU100" s="14">
        <f t="shared" si="52"/>
        <v>8.6437092230266771E-2</v>
      </c>
      <c r="AV100" s="14">
        <f t="shared" si="53"/>
        <v>0.20887964968178463</v>
      </c>
      <c r="AW100" s="14">
        <f t="shared" si="54"/>
        <v>0.16308771637269254</v>
      </c>
      <c r="AX100" s="14">
        <f t="shared" si="55"/>
        <v>0.24440315001320112</v>
      </c>
      <c r="AY100" s="14">
        <f t="shared" si="56"/>
        <v>0.47847727544164931</v>
      </c>
      <c r="AZ100" s="14">
        <f t="shared" si="57"/>
        <v>6.8028339100753316E-2</v>
      </c>
    </row>
    <row r="101" spans="2:52" x14ac:dyDescent="0.3">
      <c r="B101" s="13">
        <v>5.3724528446336531E-2</v>
      </c>
      <c r="C101" s="13">
        <v>7.1167798552151482E-2</v>
      </c>
      <c r="D101" s="13">
        <v>4.670939164151891E-2</v>
      </c>
      <c r="E101" s="13">
        <v>2.6674362274030573E-2</v>
      </c>
      <c r="F101" s="13">
        <v>-2.443691696904441E-2</v>
      </c>
      <c r="G101" s="13">
        <v>3.5160979523603787E-2</v>
      </c>
      <c r="H101" s="13">
        <v>4.4056427519233041E-2</v>
      </c>
      <c r="I101" s="13">
        <v>5.4459917132380839E-2</v>
      </c>
      <c r="J101" s="13">
        <v>4.1977298000834912E-2</v>
      </c>
      <c r="K101" s="13">
        <v>7.9719901408291785E-2</v>
      </c>
      <c r="L101" s="13">
        <v>7.7154933526459468E-2</v>
      </c>
      <c r="M101" s="13">
        <v>4.0461950887549572E-2</v>
      </c>
      <c r="N101" s="13">
        <v>-4.14367360408135E-2</v>
      </c>
      <c r="O101" s="13">
        <v>-1.4874324613603454E-2</v>
      </c>
      <c r="R101" s="14">
        <f t="shared" si="30"/>
        <v>6.446943413560384E-2</v>
      </c>
      <c r="S101" s="14">
        <f t="shared" si="31"/>
        <v>8.5401358262581772E-2</v>
      </c>
      <c r="T101" s="14">
        <f t="shared" si="32"/>
        <v>5.6051269969822688E-2</v>
      </c>
      <c r="U101" s="14">
        <f t="shared" si="33"/>
        <v>3.2009234728836683E-2</v>
      </c>
      <c r="V101" s="14">
        <f t="shared" si="34"/>
        <v>-1.954953357523553E-2</v>
      </c>
      <c r="W101" s="14">
        <f t="shared" si="35"/>
        <v>4.2193175428324542E-2</v>
      </c>
      <c r="X101" s="14">
        <f t="shared" si="36"/>
        <v>5.2867713023079646E-2</v>
      </c>
      <c r="Y101" s="14">
        <f t="shared" si="37"/>
        <v>6.5351900558857007E-2</v>
      </c>
      <c r="Z101" s="14">
        <f t="shared" si="38"/>
        <v>5.0372757601001891E-2</v>
      </c>
      <c r="AA101" s="14">
        <f t="shared" si="39"/>
        <v>9.5663881689950145E-2</v>
      </c>
      <c r="AB101" s="14">
        <f t="shared" si="40"/>
        <v>9.2585920231751356E-2</v>
      </c>
      <c r="AC101" s="14">
        <f t="shared" si="41"/>
        <v>4.8554341065059486E-2</v>
      </c>
      <c r="AD101" s="14">
        <f t="shared" si="42"/>
        <v>-3.3149388832650804E-2</v>
      </c>
      <c r="AE101" s="14">
        <f t="shared" si="43"/>
        <v>-1.1899459690882764E-2</v>
      </c>
      <c r="AM101" s="14">
        <f t="shared" si="44"/>
        <v>5.6663317715071826E-2</v>
      </c>
      <c r="AN101" s="14">
        <f t="shared" si="45"/>
        <v>6.4604651742761768E-2</v>
      </c>
      <c r="AO101" s="14">
        <f t="shared" si="46"/>
        <v>4.817333363019325E-2</v>
      </c>
      <c r="AP101" s="14">
        <f t="shared" si="47"/>
        <v>2.2174726689305271E-2</v>
      </c>
      <c r="AQ101" s="14">
        <f t="shared" si="48"/>
        <v>-3.3372473038999026E-2</v>
      </c>
      <c r="AR101" s="14">
        <f t="shared" si="49"/>
        <v>3.368057059868719E-2</v>
      </c>
      <c r="AS101" s="14">
        <f t="shared" si="50"/>
        <v>4.005471002824005E-2</v>
      </c>
      <c r="AT101" s="14">
        <f t="shared" si="51"/>
        <v>5.9955969248312181E-2</v>
      </c>
      <c r="AU101" s="14">
        <f t="shared" si="52"/>
        <v>3.4249265024244052E-2</v>
      </c>
      <c r="AV101" s="14">
        <f t="shared" si="53"/>
        <v>7.3612493479815688E-2</v>
      </c>
      <c r="AW101" s="14">
        <f t="shared" si="54"/>
        <v>7.9498132354926976E-2</v>
      </c>
      <c r="AX101" s="14">
        <f t="shared" si="55"/>
        <v>2.1845488428243607E-2</v>
      </c>
      <c r="AY101" s="14">
        <f t="shared" si="56"/>
        <v>-4.4420320320730712E-2</v>
      </c>
      <c r="AZ101" s="14">
        <f t="shared" si="57"/>
        <v>-1.6513511687603205E-2</v>
      </c>
    </row>
    <row r="102" spans="2:52" x14ac:dyDescent="0.3">
      <c r="B102" s="13">
        <v>1.7496258487140603E-2</v>
      </c>
      <c r="C102" s="13">
        <v>1.9871595191651718E-2</v>
      </c>
      <c r="D102" s="13">
        <v>4.8680225972156472E-4</v>
      </c>
      <c r="E102" s="13">
        <v>2.0306782148925388E-2</v>
      </c>
      <c r="F102" s="13">
        <v>8.7593550843180365E-2</v>
      </c>
      <c r="G102" s="13">
        <v>1.1221285577288173E-2</v>
      </c>
      <c r="H102" s="13">
        <v>1.8891509538761633E-2</v>
      </c>
      <c r="I102" s="13">
        <v>4.9126637927653503E-2</v>
      </c>
      <c r="J102" s="13">
        <v>5.3458438963551971E-2</v>
      </c>
      <c r="K102" s="13">
        <v>6.3885865242351583E-2</v>
      </c>
      <c r="L102" s="13">
        <v>5.3965177330066609E-2</v>
      </c>
      <c r="M102" s="13">
        <v>4.0842329849840431E-2</v>
      </c>
      <c r="N102" s="13">
        <v>0.13400785024802031</v>
      </c>
      <c r="O102" s="13">
        <v>3.2654668721118184E-2</v>
      </c>
      <c r="R102" s="14">
        <f t="shared" si="30"/>
        <v>2.0995510184568723E-2</v>
      </c>
      <c r="S102" s="14">
        <f t="shared" si="31"/>
        <v>2.384591422998206E-2</v>
      </c>
      <c r="T102" s="14">
        <f t="shared" si="32"/>
        <v>5.8416271166587764E-4</v>
      </c>
      <c r="U102" s="14">
        <f t="shared" si="33"/>
        <v>2.4368138578710466E-2</v>
      </c>
      <c r="V102" s="14">
        <f t="shared" si="34"/>
        <v>0.10511226101181644</v>
      </c>
      <c r="W102" s="14">
        <f t="shared" si="35"/>
        <v>1.3465542692745807E-2</v>
      </c>
      <c r="X102" s="14">
        <f t="shared" si="36"/>
        <v>2.2669811446513959E-2</v>
      </c>
      <c r="Y102" s="14">
        <f t="shared" si="37"/>
        <v>5.8951965513184199E-2</v>
      </c>
      <c r="Z102" s="14">
        <f t="shared" si="38"/>
        <v>6.415012675626236E-2</v>
      </c>
      <c r="AA102" s="14">
        <f t="shared" si="39"/>
        <v>7.6663038290821897E-2</v>
      </c>
      <c r="AB102" s="14">
        <f t="shared" si="40"/>
        <v>6.4758212796079934E-2</v>
      </c>
      <c r="AC102" s="14">
        <f t="shared" si="41"/>
        <v>4.9010795819808516E-2</v>
      </c>
      <c r="AD102" s="14">
        <f t="shared" si="42"/>
        <v>0.16080942029762438</v>
      </c>
      <c r="AE102" s="14">
        <f t="shared" si="43"/>
        <v>3.9185602465341821E-2</v>
      </c>
      <c r="AM102" s="14">
        <f t="shared" si="44"/>
        <v>1.318939376403671E-2</v>
      </c>
      <c r="AN102" s="14">
        <f t="shared" si="45"/>
        <v>3.0492077101620524E-3</v>
      </c>
      <c r="AO102" s="14">
        <f t="shared" si="46"/>
        <v>-7.2937736279635621E-3</v>
      </c>
      <c r="AP102" s="14">
        <f t="shared" si="47"/>
        <v>1.4533630539179056E-2</v>
      </c>
      <c r="AQ102" s="14">
        <f t="shared" si="48"/>
        <v>9.1289321548052943E-2</v>
      </c>
      <c r="AR102" s="14">
        <f t="shared" si="49"/>
        <v>4.9529378631084538E-3</v>
      </c>
      <c r="AS102" s="14">
        <f t="shared" si="50"/>
        <v>9.856808451674361E-3</v>
      </c>
      <c r="AT102" s="14">
        <f t="shared" si="51"/>
        <v>5.3556034202639373E-2</v>
      </c>
      <c r="AU102" s="14">
        <f t="shared" si="52"/>
        <v>4.8026634179504521E-2</v>
      </c>
      <c r="AV102" s="14">
        <f t="shared" si="53"/>
        <v>5.4611650080687441E-2</v>
      </c>
      <c r="AW102" s="14">
        <f t="shared" si="54"/>
        <v>5.1670424919255546E-2</v>
      </c>
      <c r="AX102" s="14">
        <f t="shared" si="55"/>
        <v>2.2301943182992636E-2</v>
      </c>
      <c r="AY102" s="14">
        <f t="shared" si="56"/>
        <v>0.14953848880954448</v>
      </c>
      <c r="AZ102" s="14">
        <f t="shared" si="57"/>
        <v>3.4571550468621377E-2</v>
      </c>
    </row>
    <row r="103" spans="2:52" x14ac:dyDescent="0.3">
      <c r="B103" s="13">
        <v>1.4750042183263009E-3</v>
      </c>
      <c r="C103" s="13">
        <v>-3.1316939150980889E-2</v>
      </c>
      <c r="D103" s="13">
        <v>2.0287602997272555E-2</v>
      </c>
      <c r="E103" s="13">
        <v>1.0147145889008648E-2</v>
      </c>
      <c r="F103" s="13">
        <v>4.8962311758135937E-3</v>
      </c>
      <c r="G103" s="13">
        <v>1.0687961429153601E-2</v>
      </c>
      <c r="H103" s="13">
        <v>9.4762097565984759E-3</v>
      </c>
      <c r="I103" s="13">
        <v>5.1629654969261973E-2</v>
      </c>
      <c r="J103" s="13">
        <v>1.7091978024901908E-2</v>
      </c>
      <c r="K103" s="13">
        <v>0.15399201720855962</v>
      </c>
      <c r="L103" s="13">
        <v>1.6035329013292177E-2</v>
      </c>
      <c r="M103" s="13">
        <v>-6.5026683217072501E-2</v>
      </c>
      <c r="N103" s="13">
        <v>2.0862917425940718E-2</v>
      </c>
      <c r="O103" s="13">
        <v>6.3739042063961481E-3</v>
      </c>
      <c r="R103" s="14">
        <f t="shared" si="30"/>
        <v>1.770005061991561E-3</v>
      </c>
      <c r="S103" s="14">
        <f t="shared" si="31"/>
        <v>-2.5053551320784712E-2</v>
      </c>
      <c r="T103" s="14">
        <f t="shared" si="32"/>
        <v>2.4345123596727063E-2</v>
      </c>
      <c r="U103" s="14">
        <f t="shared" si="33"/>
        <v>1.2176575066810377E-2</v>
      </c>
      <c r="V103" s="14">
        <f t="shared" si="34"/>
        <v>5.8754774109763125E-3</v>
      </c>
      <c r="W103" s="14">
        <f t="shared" si="35"/>
        <v>1.282555371498432E-2</v>
      </c>
      <c r="X103" s="14">
        <f t="shared" si="36"/>
        <v>1.1371451707918171E-2</v>
      </c>
      <c r="Y103" s="14">
        <f t="shared" si="37"/>
        <v>6.1955585963114367E-2</v>
      </c>
      <c r="Z103" s="14">
        <f t="shared" si="38"/>
        <v>2.0510373629882287E-2</v>
      </c>
      <c r="AA103" s="14">
        <f t="shared" si="39"/>
        <v>0.18479042065027154</v>
      </c>
      <c r="AB103" s="14">
        <f t="shared" si="40"/>
        <v>1.9242394815950612E-2</v>
      </c>
      <c r="AC103" s="14">
        <f t="shared" si="41"/>
        <v>-5.2021346573658006E-2</v>
      </c>
      <c r="AD103" s="14">
        <f t="shared" si="42"/>
        <v>2.5035500911128862E-2</v>
      </c>
      <c r="AE103" s="14">
        <f t="shared" si="43"/>
        <v>7.6486850476753772E-3</v>
      </c>
      <c r="AM103" s="14">
        <f t="shared" si="44"/>
        <v>-6.0361113585404519E-3</v>
      </c>
      <c r="AN103" s="14">
        <f t="shared" si="45"/>
        <v>-4.5850257840604716E-2</v>
      </c>
      <c r="AO103" s="14">
        <f t="shared" si="46"/>
        <v>1.6467187257097622E-2</v>
      </c>
      <c r="AP103" s="14">
        <f t="shared" si="47"/>
        <v>2.342067027278967E-3</v>
      </c>
      <c r="AQ103" s="14">
        <f t="shared" si="48"/>
        <v>-7.9474620527871867E-3</v>
      </c>
      <c r="AR103" s="14">
        <f t="shared" si="49"/>
        <v>4.3129488853469664E-3</v>
      </c>
      <c r="AS103" s="14">
        <f t="shared" si="50"/>
        <v>-1.4415512869214268E-3</v>
      </c>
      <c r="AT103" s="14">
        <f t="shared" si="51"/>
        <v>5.6559654652569541E-2</v>
      </c>
      <c r="AU103" s="14">
        <f t="shared" si="52"/>
        <v>4.3868810531244515E-3</v>
      </c>
      <c r="AV103" s="14">
        <f t="shared" si="53"/>
        <v>0.1627390324401371</v>
      </c>
      <c r="AW103" s="14">
        <f t="shared" si="54"/>
        <v>6.1546069391262264E-3</v>
      </c>
      <c r="AX103" s="14">
        <f t="shared" si="55"/>
        <v>-7.8730199210473889E-2</v>
      </c>
      <c r="AY103" s="14">
        <f t="shared" si="56"/>
        <v>1.3764569423048956E-2</v>
      </c>
      <c r="AZ103" s="14">
        <f t="shared" si="57"/>
        <v>3.0346330509549348E-3</v>
      </c>
    </row>
    <row r="104" spans="2:52" x14ac:dyDescent="0.3">
      <c r="B104" s="13">
        <v>6.6630188009449099E-3</v>
      </c>
      <c r="C104" s="13">
        <v>-2.1579005293795861E-2</v>
      </c>
      <c r="D104" s="13">
        <v>-7.7666161606814608E-3</v>
      </c>
      <c r="E104" s="13">
        <v>-3.5974834479407879E-2</v>
      </c>
      <c r="F104" s="13">
        <v>1.4253425079032949E-2</v>
      </c>
      <c r="G104" s="13">
        <v>1.9743343037176078E-3</v>
      </c>
      <c r="H104" s="13">
        <v>-4.0454954692313756E-2</v>
      </c>
      <c r="I104" s="13">
        <v>0.1216802947964743</v>
      </c>
      <c r="J104" s="13">
        <v>0.10946770616244107</v>
      </c>
      <c r="K104" s="13">
        <v>0.14643035898327184</v>
      </c>
      <c r="L104" s="13">
        <v>3.6038336778822323E-2</v>
      </c>
      <c r="M104" s="13">
        <v>5.4231681430172748E-2</v>
      </c>
      <c r="N104" s="13">
        <v>8.681823358004824E-2</v>
      </c>
      <c r="O104" s="13">
        <v>8.5499309240065616E-2</v>
      </c>
      <c r="R104" s="14">
        <f t="shared" si="30"/>
        <v>7.9956225611338919E-3</v>
      </c>
      <c r="S104" s="14">
        <f t="shared" si="31"/>
        <v>-1.7263204235036689E-2</v>
      </c>
      <c r="T104" s="14">
        <f t="shared" si="32"/>
        <v>-6.2132929285451692E-3</v>
      </c>
      <c r="U104" s="14">
        <f t="shared" si="33"/>
        <v>-2.8779867583526304E-2</v>
      </c>
      <c r="V104" s="14">
        <f t="shared" si="34"/>
        <v>1.7104110094839538E-2</v>
      </c>
      <c r="W104" s="14">
        <f t="shared" si="35"/>
        <v>2.3692011644611292E-3</v>
      </c>
      <c r="X104" s="14">
        <f t="shared" si="36"/>
        <v>-3.2363963753851005E-2</v>
      </c>
      <c r="Y104" s="14">
        <f t="shared" si="37"/>
        <v>0.14601635375576916</v>
      </c>
      <c r="Z104" s="14">
        <f t="shared" si="38"/>
        <v>0.13136124739492927</v>
      </c>
      <c r="AA104" s="14">
        <f t="shared" si="39"/>
        <v>0.17571643077992619</v>
      </c>
      <c r="AB104" s="14">
        <f t="shared" si="40"/>
        <v>4.3246004134586784E-2</v>
      </c>
      <c r="AC104" s="14">
        <f t="shared" si="41"/>
        <v>6.507801771620729E-2</v>
      </c>
      <c r="AD104" s="14">
        <f t="shared" si="42"/>
        <v>0.10418188029605789</v>
      </c>
      <c r="AE104" s="14">
        <f t="shared" si="43"/>
        <v>0.10259917108807874</v>
      </c>
      <c r="AM104" s="14">
        <f t="shared" si="44"/>
        <v>1.8950614060187897E-4</v>
      </c>
      <c r="AN104" s="14">
        <f t="shared" si="45"/>
        <v>-3.8059910754856693E-2</v>
      </c>
      <c r="AO104" s="14">
        <f t="shared" si="46"/>
        <v>-1.4091229268174608E-2</v>
      </c>
      <c r="AP104" s="14">
        <f t="shared" si="47"/>
        <v>-3.8614375623057716E-2</v>
      </c>
      <c r="AQ104" s="14">
        <f t="shared" si="48"/>
        <v>3.2811706310760386E-3</v>
      </c>
      <c r="AR104" s="14">
        <f t="shared" si="49"/>
        <v>-6.1434036651762244E-3</v>
      </c>
      <c r="AS104" s="14">
        <f t="shared" si="50"/>
        <v>-4.5176966748690602E-2</v>
      </c>
      <c r="AT104" s="14">
        <f t="shared" si="51"/>
        <v>0.14062042244522432</v>
      </c>
      <c r="AU104" s="14">
        <f t="shared" si="52"/>
        <v>0.11523775481817143</v>
      </c>
      <c r="AV104" s="14">
        <f t="shared" si="53"/>
        <v>0.15366504256979174</v>
      </c>
      <c r="AW104" s="14">
        <f t="shared" si="54"/>
        <v>3.0158216257762396E-2</v>
      </c>
      <c r="AX104" s="14">
        <f t="shared" si="55"/>
        <v>3.8369165079391407E-2</v>
      </c>
      <c r="AY104" s="14">
        <f t="shared" si="56"/>
        <v>9.2910948807977983E-2</v>
      </c>
      <c r="AZ104" s="14">
        <f t="shared" si="57"/>
        <v>9.7985119091358305E-2</v>
      </c>
    </row>
    <row r="105" spans="2:52" x14ac:dyDescent="0.3">
      <c r="B105" s="13">
        <v>2.3104787958975123E-2</v>
      </c>
      <c r="C105" s="13">
        <v>1.5912078594962187E-2</v>
      </c>
      <c r="D105" s="13">
        <v>-7.4792321247003099E-4</v>
      </c>
      <c r="E105" s="13">
        <v>2.3459947935582023E-2</v>
      </c>
      <c r="F105" s="13">
        <v>2.076027072968498E-2</v>
      </c>
      <c r="G105" s="13">
        <v>2.6490081715768625E-3</v>
      </c>
      <c r="H105" s="13">
        <v>2.4120274528764332E-2</v>
      </c>
      <c r="I105" s="13">
        <v>6.5024612311330776E-2</v>
      </c>
      <c r="J105" s="13">
        <v>3.1494709120388681E-2</v>
      </c>
      <c r="K105" s="13">
        <v>9.1797056459049092E-2</v>
      </c>
      <c r="L105" s="13">
        <v>7.3111087335962471E-2</v>
      </c>
      <c r="M105" s="13">
        <v>-0.13163031829734875</v>
      </c>
      <c r="N105" s="13">
        <v>-1.7399714394636823E-3</v>
      </c>
      <c r="O105" s="13">
        <v>3.8651480179322469E-2</v>
      </c>
      <c r="R105" s="14">
        <f t="shared" si="30"/>
        <v>2.7725745550770148E-2</v>
      </c>
      <c r="S105" s="14">
        <f t="shared" si="31"/>
        <v>1.9094494313954623E-2</v>
      </c>
      <c r="T105" s="14">
        <f t="shared" si="32"/>
        <v>-5.9833856997602484E-4</v>
      </c>
      <c r="U105" s="14">
        <f t="shared" si="33"/>
        <v>2.8151937522698428E-2</v>
      </c>
      <c r="V105" s="14">
        <f t="shared" si="34"/>
        <v>2.4912324875621974E-2</v>
      </c>
      <c r="W105" s="14">
        <f t="shared" si="35"/>
        <v>3.1788098058922348E-3</v>
      </c>
      <c r="X105" s="14">
        <f t="shared" si="36"/>
        <v>2.8944329434517198E-2</v>
      </c>
      <c r="Y105" s="14">
        <f t="shared" si="37"/>
        <v>7.8029534773596934E-2</v>
      </c>
      <c r="Z105" s="14">
        <f t="shared" si="38"/>
        <v>3.7793650944466413E-2</v>
      </c>
      <c r="AA105" s="14">
        <f t="shared" si="39"/>
        <v>0.11015646775085891</v>
      </c>
      <c r="AB105" s="14">
        <f t="shared" si="40"/>
        <v>8.7733304803154957E-2</v>
      </c>
      <c r="AC105" s="14">
        <f t="shared" si="41"/>
        <v>-0.10530425463787901</v>
      </c>
      <c r="AD105" s="14">
        <f t="shared" si="42"/>
        <v>-1.3919771515709459E-3</v>
      </c>
      <c r="AE105" s="14">
        <f t="shared" si="43"/>
        <v>4.6381776215186958E-2</v>
      </c>
      <c r="AM105" s="14">
        <f t="shared" si="44"/>
        <v>1.9919629130238134E-2</v>
      </c>
      <c r="AN105" s="14">
        <f t="shared" si="45"/>
        <v>-1.7022122058653853E-3</v>
      </c>
      <c r="AO105" s="14">
        <f t="shared" si="46"/>
        <v>-8.4762749096054645E-3</v>
      </c>
      <c r="AP105" s="14">
        <f t="shared" si="47"/>
        <v>1.8317429483167016E-2</v>
      </c>
      <c r="AQ105" s="14">
        <f t="shared" si="48"/>
        <v>1.1089385411858475E-2</v>
      </c>
      <c r="AR105" s="14">
        <f t="shared" si="49"/>
        <v>-5.3337950237451193E-3</v>
      </c>
      <c r="AS105" s="14">
        <f t="shared" si="50"/>
        <v>1.6131326439677601E-2</v>
      </c>
      <c r="AT105" s="14">
        <f t="shared" si="51"/>
        <v>7.2633603463052115E-2</v>
      </c>
      <c r="AU105" s="14">
        <f t="shared" si="52"/>
        <v>2.1670158367708577E-2</v>
      </c>
      <c r="AV105" s="14">
        <f t="shared" si="53"/>
        <v>8.8105079540724454E-2</v>
      </c>
      <c r="AW105" s="14">
        <f t="shared" si="54"/>
        <v>7.4645516926330577E-2</v>
      </c>
      <c r="AX105" s="14">
        <f t="shared" si="55"/>
        <v>-0.1320131072746949</v>
      </c>
      <c r="AY105" s="14">
        <f t="shared" si="56"/>
        <v>-1.2662908639650852E-2</v>
      </c>
      <c r="AZ105" s="14">
        <f t="shared" si="57"/>
        <v>4.1767724218466515E-2</v>
      </c>
    </row>
    <row r="106" spans="2:52" x14ac:dyDescent="0.3">
      <c r="B106" s="13">
        <v>9.4589802084357553E-3</v>
      </c>
      <c r="C106" s="13">
        <v>2.863266139172423E-2</v>
      </c>
      <c r="D106" s="13">
        <v>-9.3965468016999343E-3</v>
      </c>
      <c r="E106" s="13">
        <v>-1.7863623868973614E-2</v>
      </c>
      <c r="F106" s="13">
        <v>3.8851550532956497E-2</v>
      </c>
      <c r="G106" s="13">
        <v>1.7149618332446021E-2</v>
      </c>
      <c r="H106" s="13">
        <v>6.5002400610102082E-3</v>
      </c>
      <c r="I106" s="13">
        <v>0.11446408139831979</v>
      </c>
      <c r="J106" s="13">
        <v>6.9781401304424354E-2</v>
      </c>
      <c r="K106" s="13">
        <v>8.6921639213135751E-3</v>
      </c>
      <c r="L106" s="13">
        <v>2.5898363455813247E-3</v>
      </c>
      <c r="M106" s="13">
        <v>2.3909951916189685E-2</v>
      </c>
      <c r="N106" s="13">
        <v>-7.4599281204435416E-2</v>
      </c>
      <c r="O106" s="13">
        <v>-2.0605029616630476E-2</v>
      </c>
      <c r="R106" s="14">
        <f t="shared" si="30"/>
        <v>1.1350776250122907E-2</v>
      </c>
      <c r="S106" s="14">
        <f t="shared" si="31"/>
        <v>3.4359193670069073E-2</v>
      </c>
      <c r="T106" s="14">
        <f t="shared" si="32"/>
        <v>-7.5172374413599481E-3</v>
      </c>
      <c r="U106" s="14">
        <f t="shared" si="33"/>
        <v>-1.4290899095178892E-2</v>
      </c>
      <c r="V106" s="14">
        <f t="shared" si="34"/>
        <v>4.6621860639547798E-2</v>
      </c>
      <c r="W106" s="14">
        <f t="shared" si="35"/>
        <v>2.0579541998935223E-2</v>
      </c>
      <c r="X106" s="14">
        <f t="shared" si="36"/>
        <v>7.8002880732122495E-3</v>
      </c>
      <c r="Y106" s="14">
        <f t="shared" si="37"/>
        <v>0.13735689767798373</v>
      </c>
      <c r="Z106" s="14">
        <f t="shared" si="38"/>
        <v>8.3737681565309224E-2</v>
      </c>
      <c r="AA106" s="14">
        <f t="shared" si="39"/>
        <v>1.043059670557629E-2</v>
      </c>
      <c r="AB106" s="14">
        <f t="shared" si="40"/>
        <v>3.1078036146975894E-3</v>
      </c>
      <c r="AC106" s="14">
        <f t="shared" si="41"/>
        <v>2.869194229942762E-2</v>
      </c>
      <c r="AD106" s="14">
        <f t="shared" si="42"/>
        <v>-5.9679424963548333E-2</v>
      </c>
      <c r="AE106" s="14">
        <f t="shared" si="43"/>
        <v>-1.6484023693304383E-2</v>
      </c>
      <c r="AM106" s="14">
        <f t="shared" si="44"/>
        <v>3.5446598295908937E-3</v>
      </c>
      <c r="AN106" s="14">
        <f t="shared" si="45"/>
        <v>1.3562487150249065E-2</v>
      </c>
      <c r="AO106" s="14">
        <f t="shared" si="46"/>
        <v>-1.5395173780989388E-2</v>
      </c>
      <c r="AP106" s="14">
        <f t="shared" si="47"/>
        <v>-2.41254071347103E-2</v>
      </c>
      <c r="AQ106" s="14">
        <f t="shared" si="48"/>
        <v>3.2798921175784299E-2</v>
      </c>
      <c r="AR106" s="14">
        <f t="shared" si="49"/>
        <v>1.2066937169297869E-2</v>
      </c>
      <c r="AS106" s="14">
        <f t="shared" si="50"/>
        <v>-5.0127149216273488E-3</v>
      </c>
      <c r="AT106" s="14">
        <f t="shared" si="51"/>
        <v>0.1319609663674389</v>
      </c>
      <c r="AU106" s="14">
        <f t="shared" si="52"/>
        <v>6.7614188988551385E-2</v>
      </c>
      <c r="AV106" s="14">
        <f t="shared" si="53"/>
        <v>-1.1620791504558166E-2</v>
      </c>
      <c r="AW106" s="14">
        <f t="shared" si="54"/>
        <v>-9.9799842621267967E-3</v>
      </c>
      <c r="AX106" s="14">
        <f t="shared" si="55"/>
        <v>1.9830896626117402E-3</v>
      </c>
      <c r="AY106" s="14">
        <f t="shared" si="56"/>
        <v>-7.0950356451628241E-2</v>
      </c>
      <c r="AZ106" s="14">
        <f t="shared" si="57"/>
        <v>-2.1098075690024826E-2</v>
      </c>
    </row>
    <row r="107" spans="2:52" x14ac:dyDescent="0.3">
      <c r="B107" s="13">
        <v>-2.0298777082837102E-2</v>
      </c>
      <c r="C107" s="13">
        <v>-1.2279985169852885E-3</v>
      </c>
      <c r="D107" s="13">
        <v>1.0331363445409891E-2</v>
      </c>
      <c r="E107" s="13">
        <v>6.4891965456099002E-2</v>
      </c>
      <c r="F107" s="13">
        <v>-3.7941710207035784E-3</v>
      </c>
      <c r="G107" s="13">
        <v>2.2743984437561395E-2</v>
      </c>
      <c r="H107" s="13">
        <v>5.3680565601188897E-2</v>
      </c>
      <c r="I107" s="13">
        <v>7.653849551448615E-3</v>
      </c>
      <c r="J107" s="13">
        <v>-1.7258189487675532E-2</v>
      </c>
      <c r="K107" s="13">
        <v>0.17098870658125895</v>
      </c>
      <c r="L107" s="13">
        <v>-2.4277749239480701E-3</v>
      </c>
      <c r="M107" s="13">
        <v>-4.4376840302651946E-2</v>
      </c>
      <c r="N107" s="13">
        <v>-4.9029951073003362E-2</v>
      </c>
      <c r="O107" s="13">
        <v>1.2910570110123146E-2</v>
      </c>
      <c r="R107" s="14">
        <f t="shared" si="30"/>
        <v>-1.6239021666269681E-2</v>
      </c>
      <c r="S107" s="14">
        <f t="shared" si="31"/>
        <v>-9.8239881358823085E-4</v>
      </c>
      <c r="T107" s="14">
        <f t="shared" si="32"/>
        <v>1.2397636134491869E-2</v>
      </c>
      <c r="U107" s="14">
        <f t="shared" si="33"/>
        <v>7.7870358547318802E-2</v>
      </c>
      <c r="V107" s="14">
        <f t="shared" si="34"/>
        <v>-3.0353368165628629E-3</v>
      </c>
      <c r="W107" s="14">
        <f t="shared" si="35"/>
        <v>2.7292781325073675E-2</v>
      </c>
      <c r="X107" s="14">
        <f t="shared" si="36"/>
        <v>6.4416678721426673E-2</v>
      </c>
      <c r="Y107" s="14">
        <f t="shared" si="37"/>
        <v>9.1846194617383383E-3</v>
      </c>
      <c r="Z107" s="14">
        <f t="shared" si="38"/>
        <v>-1.3806551590140426E-2</v>
      </c>
      <c r="AA107" s="14">
        <f t="shared" si="39"/>
        <v>0.20518644789751073</v>
      </c>
      <c r="AB107" s="14">
        <f t="shared" si="40"/>
        <v>-1.9422199391584561E-3</v>
      </c>
      <c r="AC107" s="14">
        <f t="shared" si="41"/>
        <v>-3.5501472242121558E-2</v>
      </c>
      <c r="AD107" s="14">
        <f t="shared" si="42"/>
        <v>-3.9223960858402691E-2</v>
      </c>
      <c r="AE107" s="14">
        <f t="shared" si="43"/>
        <v>1.5492684132147775E-2</v>
      </c>
      <c r="AM107" s="14">
        <f t="shared" si="44"/>
        <v>-2.4045138086801695E-2</v>
      </c>
      <c r="AN107" s="14">
        <f t="shared" si="45"/>
        <v>-2.1779105333408239E-2</v>
      </c>
      <c r="AO107" s="14">
        <f t="shared" si="46"/>
        <v>4.5196997948624296E-3</v>
      </c>
      <c r="AP107" s="14">
        <f t="shared" si="47"/>
        <v>6.803585050778739E-2</v>
      </c>
      <c r="AQ107" s="14">
        <f t="shared" si="48"/>
        <v>-1.6858276280326361E-2</v>
      </c>
      <c r="AR107" s="14">
        <f t="shared" si="49"/>
        <v>1.878017649543632E-2</v>
      </c>
      <c r="AS107" s="14">
        <f t="shared" si="50"/>
        <v>5.1603675726587077E-2</v>
      </c>
      <c r="AT107" s="14">
        <f t="shared" si="51"/>
        <v>3.7886881511935136E-3</v>
      </c>
      <c r="AU107" s="14">
        <f t="shared" si="52"/>
        <v>-2.9930044166898262E-2</v>
      </c>
      <c r="AV107" s="14">
        <f t="shared" si="53"/>
        <v>0.18313505968737626</v>
      </c>
      <c r="AW107" s="14">
        <f t="shared" si="54"/>
        <v>-1.5030007815982842E-2</v>
      </c>
      <c r="AX107" s="14">
        <f t="shared" si="55"/>
        <v>-6.2210324878937434E-2</v>
      </c>
      <c r="AY107" s="14">
        <f t="shared" si="56"/>
        <v>-5.0494892346482599E-2</v>
      </c>
      <c r="AZ107" s="14">
        <f t="shared" si="57"/>
        <v>1.0878632135427332E-2</v>
      </c>
    </row>
    <row r="108" spans="2:52" x14ac:dyDescent="0.3">
      <c r="B108" s="13">
        <v>-5.5421891012324906E-3</v>
      </c>
      <c r="C108" s="13">
        <v>1.4031750302771918E-2</v>
      </c>
      <c r="D108" s="13">
        <v>3.8901224086424326E-3</v>
      </c>
      <c r="E108" s="13">
        <v>-1.2803361468401506E-2</v>
      </c>
      <c r="F108" s="13">
        <v>-1.620729261015735E-2</v>
      </c>
      <c r="G108" s="13">
        <v>-9.6935524560746184E-3</v>
      </c>
      <c r="H108" s="13">
        <v>1.6116494617294135E-3</v>
      </c>
      <c r="I108" s="13">
        <v>-7.0630075844818879E-3</v>
      </c>
      <c r="J108" s="13">
        <v>-1.2134261201177407E-3</v>
      </c>
      <c r="K108" s="13">
        <v>-8.9296529251139331E-3</v>
      </c>
      <c r="L108" s="13">
        <v>-2.2712534098567648E-3</v>
      </c>
      <c r="M108" s="13">
        <v>-1.3881078870713427E-2</v>
      </c>
      <c r="N108" s="13">
        <v>3.497271324125052E-3</v>
      </c>
      <c r="O108" s="13">
        <v>-8.1712247462264447E-3</v>
      </c>
      <c r="R108" s="14">
        <f t="shared" si="30"/>
        <v>-4.4337512809859928E-3</v>
      </c>
      <c r="S108" s="14">
        <f t="shared" si="31"/>
        <v>1.6838100363326301E-2</v>
      </c>
      <c r="T108" s="14">
        <f t="shared" si="32"/>
        <v>4.6681468903709191E-3</v>
      </c>
      <c r="U108" s="14">
        <f t="shared" si="33"/>
        <v>-1.0242689174721206E-2</v>
      </c>
      <c r="V108" s="14">
        <f t="shared" si="34"/>
        <v>-1.2965834088125881E-2</v>
      </c>
      <c r="W108" s="14">
        <f t="shared" si="35"/>
        <v>-7.7548419648596949E-3</v>
      </c>
      <c r="X108" s="14">
        <f t="shared" si="36"/>
        <v>1.9339793540752962E-3</v>
      </c>
      <c r="Y108" s="14">
        <f t="shared" si="37"/>
        <v>-5.6504060675855103E-3</v>
      </c>
      <c r="Z108" s="14">
        <f t="shared" si="38"/>
        <v>-9.7074089609419266E-4</v>
      </c>
      <c r="AA108" s="14">
        <f t="shared" si="39"/>
        <v>-7.143722340091147E-3</v>
      </c>
      <c r="AB108" s="14">
        <f t="shared" si="40"/>
        <v>-1.817002727885412E-3</v>
      </c>
      <c r="AC108" s="14">
        <f t="shared" si="41"/>
        <v>-1.1104863096570742E-2</v>
      </c>
      <c r="AD108" s="14">
        <f t="shared" si="42"/>
        <v>4.1967255889500624E-3</v>
      </c>
      <c r="AE108" s="14">
        <f t="shared" si="43"/>
        <v>-6.5369797969811565E-3</v>
      </c>
      <c r="AM108" s="14">
        <f t="shared" si="44"/>
        <v>-1.2239867701518005E-2</v>
      </c>
      <c r="AN108" s="14">
        <f t="shared" si="45"/>
        <v>-3.9586061564937068E-3</v>
      </c>
      <c r="AO108" s="14">
        <f t="shared" si="46"/>
        <v>-3.2097894492585204E-3</v>
      </c>
      <c r="AP108" s="14">
        <f t="shared" si="47"/>
        <v>-2.0077197214252614E-2</v>
      </c>
      <c r="AQ108" s="14">
        <f t="shared" si="48"/>
        <v>-2.678877355188938E-2</v>
      </c>
      <c r="AR108" s="14">
        <f t="shared" si="49"/>
        <v>-1.6267446794497049E-2</v>
      </c>
      <c r="AS108" s="14">
        <f t="shared" si="50"/>
        <v>-1.0879023640764303E-2</v>
      </c>
      <c r="AT108" s="14">
        <f t="shared" si="51"/>
        <v>-1.1046337378130336E-2</v>
      </c>
      <c r="AU108" s="14">
        <f t="shared" si="52"/>
        <v>-1.7094233472852029E-2</v>
      </c>
      <c r="AV108" s="14">
        <f t="shared" si="53"/>
        <v>-2.9195110550225604E-2</v>
      </c>
      <c r="AW108" s="14">
        <f t="shared" si="54"/>
        <v>-1.4904790604709797E-2</v>
      </c>
      <c r="AX108" s="14">
        <f t="shared" si="55"/>
        <v>-3.781371573338662E-2</v>
      </c>
      <c r="AY108" s="14">
        <f t="shared" si="56"/>
        <v>-7.0742058991298436E-3</v>
      </c>
      <c r="AZ108" s="14">
        <f t="shared" si="57"/>
        <v>-1.11510317937016E-2</v>
      </c>
    </row>
    <row r="109" spans="2:52" x14ac:dyDescent="0.3">
      <c r="B109" s="13">
        <v>-6.0760973500102351E-2</v>
      </c>
      <c r="C109" s="13">
        <v>-8.5175935758657704E-3</v>
      </c>
      <c r="D109" s="13">
        <v>-2.2292161228803235E-2</v>
      </c>
      <c r="E109" s="13">
        <v>-2.8758063429585895E-2</v>
      </c>
      <c r="F109" s="13">
        <v>-4.523684207529037E-2</v>
      </c>
      <c r="G109" s="13">
        <v>-4.5098159528940425E-2</v>
      </c>
      <c r="H109" s="13">
        <v>-5.6947923450087739E-3</v>
      </c>
      <c r="I109" s="13">
        <v>-2.2701094321971989E-2</v>
      </c>
      <c r="J109" s="13">
        <v>-3.1268707602026782E-2</v>
      </c>
      <c r="K109" s="13">
        <v>-0.12177269952299583</v>
      </c>
      <c r="L109" s="13">
        <v>-6.6999453739088985E-2</v>
      </c>
      <c r="M109" s="13">
        <v>-7.1825734571255614E-2</v>
      </c>
      <c r="N109" s="13">
        <v>-2.6196579551852794E-2</v>
      </c>
      <c r="O109" s="13">
        <v>-7.1319910933182865E-2</v>
      </c>
      <c r="R109" s="14">
        <f t="shared" si="30"/>
        <v>-4.8608778800081881E-2</v>
      </c>
      <c r="S109" s="14">
        <f t="shared" si="31"/>
        <v>-6.8140748606926168E-3</v>
      </c>
      <c r="T109" s="14">
        <f t="shared" si="32"/>
        <v>-1.7833728983042588E-2</v>
      </c>
      <c r="U109" s="14">
        <f t="shared" si="33"/>
        <v>-2.3006450743668718E-2</v>
      </c>
      <c r="V109" s="14">
        <f t="shared" si="34"/>
        <v>-3.6189473660232299E-2</v>
      </c>
      <c r="W109" s="14">
        <f t="shared" si="35"/>
        <v>-3.6078527623152341E-2</v>
      </c>
      <c r="X109" s="14">
        <f t="shared" si="36"/>
        <v>-4.5558338760070191E-3</v>
      </c>
      <c r="Y109" s="14">
        <f t="shared" si="37"/>
        <v>-1.816087545757759E-2</v>
      </c>
      <c r="Z109" s="14">
        <f t="shared" si="38"/>
        <v>-2.5014966081621428E-2</v>
      </c>
      <c r="AA109" s="14">
        <f t="shared" si="39"/>
        <v>-9.7418159618396671E-2</v>
      </c>
      <c r="AB109" s="14">
        <f t="shared" si="40"/>
        <v>-5.3599562991271194E-2</v>
      </c>
      <c r="AC109" s="14">
        <f t="shared" si="41"/>
        <v>-5.7460587657004493E-2</v>
      </c>
      <c r="AD109" s="14">
        <f t="shared" si="42"/>
        <v>-2.0957263641482236E-2</v>
      </c>
      <c r="AE109" s="14">
        <f t="shared" si="43"/>
        <v>-5.7055928746546296E-2</v>
      </c>
      <c r="AM109" s="14">
        <f t="shared" si="44"/>
        <v>-5.6414895220613895E-2</v>
      </c>
      <c r="AN109" s="14">
        <f t="shared" si="45"/>
        <v>-2.7610781380512626E-2</v>
      </c>
      <c r="AO109" s="14">
        <f t="shared" si="46"/>
        <v>-2.571166532267203E-2</v>
      </c>
      <c r="AP109" s="14">
        <f t="shared" si="47"/>
        <v>-3.2840958783200126E-2</v>
      </c>
      <c r="AQ109" s="14">
        <f t="shared" si="48"/>
        <v>-5.0012413123995798E-2</v>
      </c>
      <c r="AR109" s="14">
        <f t="shared" si="49"/>
        <v>-4.4591132452789693E-2</v>
      </c>
      <c r="AS109" s="14">
        <f t="shared" si="50"/>
        <v>-1.7368836870846616E-2</v>
      </c>
      <c r="AT109" s="14">
        <f t="shared" si="51"/>
        <v>-2.3556806768122416E-2</v>
      </c>
      <c r="AU109" s="14">
        <f t="shared" si="52"/>
        <v>-4.1138458658379264E-2</v>
      </c>
      <c r="AV109" s="14">
        <f t="shared" si="53"/>
        <v>-0.11946954782853113</v>
      </c>
      <c r="AW109" s="14">
        <f t="shared" si="54"/>
        <v>-6.6687350868095574E-2</v>
      </c>
      <c r="AX109" s="14">
        <f t="shared" si="55"/>
        <v>-8.4169440293820369E-2</v>
      </c>
      <c r="AY109" s="14">
        <f t="shared" si="56"/>
        <v>-3.222819512956214E-2</v>
      </c>
      <c r="AZ109" s="14">
        <f t="shared" si="57"/>
        <v>-6.1669980743266739E-2</v>
      </c>
    </row>
    <row r="110" spans="2:52" x14ac:dyDescent="0.3">
      <c r="B110" s="13">
        <v>2.5825461422404484E-2</v>
      </c>
      <c r="C110" s="13">
        <v>0.10818747327525964</v>
      </c>
      <c r="D110" s="13">
        <v>5.4812587267311572E-2</v>
      </c>
      <c r="E110" s="13">
        <v>4.972645934963528E-2</v>
      </c>
      <c r="F110" s="13">
        <v>-8.1556196800023448E-2</v>
      </c>
      <c r="G110" s="13">
        <v>6.2582947346193671E-2</v>
      </c>
      <c r="H110" s="13">
        <v>6.2075980276928733E-2</v>
      </c>
      <c r="I110" s="13">
        <v>-7.277169773895269E-3</v>
      </c>
      <c r="J110" s="13">
        <v>0.13543392982979865</v>
      </c>
      <c r="K110" s="13">
        <v>-0.16330620171677354</v>
      </c>
      <c r="L110" s="13">
        <v>9.312901596878205E-2</v>
      </c>
      <c r="M110" s="13">
        <v>4.7657154715808447E-2</v>
      </c>
      <c r="N110" s="13">
        <v>-3.6960976871576727E-2</v>
      </c>
      <c r="O110" s="13">
        <v>5.0949746731871699E-2</v>
      </c>
      <c r="R110" s="14">
        <f t="shared" si="30"/>
        <v>3.0990553706885381E-2</v>
      </c>
      <c r="S110" s="14">
        <f t="shared" si="31"/>
        <v>0.12982496793031156</v>
      </c>
      <c r="T110" s="14">
        <f t="shared" si="32"/>
        <v>6.5775104720773886E-2</v>
      </c>
      <c r="U110" s="14">
        <f t="shared" si="33"/>
        <v>5.9671751219562336E-2</v>
      </c>
      <c r="V110" s="14">
        <f t="shared" si="34"/>
        <v>-6.5244957440018764E-2</v>
      </c>
      <c r="W110" s="14">
        <f t="shared" si="35"/>
        <v>7.5099536815432397E-2</v>
      </c>
      <c r="X110" s="14">
        <f t="shared" si="36"/>
        <v>7.4491176332314474E-2</v>
      </c>
      <c r="Y110" s="14">
        <f t="shared" si="37"/>
        <v>-5.8217358191162156E-3</v>
      </c>
      <c r="Z110" s="14">
        <f t="shared" si="38"/>
        <v>0.16252071579575839</v>
      </c>
      <c r="AA110" s="14">
        <f t="shared" si="39"/>
        <v>-0.13064496137341883</v>
      </c>
      <c r="AB110" s="14">
        <f t="shared" si="40"/>
        <v>0.11175481916253846</v>
      </c>
      <c r="AC110" s="14">
        <f t="shared" si="41"/>
        <v>5.7188585658970136E-2</v>
      </c>
      <c r="AD110" s="14">
        <f t="shared" si="42"/>
        <v>-2.9568781497261384E-2</v>
      </c>
      <c r="AE110" s="14">
        <f t="shared" si="43"/>
        <v>6.1139696078246035E-2</v>
      </c>
      <c r="AM110" s="14">
        <f t="shared" si="44"/>
        <v>2.3184437286353367E-2</v>
      </c>
      <c r="AN110" s="14">
        <f t="shared" si="45"/>
        <v>0.10902826141049156</v>
      </c>
      <c r="AO110" s="14">
        <f t="shared" si="46"/>
        <v>5.7897168381144448E-2</v>
      </c>
      <c r="AP110" s="14">
        <f t="shared" si="47"/>
        <v>4.9837243180030924E-2</v>
      </c>
      <c r="AQ110" s="14">
        <f t="shared" si="48"/>
        <v>-7.906789690378227E-2</v>
      </c>
      <c r="AR110" s="14">
        <f t="shared" si="49"/>
        <v>6.6586931985795045E-2</v>
      </c>
      <c r="AS110" s="14">
        <f t="shared" si="50"/>
        <v>6.1678173337474877E-2</v>
      </c>
      <c r="AT110" s="14">
        <f t="shared" si="51"/>
        <v>-1.1217667129661039E-2</v>
      </c>
      <c r="AU110" s="14">
        <f t="shared" si="52"/>
        <v>0.14639722321900056</v>
      </c>
      <c r="AV110" s="14">
        <f t="shared" si="53"/>
        <v>-0.15269634958355327</v>
      </c>
      <c r="AW110" s="14">
        <f t="shared" si="54"/>
        <v>9.866703128571408E-2</v>
      </c>
      <c r="AX110" s="14">
        <f t="shared" si="55"/>
        <v>3.0479733022154256E-2</v>
      </c>
      <c r="AY110" s="14">
        <f t="shared" si="56"/>
        <v>-4.0839712985341288E-2</v>
      </c>
      <c r="AZ110" s="14">
        <f t="shared" si="57"/>
        <v>5.6525644081525592E-2</v>
      </c>
    </row>
    <row r="111" spans="2:52" x14ac:dyDescent="0.3">
      <c r="B111" s="13">
        <v>2.9884601810862204E-2</v>
      </c>
      <c r="C111" s="13">
        <v>8.3761723124079729E-2</v>
      </c>
      <c r="D111" s="13">
        <v>2.5918060262667547E-2</v>
      </c>
      <c r="E111" s="13">
        <v>2.5811902513572058E-2</v>
      </c>
      <c r="F111" s="13">
        <v>-3.108722080905495E-2</v>
      </c>
      <c r="G111" s="13">
        <v>4.6457690991725895E-3</v>
      </c>
      <c r="H111" s="13">
        <v>2.3644133879798954E-2</v>
      </c>
      <c r="I111" s="13">
        <v>-6.0882802489447727E-4</v>
      </c>
      <c r="J111" s="13">
        <v>2.5058377829109142E-2</v>
      </c>
      <c r="K111" s="13">
        <v>-4.7204787501501894E-2</v>
      </c>
      <c r="L111" s="13">
        <v>2.9773846095959011E-2</v>
      </c>
      <c r="M111" s="13">
        <v>1.1926059851231061E-3</v>
      </c>
      <c r="N111" s="13">
        <v>1.1783870182975734E-2</v>
      </c>
      <c r="O111" s="13">
        <v>-2.0359126137918931E-2</v>
      </c>
      <c r="R111" s="14">
        <f t="shared" si="30"/>
        <v>3.5861522173034642E-2</v>
      </c>
      <c r="S111" s="14">
        <f t="shared" si="31"/>
        <v>0.10051406774889567</v>
      </c>
      <c r="T111" s="14">
        <f t="shared" si="32"/>
        <v>3.1101672315201057E-2</v>
      </c>
      <c r="U111" s="14">
        <f t="shared" si="33"/>
        <v>3.0974283016286467E-2</v>
      </c>
      <c r="V111" s="14">
        <f t="shared" si="34"/>
        <v>-2.4869776647243963E-2</v>
      </c>
      <c r="W111" s="14">
        <f t="shared" si="35"/>
        <v>5.5749229190071069E-3</v>
      </c>
      <c r="X111" s="14">
        <f t="shared" si="36"/>
        <v>2.8372960655758742E-2</v>
      </c>
      <c r="Y111" s="14">
        <f t="shared" si="37"/>
        <v>-4.8706241991558182E-4</v>
      </c>
      <c r="Z111" s="14">
        <f t="shared" si="38"/>
        <v>3.0070053394930969E-2</v>
      </c>
      <c r="AA111" s="14">
        <f t="shared" si="39"/>
        <v>-3.7763830001201516E-2</v>
      </c>
      <c r="AB111" s="14">
        <f t="shared" si="40"/>
        <v>3.5728615315150813E-2</v>
      </c>
      <c r="AC111" s="14">
        <f t="shared" si="41"/>
        <v>1.4311271821477274E-3</v>
      </c>
      <c r="AD111" s="14">
        <f t="shared" si="42"/>
        <v>1.414064421957088E-2</v>
      </c>
      <c r="AE111" s="14">
        <f t="shared" si="43"/>
        <v>-1.6287300910335145E-2</v>
      </c>
      <c r="AM111" s="14">
        <f t="shared" si="44"/>
        <v>2.8055405752502628E-2</v>
      </c>
      <c r="AN111" s="14">
        <f t="shared" si="45"/>
        <v>7.9717361229075662E-2</v>
      </c>
      <c r="AO111" s="14">
        <f t="shared" si="46"/>
        <v>2.3223735975571619E-2</v>
      </c>
      <c r="AP111" s="14">
        <f t="shared" si="47"/>
        <v>2.1139774976755059E-2</v>
      </c>
      <c r="AQ111" s="14">
        <f t="shared" si="48"/>
        <v>-3.8692716111007462E-2</v>
      </c>
      <c r="AR111" s="14">
        <f t="shared" si="49"/>
        <v>-2.9376819106302467E-3</v>
      </c>
      <c r="AS111" s="14">
        <f t="shared" si="50"/>
        <v>1.5559957660919143E-2</v>
      </c>
      <c r="AT111" s="14">
        <f t="shared" si="51"/>
        <v>-5.882993730460407E-3</v>
      </c>
      <c r="AU111" s="14">
        <f t="shared" si="52"/>
        <v>1.3946560818173134E-2</v>
      </c>
      <c r="AV111" s="14">
        <f t="shared" si="53"/>
        <v>-5.9815218211335973E-2</v>
      </c>
      <c r="AW111" s="14">
        <f t="shared" si="54"/>
        <v>2.2640827438326426E-2</v>
      </c>
      <c r="AX111" s="14">
        <f t="shared" si="55"/>
        <v>-2.5277725454668151E-2</v>
      </c>
      <c r="AY111" s="14">
        <f t="shared" si="56"/>
        <v>2.8697127314909737E-3</v>
      </c>
      <c r="AZ111" s="14">
        <f t="shared" si="57"/>
        <v>-2.0901352907055588E-2</v>
      </c>
    </row>
    <row r="112" spans="2:52" x14ac:dyDescent="0.3">
      <c r="B112" s="13">
        <v>4.4794074587097945E-3</v>
      </c>
      <c r="C112" s="13">
        <v>2.5557315356589172E-2</v>
      </c>
      <c r="D112" s="13">
        <v>1.3107588610373996E-2</v>
      </c>
      <c r="E112" s="13">
        <v>3.8858050575295656E-2</v>
      </c>
      <c r="F112" s="13">
        <v>-0.14663075894924732</v>
      </c>
      <c r="G112" s="13">
        <v>2.4042371554215545E-2</v>
      </c>
      <c r="H112" s="13">
        <v>2.7496941921568419E-2</v>
      </c>
      <c r="I112" s="13">
        <v>-1.040719524853582E-2</v>
      </c>
      <c r="J112" s="13">
        <v>-7.9194288377664899E-4</v>
      </c>
      <c r="K112" s="13">
        <v>3.6007240343700867E-3</v>
      </c>
      <c r="L112" s="13">
        <v>6.2772922960432674E-3</v>
      </c>
      <c r="M112" s="13">
        <v>-2.5959803695797756E-2</v>
      </c>
      <c r="N112" s="13">
        <v>2.1923976891615592E-2</v>
      </c>
      <c r="O112" s="13">
        <v>-1.9009199385546998E-2</v>
      </c>
      <c r="R112" s="14">
        <f t="shared" si="30"/>
        <v>5.3752889504517535E-3</v>
      </c>
      <c r="S112" s="14">
        <f t="shared" si="31"/>
        <v>3.0668778427907006E-2</v>
      </c>
      <c r="T112" s="14">
        <f t="shared" si="32"/>
        <v>1.5729106332448794E-2</v>
      </c>
      <c r="U112" s="14">
        <f t="shared" si="33"/>
        <v>4.6629660690354784E-2</v>
      </c>
      <c r="V112" s="14">
        <f t="shared" si="34"/>
        <v>-0.11730460715939786</v>
      </c>
      <c r="W112" s="14">
        <f t="shared" si="35"/>
        <v>2.8850845865058653E-2</v>
      </c>
      <c r="X112" s="14">
        <f t="shared" si="36"/>
        <v>3.2996330305882102E-2</v>
      </c>
      <c r="Y112" s="14">
        <f t="shared" si="37"/>
        <v>-8.3257561988286568E-3</v>
      </c>
      <c r="Z112" s="14">
        <f t="shared" si="38"/>
        <v>-6.3355430702131922E-4</v>
      </c>
      <c r="AA112" s="14">
        <f t="shared" si="39"/>
        <v>4.3208688412441042E-3</v>
      </c>
      <c r="AB112" s="14">
        <f t="shared" si="40"/>
        <v>7.5327507552519204E-3</v>
      </c>
      <c r="AC112" s="14">
        <f t="shared" si="41"/>
        <v>-2.0767842956638208E-2</v>
      </c>
      <c r="AD112" s="14">
        <f t="shared" si="42"/>
        <v>2.6308772269938708E-2</v>
      </c>
      <c r="AE112" s="14">
        <f t="shared" si="43"/>
        <v>-1.5207359508437599E-2</v>
      </c>
      <c r="AM112" s="14">
        <f t="shared" si="44"/>
        <v>-2.4308274700802594E-3</v>
      </c>
      <c r="AN112" s="14">
        <f t="shared" si="45"/>
        <v>9.8720719080869976E-3</v>
      </c>
      <c r="AO112" s="14">
        <f t="shared" si="46"/>
        <v>7.8511699928193544E-3</v>
      </c>
      <c r="AP112" s="14">
        <f t="shared" si="47"/>
        <v>3.6795152650823372E-2</v>
      </c>
      <c r="AQ112" s="14">
        <f t="shared" si="48"/>
        <v>-0.13112754662316137</v>
      </c>
      <c r="AR112" s="14">
        <f t="shared" si="49"/>
        <v>2.0338241035421298E-2</v>
      </c>
      <c r="AS112" s="14">
        <f t="shared" si="50"/>
        <v>2.0183327311042505E-2</v>
      </c>
      <c r="AT112" s="14">
        <f t="shared" si="51"/>
        <v>-1.3721687509373481E-2</v>
      </c>
      <c r="AU112" s="14">
        <f t="shared" si="52"/>
        <v>-1.6757046883779155E-2</v>
      </c>
      <c r="AV112" s="14">
        <f t="shared" si="53"/>
        <v>-1.7730519368890352E-2</v>
      </c>
      <c r="AW112" s="14">
        <f t="shared" si="54"/>
        <v>-5.5550371215724653E-3</v>
      </c>
      <c r="AX112" s="14">
        <f t="shared" si="55"/>
        <v>-4.7476695593454091E-2</v>
      </c>
      <c r="AY112" s="14">
        <f t="shared" si="56"/>
        <v>1.5037840781858802E-2</v>
      </c>
      <c r="AZ112" s="14">
        <f t="shared" si="57"/>
        <v>-1.9821411505158041E-2</v>
      </c>
    </row>
    <row r="113" spans="2:52" x14ac:dyDescent="0.3">
      <c r="B113" s="13">
        <v>-3.4740586189857377E-2</v>
      </c>
      <c r="C113" s="13">
        <v>8.0710504159032262E-2</v>
      </c>
      <c r="D113" s="13">
        <v>1.7886755468555521E-2</v>
      </c>
      <c r="E113" s="13">
        <v>-6.656449107264957E-2</v>
      </c>
      <c r="F113" s="13">
        <v>2.5111784034300273E-2</v>
      </c>
      <c r="G113" s="13">
        <v>7.6730580528158815E-2</v>
      </c>
      <c r="H113" s="13">
        <v>0.18658757504901588</v>
      </c>
      <c r="I113" s="13">
        <v>4.8057294953779264E-2</v>
      </c>
      <c r="J113" s="13">
        <v>4.4662908848817399E-2</v>
      </c>
      <c r="K113" s="13">
        <v>3.1603919464021156E-2</v>
      </c>
      <c r="L113" s="13">
        <v>3.8181147915045933E-2</v>
      </c>
      <c r="M113" s="13">
        <v>4.0161225801965558E-2</v>
      </c>
      <c r="N113" s="13">
        <v>2.255275278505766E-2</v>
      </c>
      <c r="O113" s="13">
        <v>-5.258388800643083E-2</v>
      </c>
      <c r="R113" s="14">
        <f t="shared" si="30"/>
        <v>-2.7792468951885904E-2</v>
      </c>
      <c r="S113" s="14">
        <f t="shared" si="31"/>
        <v>9.6852604990838712E-2</v>
      </c>
      <c r="T113" s="14">
        <f t="shared" si="32"/>
        <v>2.1464106562266626E-2</v>
      </c>
      <c r="U113" s="14">
        <f t="shared" si="33"/>
        <v>-5.3251592858119659E-2</v>
      </c>
      <c r="V113" s="14">
        <f t="shared" si="34"/>
        <v>3.0134140841160326E-2</v>
      </c>
      <c r="W113" s="14">
        <f t="shared" si="35"/>
        <v>9.2076696633790575E-2</v>
      </c>
      <c r="X113" s="14">
        <f t="shared" si="36"/>
        <v>0.22390509005881906</v>
      </c>
      <c r="Y113" s="14">
        <f t="shared" si="37"/>
        <v>5.7668753944535113E-2</v>
      </c>
      <c r="Z113" s="14">
        <f t="shared" si="38"/>
        <v>5.3595490618580877E-2</v>
      </c>
      <c r="AA113" s="14">
        <f t="shared" si="39"/>
        <v>3.7924703356825386E-2</v>
      </c>
      <c r="AB113" s="14">
        <f t="shared" si="40"/>
        <v>4.5817377498055117E-2</v>
      </c>
      <c r="AC113" s="14">
        <f t="shared" si="41"/>
        <v>4.8193470962358667E-2</v>
      </c>
      <c r="AD113" s="14">
        <f t="shared" si="42"/>
        <v>2.7063303342069193E-2</v>
      </c>
      <c r="AE113" s="14">
        <f t="shared" si="43"/>
        <v>-4.2067110405144666E-2</v>
      </c>
      <c r="AM113" s="14">
        <f t="shared" si="44"/>
        <v>-3.5598585372417918E-2</v>
      </c>
      <c r="AN113" s="14">
        <f t="shared" si="45"/>
        <v>7.6055898471018707E-2</v>
      </c>
      <c r="AO113" s="14">
        <f t="shared" si="46"/>
        <v>1.3586170222637186E-2</v>
      </c>
      <c r="AP113" s="14">
        <f t="shared" si="47"/>
        <v>-6.3086100897651071E-2</v>
      </c>
      <c r="AQ113" s="14">
        <f t="shared" si="48"/>
        <v>1.6311201377396826E-2</v>
      </c>
      <c r="AR113" s="14">
        <f t="shared" si="49"/>
        <v>8.3564091804153223E-2</v>
      </c>
      <c r="AS113" s="14">
        <f t="shared" si="50"/>
        <v>0.21109208706397947</v>
      </c>
      <c r="AT113" s="14">
        <f t="shared" si="51"/>
        <v>5.2272822633990287E-2</v>
      </c>
      <c r="AU113" s="14">
        <f t="shared" si="52"/>
        <v>3.7471998041823038E-2</v>
      </c>
      <c r="AV113" s="14">
        <f t="shared" si="53"/>
        <v>1.5873315146690929E-2</v>
      </c>
      <c r="AW113" s="14">
        <f t="shared" si="54"/>
        <v>3.272958962123073E-2</v>
      </c>
      <c r="AX113" s="14">
        <f t="shared" si="55"/>
        <v>2.1484618325542788E-2</v>
      </c>
      <c r="AY113" s="14">
        <f t="shared" si="56"/>
        <v>1.5792371853989288E-2</v>
      </c>
      <c r="AZ113" s="14">
        <f t="shared" si="57"/>
        <v>-4.6681162401865109E-2</v>
      </c>
    </row>
    <row r="114" spans="2:52" x14ac:dyDescent="0.3">
      <c r="B114" s="13">
        <v>1.6013152415204665E-2</v>
      </c>
      <c r="C114" s="13">
        <v>8.6393995800145409E-2</v>
      </c>
      <c r="D114" s="13">
        <v>2.2435027317990786E-2</v>
      </c>
      <c r="E114" s="13">
        <v>4.5446766269731931E-2</v>
      </c>
      <c r="F114" s="13">
        <v>2.9676079356393058E-2</v>
      </c>
      <c r="G114" s="13">
        <v>1.524895255890734E-2</v>
      </c>
      <c r="H114" s="13">
        <v>-1.4590440146979074E-2</v>
      </c>
      <c r="I114" s="13">
        <v>-0.42830460007798732</v>
      </c>
      <c r="J114" s="13">
        <v>8.1478425380074479E-2</v>
      </c>
      <c r="K114" s="13">
        <v>9.4240254456246939E-2</v>
      </c>
      <c r="L114" s="13">
        <v>4.0874879856045418E-2</v>
      </c>
      <c r="M114" s="13">
        <v>0.3593740009078974</v>
      </c>
      <c r="N114" s="13">
        <v>5.1073562459617423E-2</v>
      </c>
      <c r="O114" s="13">
        <v>2.200596610737009E-2</v>
      </c>
      <c r="R114" s="14">
        <f t="shared" si="30"/>
        <v>1.9215782898245597E-2</v>
      </c>
      <c r="S114" s="14">
        <f t="shared" si="31"/>
        <v>0.10367279496017449</v>
      </c>
      <c r="T114" s="14">
        <f t="shared" si="32"/>
        <v>2.6922032781588941E-2</v>
      </c>
      <c r="U114" s="14">
        <f t="shared" si="33"/>
        <v>5.4536119523678317E-2</v>
      </c>
      <c r="V114" s="14">
        <f t="shared" si="34"/>
        <v>3.5611295227671667E-2</v>
      </c>
      <c r="W114" s="14">
        <f t="shared" si="35"/>
        <v>1.8298743070688808E-2</v>
      </c>
      <c r="X114" s="14">
        <f t="shared" si="36"/>
        <v>-1.167235211758326E-2</v>
      </c>
      <c r="Y114" s="14">
        <f t="shared" si="37"/>
        <v>-0.34264368006238988</v>
      </c>
      <c r="Z114" s="14">
        <f t="shared" si="38"/>
        <v>9.7774110456089372E-2</v>
      </c>
      <c r="AA114" s="14">
        <f t="shared" si="39"/>
        <v>0.11308830534749632</v>
      </c>
      <c r="AB114" s="14">
        <f t="shared" si="40"/>
        <v>4.9049855827254497E-2</v>
      </c>
      <c r="AC114" s="14">
        <f t="shared" si="41"/>
        <v>0.43124880108947689</v>
      </c>
      <c r="AD114" s="14">
        <f t="shared" si="42"/>
        <v>6.1288274951540905E-2</v>
      </c>
      <c r="AE114" s="14">
        <f t="shared" si="43"/>
        <v>2.6407159328844108E-2</v>
      </c>
      <c r="AM114" s="14">
        <f t="shared" si="44"/>
        <v>1.1409666477713583E-2</v>
      </c>
      <c r="AN114" s="14">
        <f t="shared" si="45"/>
        <v>8.287608844035449E-2</v>
      </c>
      <c r="AO114" s="14">
        <f t="shared" si="46"/>
        <v>1.90440964419595E-2</v>
      </c>
      <c r="AP114" s="14">
        <f t="shared" si="47"/>
        <v>4.4701611484146905E-2</v>
      </c>
      <c r="AQ114" s="14">
        <f t="shared" si="48"/>
        <v>2.1788355763908168E-2</v>
      </c>
      <c r="AR114" s="14">
        <f t="shared" si="49"/>
        <v>9.7861382410514546E-3</v>
      </c>
      <c r="AS114" s="14">
        <f t="shared" si="50"/>
        <v>-2.4485355112422856E-2</v>
      </c>
      <c r="AT114" s="14">
        <f t="shared" si="51"/>
        <v>-0.34803961137293471</v>
      </c>
      <c r="AU114" s="14">
        <f t="shared" si="52"/>
        <v>8.1650617879331533E-2</v>
      </c>
      <c r="AV114" s="14">
        <f t="shared" si="53"/>
        <v>9.1036917137361867E-2</v>
      </c>
      <c r="AW114" s="14">
        <f t="shared" si="54"/>
        <v>3.596206795043011E-2</v>
      </c>
      <c r="AX114" s="14">
        <f t="shared" si="55"/>
        <v>0.404539948452661</v>
      </c>
      <c r="AY114" s="14">
        <f t="shared" si="56"/>
        <v>5.0017343463460998E-2</v>
      </c>
      <c r="AZ114" s="14">
        <f t="shared" si="57"/>
        <v>2.1793107332123664E-2</v>
      </c>
    </row>
    <row r="115" spans="2:52" x14ac:dyDescent="0.3">
      <c r="B115" s="13">
        <v>-3.5244514343092226E-2</v>
      </c>
      <c r="C115" s="13">
        <v>6.6326068765742326E-3</v>
      </c>
      <c r="D115" s="13">
        <v>-3.9999996623049844E-2</v>
      </c>
      <c r="E115" s="13">
        <v>-5.8596478547832759E-2</v>
      </c>
      <c r="F115" s="13">
        <v>3.2428131135373017E-2</v>
      </c>
      <c r="G115" s="13">
        <v>-2.8726245502388146E-2</v>
      </c>
      <c r="H115" s="13">
        <v>1.1068381481884614E-2</v>
      </c>
      <c r="I115" s="13">
        <v>5.3860094295706783E-3</v>
      </c>
      <c r="J115" s="13">
        <v>-3.0368368540945864E-4</v>
      </c>
      <c r="K115" s="13">
        <v>0.23892095920201067</v>
      </c>
      <c r="L115" s="13">
        <v>0.10054000292692536</v>
      </c>
      <c r="M115" s="13">
        <v>2.4580102502691934E-3</v>
      </c>
      <c r="N115" s="13">
        <v>-0.28559656596075955</v>
      </c>
      <c r="O115" s="13">
        <v>-5.6030927210078608E-2</v>
      </c>
      <c r="R115" s="14">
        <f t="shared" si="30"/>
        <v>-2.8195611474473782E-2</v>
      </c>
      <c r="S115" s="14">
        <f t="shared" si="31"/>
        <v>7.9591282518890784E-3</v>
      </c>
      <c r="T115" s="14">
        <f t="shared" si="32"/>
        <v>-3.1999997298439879E-2</v>
      </c>
      <c r="U115" s="14">
        <f t="shared" si="33"/>
        <v>-4.687718283826621E-2</v>
      </c>
      <c r="V115" s="14">
        <f t="shared" si="34"/>
        <v>3.8913757362447621E-2</v>
      </c>
      <c r="W115" s="14">
        <f t="shared" si="35"/>
        <v>-2.2980996401910519E-2</v>
      </c>
      <c r="X115" s="14">
        <f t="shared" si="36"/>
        <v>1.3282057778261537E-2</v>
      </c>
      <c r="Y115" s="14">
        <f t="shared" si="37"/>
        <v>6.4632113154848136E-3</v>
      </c>
      <c r="Z115" s="14">
        <f t="shared" si="38"/>
        <v>-2.4294694832756693E-4</v>
      </c>
      <c r="AA115" s="14">
        <f t="shared" si="39"/>
        <v>0.28670515104241279</v>
      </c>
      <c r="AB115" s="14">
        <f t="shared" si="40"/>
        <v>0.12064800351231042</v>
      </c>
      <c r="AC115" s="14">
        <f t="shared" si="41"/>
        <v>2.949612300323032E-3</v>
      </c>
      <c r="AD115" s="14">
        <f t="shared" si="42"/>
        <v>-0.22847725276860764</v>
      </c>
      <c r="AE115" s="14">
        <f t="shared" si="43"/>
        <v>-4.4824741768062892E-2</v>
      </c>
      <c r="AM115" s="14">
        <f t="shared" si="44"/>
        <v>-3.6001727895005796E-2</v>
      </c>
      <c r="AN115" s="14">
        <f t="shared" si="45"/>
        <v>-1.283757826793093E-2</v>
      </c>
      <c r="AO115" s="14">
        <f t="shared" si="46"/>
        <v>-3.9877933638069317E-2</v>
      </c>
      <c r="AP115" s="14">
        <f t="shared" si="47"/>
        <v>-5.6711690877797621E-2</v>
      </c>
      <c r="AQ115" s="14">
        <f t="shared" si="48"/>
        <v>2.5090817898684122E-2</v>
      </c>
      <c r="AR115" s="14">
        <f t="shared" si="49"/>
        <v>-3.1493601231547874E-2</v>
      </c>
      <c r="AS115" s="14">
        <f t="shared" si="50"/>
        <v>4.6905478342193843E-4</v>
      </c>
      <c r="AT115" s="14">
        <f t="shared" si="51"/>
        <v>1.0672800049399888E-3</v>
      </c>
      <c r="AU115" s="14">
        <f t="shared" si="52"/>
        <v>-1.6366439525085402E-2</v>
      </c>
      <c r="AV115" s="14">
        <f t="shared" si="53"/>
        <v>0.26465376283227832</v>
      </c>
      <c r="AW115" s="14">
        <f t="shared" si="54"/>
        <v>0.10756021563548604</v>
      </c>
      <c r="AX115" s="14">
        <f t="shared" si="55"/>
        <v>-2.3759240336492848E-2</v>
      </c>
      <c r="AY115" s="14">
        <f t="shared" si="56"/>
        <v>-0.23974818425668754</v>
      </c>
      <c r="AZ115" s="14">
        <f t="shared" si="57"/>
        <v>-4.9438793764783336E-2</v>
      </c>
    </row>
    <row r="116" spans="2:52" x14ac:dyDescent="0.3">
      <c r="B116" s="13">
        <v>1.1512212438281955E-3</v>
      </c>
      <c r="C116" s="13">
        <v>8.2064118374702191E-2</v>
      </c>
      <c r="D116" s="13">
        <v>1.5422702552663236E-2</v>
      </c>
      <c r="E116" s="13">
        <v>2.4185655813203602E-2</v>
      </c>
      <c r="F116" s="13">
        <v>-4.0728225473348714E-2</v>
      </c>
      <c r="G116" s="13">
        <v>3.1816907303261074E-2</v>
      </c>
      <c r="H116" s="13">
        <v>2.2375195750451961E-2</v>
      </c>
      <c r="I116" s="13">
        <v>-3.3685478950935301E-2</v>
      </c>
      <c r="J116" s="13">
        <v>-5.5419733120970947E-2</v>
      </c>
      <c r="K116" s="13">
        <v>-8.2810292617975054E-2</v>
      </c>
      <c r="L116" s="13">
        <v>-2.6818226915650998E-3</v>
      </c>
      <c r="M116" s="13">
        <v>-6.2032117602387839E-2</v>
      </c>
      <c r="N116" s="13">
        <v>-0.11031102081768235</v>
      </c>
      <c r="O116" s="13">
        <v>2.0395863162693834E-2</v>
      </c>
      <c r="R116" s="14">
        <f t="shared" si="30"/>
        <v>1.3814654925938346E-3</v>
      </c>
      <c r="S116" s="14">
        <f t="shared" si="31"/>
        <v>9.8476942049642621E-2</v>
      </c>
      <c r="T116" s="14">
        <f t="shared" si="32"/>
        <v>1.8507243063195882E-2</v>
      </c>
      <c r="U116" s="14">
        <f t="shared" si="33"/>
        <v>2.902278697584432E-2</v>
      </c>
      <c r="V116" s="14">
        <f t="shared" si="34"/>
        <v>-3.258258037867897E-2</v>
      </c>
      <c r="W116" s="14">
        <f t="shared" si="35"/>
        <v>3.8180288763913287E-2</v>
      </c>
      <c r="X116" s="14">
        <f t="shared" si="36"/>
        <v>2.6850234900542353E-2</v>
      </c>
      <c r="Y116" s="14">
        <f t="shared" si="37"/>
        <v>-2.694838316074824E-2</v>
      </c>
      <c r="Z116" s="14">
        <f t="shared" si="38"/>
        <v>-4.4335786496776761E-2</v>
      </c>
      <c r="AA116" s="14">
        <f t="shared" si="39"/>
        <v>-6.6248234094380049E-2</v>
      </c>
      <c r="AB116" s="14">
        <f t="shared" si="40"/>
        <v>-2.1454581532520801E-3</v>
      </c>
      <c r="AC116" s="14">
        <f t="shared" si="41"/>
        <v>-4.9625694081910275E-2</v>
      </c>
      <c r="AD116" s="14">
        <f t="shared" si="42"/>
        <v>-8.8248816654145884E-2</v>
      </c>
      <c r="AE116" s="14">
        <f t="shared" si="43"/>
        <v>2.4475035795232601E-2</v>
      </c>
      <c r="AM116" s="14">
        <f t="shared" si="44"/>
        <v>-6.4246509279381782E-3</v>
      </c>
      <c r="AN116" s="14">
        <f t="shared" si="45"/>
        <v>7.7680235529822617E-2</v>
      </c>
      <c r="AO116" s="14">
        <f t="shared" si="46"/>
        <v>1.0629306723566443E-2</v>
      </c>
      <c r="AP116" s="14">
        <f t="shared" si="47"/>
        <v>1.9188278936312912E-2</v>
      </c>
      <c r="AQ116" s="14">
        <f t="shared" si="48"/>
        <v>-4.6405519842442469E-2</v>
      </c>
      <c r="AR116" s="14">
        <f t="shared" si="49"/>
        <v>2.9667683934275935E-2</v>
      </c>
      <c r="AS116" s="14">
        <f t="shared" si="50"/>
        <v>1.4037231905702755E-2</v>
      </c>
      <c r="AT116" s="14">
        <f t="shared" si="51"/>
        <v>-3.2344314471293066E-2</v>
      </c>
      <c r="AU116" s="14">
        <f t="shared" si="52"/>
        <v>-6.04592790735346E-2</v>
      </c>
      <c r="AV116" s="14">
        <f t="shared" si="53"/>
        <v>-8.8299622304514505E-2</v>
      </c>
      <c r="AW116" s="14">
        <f t="shared" si="54"/>
        <v>-1.5233246030076466E-2</v>
      </c>
      <c r="AX116" s="14">
        <f t="shared" si="55"/>
        <v>-7.6334546718726151E-2</v>
      </c>
      <c r="AY116" s="14">
        <f t="shared" si="56"/>
        <v>-9.9519748142225792E-2</v>
      </c>
      <c r="AZ116" s="14">
        <f t="shared" si="57"/>
        <v>1.9860983798512158E-2</v>
      </c>
    </row>
    <row r="117" spans="2:52" x14ac:dyDescent="0.3">
      <c r="B117" s="13">
        <v>-1.5793580258141243E-2</v>
      </c>
      <c r="C117" s="13">
        <v>4.2961293017898861E-2</v>
      </c>
      <c r="D117" s="13">
        <v>1.2496529957443176E-2</v>
      </c>
      <c r="E117" s="13">
        <v>-4.8533181354611668E-2</v>
      </c>
      <c r="F117" s="13">
        <v>5.409189587394108E-2</v>
      </c>
      <c r="G117" s="13">
        <v>1.8289912750917837E-2</v>
      </c>
      <c r="H117" s="13">
        <v>3.7050662489188979E-2</v>
      </c>
      <c r="I117" s="13">
        <v>4.0821994520254985E-2</v>
      </c>
      <c r="J117" s="13">
        <v>9.9347556407051799E-3</v>
      </c>
      <c r="K117" s="13">
        <v>0.21489174100903799</v>
      </c>
      <c r="L117" s="13">
        <v>3.5549808921368505E-2</v>
      </c>
      <c r="M117" s="13">
        <v>8.1882880834459729E-2</v>
      </c>
      <c r="N117" s="13">
        <v>-1.76801914312248E-2</v>
      </c>
      <c r="O117" s="13">
        <v>0.11194760587272498</v>
      </c>
      <c r="R117" s="14">
        <f t="shared" si="30"/>
        <v>-1.2634864206512995E-2</v>
      </c>
      <c r="S117" s="14">
        <f t="shared" si="31"/>
        <v>5.1553551621478629E-2</v>
      </c>
      <c r="T117" s="14">
        <f t="shared" si="32"/>
        <v>1.4995835948931811E-2</v>
      </c>
      <c r="U117" s="14">
        <f t="shared" si="33"/>
        <v>-3.8826545083689337E-2</v>
      </c>
      <c r="V117" s="14">
        <f t="shared" si="34"/>
        <v>6.4910275048729288E-2</v>
      </c>
      <c r="W117" s="14">
        <f t="shared" si="35"/>
        <v>2.1947895301101403E-2</v>
      </c>
      <c r="X117" s="14">
        <f t="shared" si="36"/>
        <v>4.4460794987026771E-2</v>
      </c>
      <c r="Y117" s="14">
        <f t="shared" si="37"/>
        <v>4.8986393424305982E-2</v>
      </c>
      <c r="Z117" s="14">
        <f t="shared" si="38"/>
        <v>1.1921706768846215E-2</v>
      </c>
      <c r="AA117" s="14">
        <f t="shared" si="39"/>
        <v>0.25787008921084559</v>
      </c>
      <c r="AB117" s="14">
        <f t="shared" si="40"/>
        <v>4.2659770705642204E-2</v>
      </c>
      <c r="AC117" s="14">
        <f t="shared" si="41"/>
        <v>9.8259457001351677E-2</v>
      </c>
      <c r="AD117" s="14">
        <f t="shared" si="42"/>
        <v>-1.414415314497984E-2</v>
      </c>
      <c r="AE117" s="14">
        <f t="shared" si="43"/>
        <v>0.13433712704726997</v>
      </c>
      <c r="AM117" s="14">
        <f t="shared" si="44"/>
        <v>-2.0440980627045007E-2</v>
      </c>
      <c r="AN117" s="14">
        <f t="shared" si="45"/>
        <v>3.075684510165862E-2</v>
      </c>
      <c r="AO117" s="14">
        <f t="shared" si="46"/>
        <v>7.1178996093023712E-3</v>
      </c>
      <c r="AP117" s="14">
        <f t="shared" si="47"/>
        <v>-4.8661053123220749E-2</v>
      </c>
      <c r="AQ117" s="14">
        <f t="shared" si="48"/>
        <v>5.1087335584965789E-2</v>
      </c>
      <c r="AR117" s="14">
        <f t="shared" si="49"/>
        <v>1.3435290471464049E-2</v>
      </c>
      <c r="AS117" s="14">
        <f t="shared" si="50"/>
        <v>3.1647791992187174E-2</v>
      </c>
      <c r="AT117" s="14">
        <f t="shared" si="51"/>
        <v>4.3590462113761157E-2</v>
      </c>
      <c r="AU117" s="14">
        <f t="shared" si="52"/>
        <v>-4.2017858079116208E-3</v>
      </c>
      <c r="AV117" s="14">
        <f t="shared" si="53"/>
        <v>0.23581870100071112</v>
      </c>
      <c r="AW117" s="14">
        <f t="shared" si="54"/>
        <v>2.9571982828817817E-2</v>
      </c>
      <c r="AX117" s="14">
        <f t="shared" si="55"/>
        <v>7.1550604364535794E-2</v>
      </c>
      <c r="AY117" s="14">
        <f t="shared" si="56"/>
        <v>-2.5415084633059748E-2</v>
      </c>
      <c r="AZ117" s="14">
        <f t="shared" si="57"/>
        <v>0.12972307505054953</v>
      </c>
    </row>
    <row r="118" spans="2:52" x14ac:dyDescent="0.3">
      <c r="B118" s="13">
        <v>-5.0982814517918404E-2</v>
      </c>
      <c r="C118" s="13">
        <v>6.1853526959590122E-2</v>
      </c>
      <c r="D118" s="13">
        <v>-2.2587729532163141E-2</v>
      </c>
      <c r="E118" s="13">
        <v>-1.2695088861485588E-2</v>
      </c>
      <c r="F118" s="13">
        <v>-0.14470405953298013</v>
      </c>
      <c r="G118" s="13">
        <v>-1.6234765598386627E-2</v>
      </c>
      <c r="H118" s="13">
        <v>7.2402994197698599E-3</v>
      </c>
      <c r="I118" s="13">
        <v>9.6521566990621893E-2</v>
      </c>
      <c r="J118" s="13">
        <v>2.5885828448298575E-2</v>
      </c>
      <c r="K118" s="13">
        <v>0.22083735128753243</v>
      </c>
      <c r="L118" s="13">
        <v>-2.9176301049276359E-2</v>
      </c>
      <c r="M118" s="13">
        <v>4.3561919804902018E-2</v>
      </c>
      <c r="N118" s="13">
        <v>1.7990317034578655E-2</v>
      </c>
      <c r="O118" s="13">
        <v>-5.4333635106565303E-2</v>
      </c>
      <c r="R118" s="14">
        <f t="shared" si="30"/>
        <v>-4.0786251614334725E-2</v>
      </c>
      <c r="S118" s="14">
        <f t="shared" si="31"/>
        <v>7.4224232351508143E-2</v>
      </c>
      <c r="T118" s="14">
        <f t="shared" si="32"/>
        <v>-1.8070183625730513E-2</v>
      </c>
      <c r="U118" s="14">
        <f t="shared" si="33"/>
        <v>-1.0156071089188472E-2</v>
      </c>
      <c r="V118" s="14">
        <f t="shared" si="34"/>
        <v>-0.11576324762638411</v>
      </c>
      <c r="W118" s="14">
        <f t="shared" si="35"/>
        <v>-1.2987812478709303E-2</v>
      </c>
      <c r="X118" s="14">
        <f t="shared" si="36"/>
        <v>8.6883593037238322E-3</v>
      </c>
      <c r="Y118" s="14">
        <f t="shared" si="37"/>
        <v>0.11582588038874626</v>
      </c>
      <c r="Z118" s="14">
        <f t="shared" si="38"/>
        <v>3.1062994137958287E-2</v>
      </c>
      <c r="AA118" s="14">
        <f t="shared" si="39"/>
        <v>0.2650048215450389</v>
      </c>
      <c r="AB118" s="14">
        <f t="shared" si="40"/>
        <v>-2.3341040839421089E-2</v>
      </c>
      <c r="AC118" s="14">
        <f t="shared" si="41"/>
        <v>5.2274303765882421E-2</v>
      </c>
      <c r="AD118" s="14">
        <f t="shared" si="42"/>
        <v>2.1588380441494383E-2</v>
      </c>
      <c r="AE118" s="14">
        <f t="shared" si="43"/>
        <v>-4.3466908085252248E-2</v>
      </c>
      <c r="AM118" s="14">
        <f t="shared" si="44"/>
        <v>-4.8592368034866738E-2</v>
      </c>
      <c r="AN118" s="14">
        <f t="shared" si="45"/>
        <v>5.3427525831688139E-2</v>
      </c>
      <c r="AO118" s="14">
        <f t="shared" si="46"/>
        <v>-2.594811996535995E-2</v>
      </c>
      <c r="AP118" s="14">
        <f t="shared" si="47"/>
        <v>-1.9990579128719883E-2</v>
      </c>
      <c r="AQ118" s="14">
        <f t="shared" si="48"/>
        <v>-0.1295861870901476</v>
      </c>
      <c r="AR118" s="14">
        <f t="shared" si="49"/>
        <v>-2.1500417308346655E-2</v>
      </c>
      <c r="AS118" s="14">
        <f t="shared" si="50"/>
        <v>-4.1246436911157661E-3</v>
      </c>
      <c r="AT118" s="14">
        <f t="shared" si="51"/>
        <v>0.11042994907820144</v>
      </c>
      <c r="AU118" s="14">
        <f t="shared" si="52"/>
        <v>1.4939501561200452E-2</v>
      </c>
      <c r="AV118" s="14">
        <f t="shared" si="53"/>
        <v>0.24295343333490443</v>
      </c>
      <c r="AW118" s="14">
        <f t="shared" si="54"/>
        <v>-3.6428828716245476E-2</v>
      </c>
      <c r="AX118" s="14">
        <f t="shared" si="55"/>
        <v>2.5565451129066542E-2</v>
      </c>
      <c r="AY118" s="14">
        <f t="shared" si="56"/>
        <v>1.0317448953414477E-2</v>
      </c>
      <c r="AZ118" s="14">
        <f t="shared" si="57"/>
        <v>-4.8080960081972691E-2</v>
      </c>
    </row>
    <row r="119" spans="2:52" x14ac:dyDescent="0.3">
      <c r="B119" s="13">
        <v>1.1009285508369396E-2</v>
      </c>
      <c r="C119" s="13">
        <v>3.5353860168739954E-3</v>
      </c>
      <c r="D119" s="13">
        <v>2.4799481563708568E-2</v>
      </c>
      <c r="E119" s="13">
        <v>4.1728458972593474E-2</v>
      </c>
      <c r="F119" s="13">
        <v>-6.9485912890005289E-2</v>
      </c>
      <c r="G119" s="13">
        <v>-5.3177927873475994E-3</v>
      </c>
      <c r="H119" s="13">
        <v>-4.4146353230120158E-2</v>
      </c>
      <c r="I119" s="13">
        <v>-0.10186917331721736</v>
      </c>
      <c r="J119" s="13">
        <v>-2.2553814258841488E-2</v>
      </c>
      <c r="K119" s="13">
        <v>-5.7172167390083885E-2</v>
      </c>
      <c r="L119" s="13">
        <v>-3.3989186414147825E-2</v>
      </c>
      <c r="M119" s="13">
        <v>-0.10305901866954706</v>
      </c>
      <c r="N119" s="13">
        <v>-7.9384026503579227E-3</v>
      </c>
      <c r="O119" s="13">
        <v>-1.8029334517941913E-2</v>
      </c>
      <c r="R119" s="14">
        <f t="shared" si="30"/>
        <v>1.3211142610043275E-2</v>
      </c>
      <c r="S119" s="14">
        <f t="shared" si="31"/>
        <v>4.2424632202487942E-3</v>
      </c>
      <c r="T119" s="14">
        <f t="shared" si="32"/>
        <v>2.975937787645028E-2</v>
      </c>
      <c r="U119" s="14">
        <f t="shared" si="33"/>
        <v>5.007415076711217E-2</v>
      </c>
      <c r="V119" s="14">
        <f t="shared" si="34"/>
        <v>-5.5588730312004231E-2</v>
      </c>
      <c r="W119" s="14">
        <f t="shared" si="35"/>
        <v>-4.2542342298780801E-3</v>
      </c>
      <c r="X119" s="14">
        <f t="shared" si="36"/>
        <v>-3.5317082584096125E-2</v>
      </c>
      <c r="Y119" s="14">
        <f t="shared" si="37"/>
        <v>-8.1495338653773897E-2</v>
      </c>
      <c r="Z119" s="14">
        <f t="shared" si="38"/>
        <v>-1.8043051407073192E-2</v>
      </c>
      <c r="AA119" s="14">
        <f t="shared" si="39"/>
        <v>-4.5737733912067112E-2</v>
      </c>
      <c r="AB119" s="14">
        <f t="shared" si="40"/>
        <v>-2.7191349131318262E-2</v>
      </c>
      <c r="AC119" s="14">
        <f t="shared" si="41"/>
        <v>-8.2447214935637655E-2</v>
      </c>
      <c r="AD119" s="14">
        <f t="shared" si="42"/>
        <v>-6.3507221202863387E-3</v>
      </c>
      <c r="AE119" s="14">
        <f t="shared" si="43"/>
        <v>-1.442346761435353E-2</v>
      </c>
      <c r="AM119" s="14">
        <f t="shared" si="44"/>
        <v>5.405026189511262E-3</v>
      </c>
      <c r="AN119" s="14">
        <f t="shared" si="45"/>
        <v>-1.6554243299571215E-2</v>
      </c>
      <c r="AO119" s="14">
        <f t="shared" si="46"/>
        <v>2.1881441536820839E-2</v>
      </c>
      <c r="AP119" s="14">
        <f t="shared" si="47"/>
        <v>4.0239642727580759E-2</v>
      </c>
      <c r="AQ119" s="14">
        <f t="shared" si="48"/>
        <v>-6.9411669775767737E-2</v>
      </c>
      <c r="AR119" s="14">
        <f t="shared" si="49"/>
        <v>-1.2766839059515433E-2</v>
      </c>
      <c r="AS119" s="14">
        <f t="shared" si="50"/>
        <v>-4.8130085578935722E-2</v>
      </c>
      <c r="AT119" s="14">
        <f t="shared" si="51"/>
        <v>-8.6891269964318715E-2</v>
      </c>
      <c r="AU119" s="14">
        <f t="shared" si="52"/>
        <v>-3.4166543983831024E-2</v>
      </c>
      <c r="AV119" s="14">
        <f t="shared" si="53"/>
        <v>-6.7789122122201562E-2</v>
      </c>
      <c r="AW119" s="14">
        <f t="shared" si="54"/>
        <v>-4.0279137008142646E-2</v>
      </c>
      <c r="AX119" s="14">
        <f t="shared" si="55"/>
        <v>-0.10915606757245354</v>
      </c>
      <c r="AY119" s="14">
        <f t="shared" si="56"/>
        <v>-1.7621653608366244E-2</v>
      </c>
      <c r="AZ119" s="14">
        <f t="shared" si="57"/>
        <v>-1.9037519611073972E-2</v>
      </c>
    </row>
    <row r="120" spans="2:52" x14ac:dyDescent="0.3">
      <c r="B120" s="13">
        <v>-1.9715866056017857E-3</v>
      </c>
      <c r="C120" s="13">
        <v>7.0858161716365428E-2</v>
      </c>
      <c r="D120" s="13">
        <v>2.9156308265941368E-2</v>
      </c>
      <c r="E120" s="13">
        <v>6.5719824823501027E-2</v>
      </c>
      <c r="F120" s="13">
        <v>4.3427876688532131E-2</v>
      </c>
      <c r="G120" s="13">
        <v>2.5193101206314891E-2</v>
      </c>
      <c r="H120" s="13">
        <v>5.1295360074324253E-2</v>
      </c>
      <c r="I120" s="13">
        <v>1.8592833076615925E-2</v>
      </c>
      <c r="J120" s="13">
        <v>3.7098295240598822E-2</v>
      </c>
      <c r="K120" s="13">
        <v>5.2837323744310723E-2</v>
      </c>
      <c r="L120" s="13">
        <v>5.324354075635504E-2</v>
      </c>
      <c r="M120" s="13">
        <v>2.8951046515825286E-2</v>
      </c>
      <c r="N120" s="13">
        <v>-6.4278656687122831E-3</v>
      </c>
      <c r="O120" s="13">
        <v>0</v>
      </c>
      <c r="R120" s="14">
        <f t="shared" si="30"/>
        <v>-1.5772692844814287E-3</v>
      </c>
      <c r="S120" s="14">
        <f t="shared" si="31"/>
        <v>8.5029794059638508E-2</v>
      </c>
      <c r="T120" s="14">
        <f t="shared" si="32"/>
        <v>3.4987569919129644E-2</v>
      </c>
      <c r="U120" s="14">
        <f t="shared" si="33"/>
        <v>7.886378978820123E-2</v>
      </c>
      <c r="V120" s="14">
        <f t="shared" si="34"/>
        <v>5.2113452026238558E-2</v>
      </c>
      <c r="W120" s="14">
        <f t="shared" si="35"/>
        <v>3.0231721447577867E-2</v>
      </c>
      <c r="X120" s="14">
        <f t="shared" si="36"/>
        <v>6.15544320891891E-2</v>
      </c>
      <c r="Y120" s="14">
        <f t="shared" si="37"/>
        <v>2.2311399691939109E-2</v>
      </c>
      <c r="Z120" s="14">
        <f t="shared" si="38"/>
        <v>4.4517954288718582E-2</v>
      </c>
      <c r="AA120" s="14">
        <f t="shared" si="39"/>
        <v>6.3404788493172867E-2</v>
      </c>
      <c r="AB120" s="14">
        <f t="shared" si="40"/>
        <v>6.3892248907626042E-2</v>
      </c>
      <c r="AC120" s="14">
        <f t="shared" si="41"/>
        <v>3.4741255818990339E-2</v>
      </c>
      <c r="AD120" s="14">
        <f t="shared" si="42"/>
        <v>-5.1422925349698268E-3</v>
      </c>
      <c r="AE120" s="14">
        <f t="shared" si="43"/>
        <v>0</v>
      </c>
      <c r="AM120" s="14">
        <f t="shared" si="44"/>
        <v>-9.383385705013441E-3</v>
      </c>
      <c r="AN120" s="14">
        <f t="shared" si="45"/>
        <v>6.4233087539818504E-2</v>
      </c>
      <c r="AO120" s="14">
        <f t="shared" si="46"/>
        <v>2.7109633579500206E-2</v>
      </c>
      <c r="AP120" s="14">
        <f t="shared" si="47"/>
        <v>6.9029281748669818E-2</v>
      </c>
      <c r="AQ120" s="14">
        <f t="shared" si="48"/>
        <v>3.8290512562475058E-2</v>
      </c>
      <c r="AR120" s="14">
        <f t="shared" si="49"/>
        <v>2.1719116617940515E-2</v>
      </c>
      <c r="AS120" s="14">
        <f t="shared" si="50"/>
        <v>4.8741429094349503E-2</v>
      </c>
      <c r="AT120" s="14">
        <f t="shared" si="51"/>
        <v>1.6915468381394284E-2</v>
      </c>
      <c r="AU120" s="14">
        <f t="shared" si="52"/>
        <v>2.8394461711960747E-2</v>
      </c>
      <c r="AV120" s="14">
        <f t="shared" si="53"/>
        <v>4.1353400283038411E-2</v>
      </c>
      <c r="AW120" s="14">
        <f t="shared" si="54"/>
        <v>5.0804461030801655E-2</v>
      </c>
      <c r="AX120" s="14">
        <f t="shared" si="55"/>
        <v>8.03240318217446E-3</v>
      </c>
      <c r="AY120" s="14">
        <f t="shared" si="56"/>
        <v>-1.6413224023049733E-2</v>
      </c>
      <c r="AZ120" s="14">
        <f t="shared" si="57"/>
        <v>-4.6140519967204424E-3</v>
      </c>
    </row>
    <row r="121" spans="2:52" x14ac:dyDescent="0.3">
      <c r="B121" s="13">
        <v>-4.6544184561335133E-3</v>
      </c>
      <c r="C121" s="13">
        <v>-4.2573447877783492E-2</v>
      </c>
      <c r="D121" s="13">
        <v>-1.8883145311900763E-2</v>
      </c>
      <c r="E121" s="13">
        <v>1.0606563805097477E-3</v>
      </c>
      <c r="F121" s="13">
        <v>2.8621190852833298E-2</v>
      </c>
      <c r="G121" s="13">
        <v>8.4064517324076004E-3</v>
      </c>
      <c r="H121" s="13">
        <v>-4.8242804284307411E-2</v>
      </c>
      <c r="I121" s="13">
        <v>6.9930354909706043E-3</v>
      </c>
      <c r="J121" s="13">
        <v>-2.1569251881154057E-2</v>
      </c>
      <c r="K121" s="13">
        <v>3.6921005857153605E-2</v>
      </c>
      <c r="L121" s="13">
        <v>-4.1221966475606581E-2</v>
      </c>
      <c r="M121" s="13">
        <v>-4.9596941139372061E-2</v>
      </c>
      <c r="N121" s="13">
        <v>2.4700284861632331E-2</v>
      </c>
      <c r="O121" s="13">
        <v>-8.9850600667598108E-3</v>
      </c>
      <c r="R121" s="14">
        <f t="shared" si="30"/>
        <v>-3.7235347649068108E-3</v>
      </c>
      <c r="S121" s="14">
        <f t="shared" si="31"/>
        <v>-3.4058758302226794E-2</v>
      </c>
      <c r="T121" s="14">
        <f t="shared" si="32"/>
        <v>-1.5106516249520611E-2</v>
      </c>
      <c r="U121" s="14">
        <f t="shared" si="33"/>
        <v>1.2727876566116971E-3</v>
      </c>
      <c r="V121" s="14">
        <f t="shared" si="34"/>
        <v>3.4345429023399959E-2</v>
      </c>
      <c r="W121" s="14">
        <f t="shared" si="35"/>
        <v>1.0087742078889119E-2</v>
      </c>
      <c r="X121" s="14">
        <f t="shared" si="36"/>
        <v>-3.8594243427445933E-2</v>
      </c>
      <c r="Y121" s="14">
        <f t="shared" si="37"/>
        <v>8.3916425891647252E-3</v>
      </c>
      <c r="Z121" s="14">
        <f t="shared" si="38"/>
        <v>-1.7255401504923246E-2</v>
      </c>
      <c r="AA121" s="14">
        <f t="shared" si="39"/>
        <v>4.4305207028584322E-2</v>
      </c>
      <c r="AB121" s="14">
        <f t="shared" si="40"/>
        <v>-3.2977573180485269E-2</v>
      </c>
      <c r="AC121" s="14">
        <f t="shared" si="41"/>
        <v>-3.9677552911497653E-2</v>
      </c>
      <c r="AD121" s="14">
        <f t="shared" si="42"/>
        <v>2.9640341833958795E-2</v>
      </c>
      <c r="AE121" s="14">
        <f t="shared" si="43"/>
        <v>-7.1880480534078492E-3</v>
      </c>
      <c r="AM121" s="14">
        <f t="shared" si="44"/>
        <v>-1.1529651185438824E-2</v>
      </c>
      <c r="AN121" s="14">
        <f t="shared" si="45"/>
        <v>-5.4855464822046798E-2</v>
      </c>
      <c r="AO121" s="14">
        <f t="shared" si="46"/>
        <v>-2.2984452589150051E-2</v>
      </c>
      <c r="AP121" s="14">
        <f t="shared" si="47"/>
        <v>-8.5617203829197134E-3</v>
      </c>
      <c r="AQ121" s="14">
        <f t="shared" si="48"/>
        <v>2.052248955963646E-2</v>
      </c>
      <c r="AR121" s="14">
        <f t="shared" si="49"/>
        <v>1.5751372492517658E-3</v>
      </c>
      <c r="AS121" s="14">
        <f t="shared" si="50"/>
        <v>-5.140724642228553E-2</v>
      </c>
      <c r="AT121" s="14">
        <f t="shared" si="51"/>
        <v>2.9957112786199004E-3</v>
      </c>
      <c r="AU121" s="14">
        <f t="shared" si="52"/>
        <v>-3.3378894081681085E-2</v>
      </c>
      <c r="AV121" s="14">
        <f t="shared" si="53"/>
        <v>2.2253818818449865E-2</v>
      </c>
      <c r="AW121" s="14">
        <f t="shared" si="54"/>
        <v>-4.6065361057309656E-2</v>
      </c>
      <c r="AX121" s="14">
        <f t="shared" si="55"/>
        <v>-6.6386405548313529E-2</v>
      </c>
      <c r="AY121" s="14">
        <f t="shared" si="56"/>
        <v>1.8369410345878891E-2</v>
      </c>
      <c r="AZ121" s="14">
        <f t="shared" si="57"/>
        <v>-1.1802100050128292E-2</v>
      </c>
    </row>
    <row r="122" spans="2:52" x14ac:dyDescent="0.3">
      <c r="B122" s="13">
        <v>-1.1141849853919217E-2</v>
      </c>
      <c r="C122" s="13">
        <v>-2.6351247214082097E-2</v>
      </c>
      <c r="D122" s="13">
        <v>1.1344421152973322E-2</v>
      </c>
      <c r="E122" s="13">
        <v>1.0348442876129316E-2</v>
      </c>
      <c r="F122" s="13">
        <v>-6.3950871246246321E-2</v>
      </c>
      <c r="G122" s="13">
        <v>2.5668395152094889E-2</v>
      </c>
      <c r="H122" s="13">
        <v>8.2501449068943439E-2</v>
      </c>
      <c r="I122" s="13">
        <v>-4.2711118093049803E-2</v>
      </c>
      <c r="J122" s="13">
        <v>-1.6004366191811528E-2</v>
      </c>
      <c r="K122" s="13">
        <v>-9.5800644057427067E-2</v>
      </c>
      <c r="L122" s="13">
        <v>2.2056447475702111E-3</v>
      </c>
      <c r="M122" s="13">
        <v>-2.1753325959088295E-3</v>
      </c>
      <c r="N122" s="13">
        <v>-8.5492032942348681E-2</v>
      </c>
      <c r="O122" s="13">
        <v>-3.7881545988377507E-2</v>
      </c>
      <c r="R122" s="14">
        <f t="shared" si="30"/>
        <v>-8.9134798831353741E-3</v>
      </c>
      <c r="S122" s="14">
        <f t="shared" si="31"/>
        <v>-2.108099777126568E-2</v>
      </c>
      <c r="T122" s="14">
        <f t="shared" si="32"/>
        <v>1.3613305383567986E-2</v>
      </c>
      <c r="U122" s="14">
        <f t="shared" si="33"/>
        <v>1.241813145135518E-2</v>
      </c>
      <c r="V122" s="14">
        <f t="shared" si="34"/>
        <v>-5.116069699699706E-2</v>
      </c>
      <c r="W122" s="14">
        <f t="shared" si="35"/>
        <v>3.0802074182513864E-2</v>
      </c>
      <c r="X122" s="14">
        <f t="shared" si="36"/>
        <v>9.9001738882732129E-2</v>
      </c>
      <c r="Y122" s="14">
        <f t="shared" si="37"/>
        <v>-3.4168894474439847E-2</v>
      </c>
      <c r="Z122" s="14">
        <f t="shared" si="38"/>
        <v>-1.2803492953449222E-2</v>
      </c>
      <c r="AA122" s="14">
        <f t="shared" si="39"/>
        <v>-7.6640515245941662E-2</v>
      </c>
      <c r="AB122" s="14">
        <f t="shared" si="40"/>
        <v>2.6467736970842534E-3</v>
      </c>
      <c r="AC122" s="14">
        <f t="shared" si="41"/>
        <v>-1.7402660767270638E-3</v>
      </c>
      <c r="AD122" s="14">
        <f t="shared" si="42"/>
        <v>-6.8393626353878953E-2</v>
      </c>
      <c r="AE122" s="14">
        <f t="shared" si="43"/>
        <v>-3.0305236790702007E-2</v>
      </c>
      <c r="AM122" s="14">
        <f t="shared" si="44"/>
        <v>-1.6719596303667386E-2</v>
      </c>
      <c r="AN122" s="14">
        <f t="shared" si="45"/>
        <v>-4.1877704291085685E-2</v>
      </c>
      <c r="AO122" s="14">
        <f t="shared" si="46"/>
        <v>5.7353690439385461E-3</v>
      </c>
      <c r="AP122" s="14">
        <f t="shared" si="47"/>
        <v>2.5836234118237697E-3</v>
      </c>
      <c r="AQ122" s="14">
        <f t="shared" si="48"/>
        <v>-6.4983636460760552E-2</v>
      </c>
      <c r="AR122" s="14">
        <f t="shared" si="49"/>
        <v>2.2289469352876512E-2</v>
      </c>
      <c r="AS122" s="14">
        <f t="shared" si="50"/>
        <v>8.6188735887892526E-2</v>
      </c>
      <c r="AT122" s="14">
        <f t="shared" si="51"/>
        <v>-3.9564825784984672E-2</v>
      </c>
      <c r="AU122" s="14">
        <f t="shared" si="52"/>
        <v>-2.8926985530207058E-2</v>
      </c>
      <c r="AV122" s="14">
        <f t="shared" si="53"/>
        <v>-9.8691903456076119E-2</v>
      </c>
      <c r="AW122" s="14">
        <f t="shared" si="54"/>
        <v>-1.0441014179740133E-2</v>
      </c>
      <c r="AX122" s="14">
        <f t="shared" si="55"/>
        <v>-2.8449118713542942E-2</v>
      </c>
      <c r="AY122" s="14">
        <f t="shared" si="56"/>
        <v>-7.9664557841958861E-2</v>
      </c>
      <c r="AZ122" s="14">
        <f t="shared" si="57"/>
        <v>-3.4919288787422446E-2</v>
      </c>
    </row>
    <row r="123" spans="2:52" x14ac:dyDescent="0.3">
      <c r="B123" s="13">
        <v>4.027933049853856E-2</v>
      </c>
      <c r="C123" s="13">
        <v>2.0431335143689111E-3</v>
      </c>
      <c r="D123" s="13">
        <v>-8.54363130376911E-3</v>
      </c>
      <c r="E123" s="13">
        <v>3.3720114451916236E-2</v>
      </c>
      <c r="F123" s="13">
        <v>3.6616681858060551E-2</v>
      </c>
      <c r="G123" s="13">
        <v>5.711222420584864E-3</v>
      </c>
      <c r="H123" s="13">
        <v>-2.9716208341071429E-2</v>
      </c>
      <c r="I123" s="13">
        <v>-1.373019281190202E-2</v>
      </c>
      <c r="J123" s="13">
        <v>-2.0655605875985451E-2</v>
      </c>
      <c r="K123" s="13">
        <v>1.9932849406450258E-2</v>
      </c>
      <c r="L123" s="13">
        <v>-2.4666692760404115E-2</v>
      </c>
      <c r="M123" s="13">
        <v>-1.2711106931928022E-2</v>
      </c>
      <c r="N123" s="13">
        <v>1.1692977194633178E-3</v>
      </c>
      <c r="O123" s="13">
        <v>-2.1033126662108909E-2</v>
      </c>
      <c r="R123" s="14">
        <f t="shared" si="30"/>
        <v>4.8335196598246269E-2</v>
      </c>
      <c r="S123" s="14">
        <f t="shared" si="31"/>
        <v>2.4517602172426933E-3</v>
      </c>
      <c r="T123" s="14">
        <f t="shared" si="32"/>
        <v>-6.834905043015288E-3</v>
      </c>
      <c r="U123" s="14">
        <f t="shared" si="33"/>
        <v>4.0464137342299485E-2</v>
      </c>
      <c r="V123" s="14">
        <f t="shared" si="34"/>
        <v>4.394001822967266E-2</v>
      </c>
      <c r="W123" s="14">
        <f t="shared" si="35"/>
        <v>6.8534669047018368E-3</v>
      </c>
      <c r="X123" s="14">
        <f t="shared" si="36"/>
        <v>-2.3772966672857145E-2</v>
      </c>
      <c r="Y123" s="14">
        <f t="shared" si="37"/>
        <v>-1.0984154249521616E-2</v>
      </c>
      <c r="Z123" s="14">
        <f t="shared" si="38"/>
        <v>-1.652448470078836E-2</v>
      </c>
      <c r="AA123" s="14">
        <f t="shared" si="39"/>
        <v>2.3919419287740308E-2</v>
      </c>
      <c r="AB123" s="14">
        <f t="shared" si="40"/>
        <v>-1.9733354208323294E-2</v>
      </c>
      <c r="AC123" s="14">
        <f t="shared" si="41"/>
        <v>-1.0168885545542419E-2</v>
      </c>
      <c r="AD123" s="14">
        <f t="shared" si="42"/>
        <v>1.4031572633559813E-3</v>
      </c>
      <c r="AE123" s="14">
        <f t="shared" si="43"/>
        <v>-1.6826501329687129E-2</v>
      </c>
      <c r="AM123" s="14">
        <f t="shared" si="44"/>
        <v>4.0529080177714255E-2</v>
      </c>
      <c r="AN123" s="14">
        <f t="shared" si="45"/>
        <v>-1.8344946302577315E-2</v>
      </c>
      <c r="AO123" s="14">
        <f t="shared" si="46"/>
        <v>-1.4712841382644727E-2</v>
      </c>
      <c r="AP123" s="14">
        <f t="shared" si="47"/>
        <v>3.0629629302768073E-2</v>
      </c>
      <c r="AQ123" s="14">
        <f t="shared" si="48"/>
        <v>3.0117078765909161E-2</v>
      </c>
      <c r="AR123" s="14">
        <f t="shared" si="49"/>
        <v>-1.6591379249355168E-3</v>
      </c>
      <c r="AS123" s="14">
        <f t="shared" si="50"/>
        <v>-3.6585969667696741E-2</v>
      </c>
      <c r="AT123" s="14">
        <f t="shared" si="51"/>
        <v>-1.638008556006644E-2</v>
      </c>
      <c r="AU123" s="14">
        <f t="shared" si="52"/>
        <v>-3.2647977277546196E-2</v>
      </c>
      <c r="AV123" s="14">
        <f t="shared" si="53"/>
        <v>1.8680310776058515E-3</v>
      </c>
      <c r="AW123" s="14">
        <f t="shared" si="54"/>
        <v>-3.2821142085147678E-2</v>
      </c>
      <c r="AX123" s="14">
        <f t="shared" si="55"/>
        <v>-3.6877738182358302E-2</v>
      </c>
      <c r="AY123" s="14">
        <f t="shared" si="56"/>
        <v>-9.8677742247239245E-3</v>
      </c>
      <c r="AZ123" s="14">
        <f t="shared" si="57"/>
        <v>-2.1440553326407572E-2</v>
      </c>
    </row>
    <row r="124" spans="2:52" x14ac:dyDescent="0.3">
      <c r="B124" s="13">
        <v>-6.7658648473814809E-2</v>
      </c>
      <c r="C124" s="13">
        <v>-0.14613211520748876</v>
      </c>
      <c r="D124" s="13">
        <v>-5.5506195577511006E-2</v>
      </c>
      <c r="E124" s="13">
        <v>-2.3347863205620559E-2</v>
      </c>
      <c r="F124" s="13">
        <v>-0.15118324642360967</v>
      </c>
      <c r="G124" s="13">
        <v>-6.3775904358487887E-2</v>
      </c>
      <c r="H124" s="13">
        <v>-6.2116503800730548E-2</v>
      </c>
      <c r="I124" s="13">
        <v>2.8170876966696439E-2</v>
      </c>
      <c r="J124" s="13">
        <v>-8.9329073054392638E-2</v>
      </c>
      <c r="K124" s="13">
        <v>-0.15240923330931064</v>
      </c>
      <c r="L124" s="13">
        <v>-8.4213632653500292E-2</v>
      </c>
      <c r="M124" s="13">
        <v>-0.10208206484623954</v>
      </c>
      <c r="N124" s="13">
        <v>-5.1381163989118447E-2</v>
      </c>
      <c r="O124" s="13">
        <v>-3.6013141837360964E-2</v>
      </c>
      <c r="R124" s="14">
        <f t="shared" si="30"/>
        <v>-5.4126918779051847E-2</v>
      </c>
      <c r="S124" s="14">
        <f t="shared" si="31"/>
        <v>-0.116905692165991</v>
      </c>
      <c r="T124" s="14">
        <f t="shared" si="32"/>
        <v>-4.4404956462008809E-2</v>
      </c>
      <c r="U124" s="14">
        <f t="shared" si="33"/>
        <v>-1.8678290564496446E-2</v>
      </c>
      <c r="V124" s="14">
        <f t="shared" si="34"/>
        <v>-0.12094659713888774</v>
      </c>
      <c r="W124" s="14">
        <f t="shared" si="35"/>
        <v>-5.1020723486790313E-2</v>
      </c>
      <c r="X124" s="14">
        <f t="shared" si="36"/>
        <v>-4.9693203040584444E-2</v>
      </c>
      <c r="Y124" s="14">
        <f t="shared" si="37"/>
        <v>3.3805052360035726E-2</v>
      </c>
      <c r="Z124" s="14">
        <f t="shared" si="38"/>
        <v>-7.1463258443514116E-2</v>
      </c>
      <c r="AA124" s="14">
        <f t="shared" si="39"/>
        <v>-0.12192738664744851</v>
      </c>
      <c r="AB124" s="14">
        <f t="shared" si="40"/>
        <v>-6.7370906122800236E-2</v>
      </c>
      <c r="AC124" s="14">
        <f t="shared" si="41"/>
        <v>-8.1665651876991638E-2</v>
      </c>
      <c r="AD124" s="14">
        <f t="shared" si="42"/>
        <v>-4.1104931191294762E-2</v>
      </c>
      <c r="AE124" s="14">
        <f t="shared" si="43"/>
        <v>-2.8810513469888773E-2</v>
      </c>
      <c r="AM124" s="14">
        <f t="shared" si="44"/>
        <v>-6.1933035199583861E-2</v>
      </c>
      <c r="AN124" s="14">
        <f t="shared" si="45"/>
        <v>-0.13770239868581102</v>
      </c>
      <c r="AO124" s="14">
        <f t="shared" si="46"/>
        <v>-5.2282892801638246E-2</v>
      </c>
      <c r="AP124" s="14">
        <f t="shared" si="47"/>
        <v>-2.8512798604027854E-2</v>
      </c>
      <c r="AQ124" s="14">
        <f t="shared" si="48"/>
        <v>-0.13476953660265123</v>
      </c>
      <c r="AR124" s="14">
        <f t="shared" si="49"/>
        <v>-5.9533328316427665E-2</v>
      </c>
      <c r="AS124" s="14">
        <f t="shared" si="50"/>
        <v>-6.2506206035424047E-2</v>
      </c>
      <c r="AT124" s="14">
        <f t="shared" si="51"/>
        <v>2.84091210494909E-2</v>
      </c>
      <c r="AU124" s="14">
        <f t="shared" si="52"/>
        <v>-8.7586751020271955E-2</v>
      </c>
      <c r="AV124" s="14">
        <f t="shared" si="53"/>
        <v>-0.14397877485758298</v>
      </c>
      <c r="AW124" s="14">
        <f t="shared" si="54"/>
        <v>-8.0458693999624617E-2</v>
      </c>
      <c r="AX124" s="14">
        <f t="shared" si="55"/>
        <v>-0.10837450451380752</v>
      </c>
      <c r="AY124" s="14">
        <f t="shared" si="56"/>
        <v>-5.237586267937467E-2</v>
      </c>
      <c r="AZ124" s="14">
        <f t="shared" si="57"/>
        <v>-3.3424565466609213E-2</v>
      </c>
    </row>
    <row r="125" spans="2:52" x14ac:dyDescent="0.3">
      <c r="B125" s="13">
        <v>2.5726815238509077E-2</v>
      </c>
      <c r="C125" s="13">
        <v>0.14101643304546724</v>
      </c>
      <c r="D125" s="13">
        <v>1.7878902940207546E-2</v>
      </c>
      <c r="E125" s="13">
        <v>0.10966688958451309</v>
      </c>
      <c r="F125" s="13">
        <v>0.13491601672497774</v>
      </c>
      <c r="G125" s="13">
        <v>2.8174058291049908E-2</v>
      </c>
      <c r="H125" s="13">
        <v>-8.1788606253310775E-2</v>
      </c>
      <c r="I125" s="13">
        <v>0.26525503666433659</v>
      </c>
      <c r="J125" s="13">
        <v>7.3083935006734657E-2</v>
      </c>
      <c r="K125" s="13">
        <v>0.11328129306510434</v>
      </c>
      <c r="L125" s="13">
        <v>-2.1699827683228042E-3</v>
      </c>
      <c r="M125" s="13">
        <v>9.5443403598291551E-2</v>
      </c>
      <c r="N125" s="13">
        <v>-9.7131006464999149E-3</v>
      </c>
      <c r="O125" s="13">
        <v>4.1998761908300646E-2</v>
      </c>
      <c r="R125" s="14">
        <f t="shared" si="30"/>
        <v>3.0872178286210892E-2</v>
      </c>
      <c r="S125" s="14">
        <f t="shared" si="31"/>
        <v>0.16921971965456067</v>
      </c>
      <c r="T125" s="14">
        <f t="shared" si="32"/>
        <v>2.1454683528249054E-2</v>
      </c>
      <c r="U125" s="14">
        <f t="shared" si="33"/>
        <v>0.13160026750141571</v>
      </c>
      <c r="V125" s="14">
        <f t="shared" si="34"/>
        <v>0.16189922006997329</v>
      </c>
      <c r="W125" s="14">
        <f t="shared" si="35"/>
        <v>3.3808869949259891E-2</v>
      </c>
      <c r="X125" s="14">
        <f t="shared" si="36"/>
        <v>-6.5430885002648626E-2</v>
      </c>
      <c r="Y125" s="14">
        <f t="shared" si="37"/>
        <v>0.31830604399720391</v>
      </c>
      <c r="Z125" s="14">
        <f t="shared" si="38"/>
        <v>8.7700722008081586E-2</v>
      </c>
      <c r="AA125" s="14">
        <f t="shared" si="39"/>
        <v>0.13593755167812521</v>
      </c>
      <c r="AB125" s="14">
        <f t="shared" si="40"/>
        <v>-1.7359862146582436E-3</v>
      </c>
      <c r="AC125" s="14">
        <f t="shared" si="41"/>
        <v>0.11453208431794985</v>
      </c>
      <c r="AD125" s="14">
        <f t="shared" si="42"/>
        <v>-7.7704805171999319E-3</v>
      </c>
      <c r="AE125" s="14">
        <f t="shared" si="43"/>
        <v>5.0398514289960776E-2</v>
      </c>
      <c r="AM125" s="14">
        <f t="shared" si="44"/>
        <v>2.3066061865678878E-2</v>
      </c>
      <c r="AN125" s="14">
        <f t="shared" si="45"/>
        <v>0.14842301313474066</v>
      </c>
      <c r="AO125" s="14">
        <f t="shared" si="46"/>
        <v>1.3576747188619615E-2</v>
      </c>
      <c r="AP125" s="14">
        <f t="shared" si="47"/>
        <v>0.1217657594618843</v>
      </c>
      <c r="AQ125" s="14">
        <f t="shared" si="48"/>
        <v>0.14807628060620978</v>
      </c>
      <c r="AR125" s="14">
        <f t="shared" si="49"/>
        <v>2.5296265119622539E-2</v>
      </c>
      <c r="AS125" s="14">
        <f t="shared" si="50"/>
        <v>-7.8243887997488229E-2</v>
      </c>
      <c r="AT125" s="14">
        <f t="shared" si="51"/>
        <v>0.31291011268665908</v>
      </c>
      <c r="AU125" s="14">
        <f t="shared" si="52"/>
        <v>7.1577229431323747E-2</v>
      </c>
      <c r="AV125" s="14">
        <f t="shared" si="53"/>
        <v>0.11388616346799076</v>
      </c>
      <c r="AW125" s="14">
        <f t="shared" si="54"/>
        <v>-1.4823774091482628E-2</v>
      </c>
      <c r="AX125" s="14">
        <f t="shared" si="55"/>
        <v>8.782323168113397E-2</v>
      </c>
      <c r="AY125" s="14">
        <f t="shared" si="56"/>
        <v>-1.904141200527984E-2</v>
      </c>
      <c r="AZ125" s="14">
        <f t="shared" si="57"/>
        <v>4.5784462293240333E-2</v>
      </c>
    </row>
    <row r="126" spans="2:52" x14ac:dyDescent="0.3">
      <c r="B126" s="13">
        <v>7.9888213482665074E-2</v>
      </c>
      <c r="C126" s="13">
        <v>1.1896135306167751E-2</v>
      </c>
      <c r="D126" s="13">
        <v>8.3642898920621776E-4</v>
      </c>
      <c r="E126" s="13">
        <v>-2.7773830389910867E-2</v>
      </c>
      <c r="F126" s="13">
        <v>7.3857522723034294E-2</v>
      </c>
      <c r="G126" s="13">
        <v>3.6031560850867478E-2</v>
      </c>
      <c r="H126" s="13">
        <v>1.9369496931549331E-2</v>
      </c>
      <c r="I126" s="13">
        <v>0.11050191515824499</v>
      </c>
      <c r="J126" s="13">
        <v>1.9991549431484287E-2</v>
      </c>
      <c r="K126" s="13">
        <v>-5.6894599026461219E-2</v>
      </c>
      <c r="L126" s="13">
        <v>2.6034148346331127E-3</v>
      </c>
      <c r="M126" s="13">
        <v>3.533628276184881E-2</v>
      </c>
      <c r="N126" s="13">
        <v>4.7817874350492735E-2</v>
      </c>
      <c r="O126" s="13">
        <v>-2.9074483411213291E-3</v>
      </c>
      <c r="R126" s="14">
        <f t="shared" si="30"/>
        <v>9.5865856179198086E-2</v>
      </c>
      <c r="S126" s="14">
        <f t="shared" si="31"/>
        <v>1.42753623674013E-2</v>
      </c>
      <c r="T126" s="14">
        <f t="shared" si="32"/>
        <v>1.0037147870474612E-3</v>
      </c>
      <c r="U126" s="14">
        <f t="shared" si="33"/>
        <v>-2.2219064311928695E-2</v>
      </c>
      <c r="V126" s="14">
        <f t="shared" si="34"/>
        <v>8.8629027267641144E-2</v>
      </c>
      <c r="W126" s="14">
        <f t="shared" si="35"/>
        <v>4.3237873021040971E-2</v>
      </c>
      <c r="X126" s="14">
        <f t="shared" si="36"/>
        <v>2.3243396317859197E-2</v>
      </c>
      <c r="Y126" s="14">
        <f t="shared" si="37"/>
        <v>0.132602298189894</v>
      </c>
      <c r="Z126" s="14">
        <f t="shared" si="38"/>
        <v>2.3989859317781144E-2</v>
      </c>
      <c r="AA126" s="14">
        <f t="shared" si="39"/>
        <v>-4.5515679221168975E-2</v>
      </c>
      <c r="AB126" s="14">
        <f t="shared" si="40"/>
        <v>3.124097801559735E-3</v>
      </c>
      <c r="AC126" s="14">
        <f t="shared" si="41"/>
        <v>4.2403539314218572E-2</v>
      </c>
      <c r="AD126" s="14">
        <f t="shared" si="42"/>
        <v>5.7381449220591282E-2</v>
      </c>
      <c r="AE126" s="14">
        <f t="shared" si="43"/>
        <v>-2.3259586728970635E-3</v>
      </c>
      <c r="AM126" s="14">
        <f t="shared" si="44"/>
        <v>8.8059739758666072E-2</v>
      </c>
      <c r="AN126" s="14">
        <f t="shared" si="45"/>
        <v>-6.521344152418708E-3</v>
      </c>
      <c r="AO126" s="14">
        <f t="shared" si="46"/>
        <v>-6.8742215525819782E-3</v>
      </c>
      <c r="AP126" s="14">
        <f t="shared" si="47"/>
        <v>-3.2053572351460106E-2</v>
      </c>
      <c r="AQ126" s="14">
        <f t="shared" si="48"/>
        <v>7.4806087803877652E-2</v>
      </c>
      <c r="AR126" s="14">
        <f t="shared" si="49"/>
        <v>3.4725268191403619E-2</v>
      </c>
      <c r="AS126" s="14">
        <f t="shared" si="50"/>
        <v>1.0430393323019599E-2</v>
      </c>
      <c r="AT126" s="14">
        <f t="shared" si="51"/>
        <v>0.12720636687934916</v>
      </c>
      <c r="AU126" s="14">
        <f t="shared" si="52"/>
        <v>7.8663667410233083E-3</v>
      </c>
      <c r="AV126" s="14">
        <f t="shared" si="53"/>
        <v>-6.7567067431303432E-2</v>
      </c>
      <c r="AW126" s="14">
        <f t="shared" si="54"/>
        <v>-9.9636900752646512E-3</v>
      </c>
      <c r="AX126" s="14">
        <f t="shared" si="55"/>
        <v>1.5694686677402692E-2</v>
      </c>
      <c r="AY126" s="14">
        <f t="shared" si="56"/>
        <v>4.6110517732511375E-2</v>
      </c>
      <c r="AZ126" s="14">
        <f t="shared" si="57"/>
        <v>-6.9400106696175055E-3</v>
      </c>
    </row>
    <row r="127" spans="2:52" x14ac:dyDescent="0.3">
      <c r="B127" s="13">
        <v>-1.8011630555094299E-3</v>
      </c>
      <c r="C127" s="13">
        <v>1.2201416272892873E-2</v>
      </c>
      <c r="D127" s="13">
        <v>1.9674362387498746E-2</v>
      </c>
      <c r="E127" s="13">
        <v>8.3956550192949182E-3</v>
      </c>
      <c r="F127" s="13">
        <v>-7.278851204990347E-2</v>
      </c>
      <c r="G127" s="13">
        <v>6.7971039608342694E-3</v>
      </c>
      <c r="H127" s="13">
        <v>5.2244253711716974E-2</v>
      </c>
      <c r="I127" s="13">
        <v>-1.4879381767123048E-2</v>
      </c>
      <c r="J127" s="13">
        <v>3.3443692449719301E-2</v>
      </c>
      <c r="K127" s="13">
        <v>-0.10538540087476453</v>
      </c>
      <c r="L127" s="13">
        <v>-3.2890940169758014E-2</v>
      </c>
      <c r="M127" s="13">
        <v>-0.12444901023780305</v>
      </c>
      <c r="N127" s="13">
        <v>-2.0510033598579721E-2</v>
      </c>
      <c r="O127" s="13">
        <v>2.4234602700458725E-3</v>
      </c>
      <c r="R127" s="14">
        <f t="shared" si="30"/>
        <v>-1.440930444407544E-3</v>
      </c>
      <c r="S127" s="14">
        <f t="shared" si="31"/>
        <v>1.4641699527471446E-2</v>
      </c>
      <c r="T127" s="14">
        <f t="shared" si="32"/>
        <v>2.3609234864998493E-2</v>
      </c>
      <c r="U127" s="14">
        <f t="shared" si="33"/>
        <v>1.0074786023153901E-2</v>
      </c>
      <c r="V127" s="14">
        <f t="shared" si="34"/>
        <v>-5.8230809639922776E-2</v>
      </c>
      <c r="W127" s="14">
        <f t="shared" si="35"/>
        <v>8.1565247530011233E-3</v>
      </c>
      <c r="X127" s="14">
        <f t="shared" si="36"/>
        <v>6.2693104454060372E-2</v>
      </c>
      <c r="Y127" s="14">
        <f t="shared" si="37"/>
        <v>-1.1903505413698438E-2</v>
      </c>
      <c r="Z127" s="14">
        <f t="shared" si="38"/>
        <v>4.0132430939663156E-2</v>
      </c>
      <c r="AA127" s="14">
        <f t="shared" si="39"/>
        <v>-8.4308320699811631E-2</v>
      </c>
      <c r="AB127" s="14">
        <f t="shared" si="40"/>
        <v>-2.6312752135806413E-2</v>
      </c>
      <c r="AC127" s="14">
        <f t="shared" si="41"/>
        <v>-9.9559208190242443E-2</v>
      </c>
      <c r="AD127" s="14">
        <f t="shared" si="42"/>
        <v>-1.6408026878863776E-2</v>
      </c>
      <c r="AE127" s="14">
        <f t="shared" si="43"/>
        <v>2.9081523240550469E-3</v>
      </c>
      <c r="AM127" s="14">
        <f t="shared" si="44"/>
        <v>-9.2470468649395576E-3</v>
      </c>
      <c r="AN127" s="14">
        <f t="shared" si="45"/>
        <v>-6.155006992348562E-3</v>
      </c>
      <c r="AO127" s="14">
        <f t="shared" si="46"/>
        <v>1.5731298525369052E-2</v>
      </c>
      <c r="AP127" s="14">
        <f t="shared" si="47"/>
        <v>2.402779836224913E-4</v>
      </c>
      <c r="AQ127" s="14">
        <f t="shared" si="48"/>
        <v>-7.2053749103686282E-2</v>
      </c>
      <c r="AR127" s="14">
        <f t="shared" si="49"/>
        <v>-3.5608007663623029E-4</v>
      </c>
      <c r="AS127" s="14">
        <f t="shared" si="50"/>
        <v>4.9880101459220776E-2</v>
      </c>
      <c r="AT127" s="14">
        <f t="shared" si="51"/>
        <v>-1.7299436724243264E-2</v>
      </c>
      <c r="AU127" s="14">
        <f t="shared" si="52"/>
        <v>2.4008938362905321E-2</v>
      </c>
      <c r="AV127" s="14">
        <f t="shared" si="53"/>
        <v>-0.10635970890994609</v>
      </c>
      <c r="AW127" s="14">
        <f t="shared" si="54"/>
        <v>-3.9400540012630797E-2</v>
      </c>
      <c r="AX127" s="14">
        <f t="shared" si="55"/>
        <v>-0.12626806082705833</v>
      </c>
      <c r="AY127" s="14">
        <f t="shared" si="56"/>
        <v>-2.767895836694368E-2</v>
      </c>
      <c r="AZ127" s="14">
        <f t="shared" si="57"/>
        <v>-1.7058996726653955E-3</v>
      </c>
    </row>
    <row r="128" spans="2:52" x14ac:dyDescent="0.3">
      <c r="B128" s="13">
        <v>3.6580287889078397E-2</v>
      </c>
      <c r="C128" s="13">
        <v>2.8516957606938967E-2</v>
      </c>
      <c r="D128" s="13">
        <v>1.3102768449370703E-2</v>
      </c>
      <c r="E128" s="13">
        <v>4.2999284525100746E-2</v>
      </c>
      <c r="F128" s="13">
        <v>5.1987539009079139E-2</v>
      </c>
      <c r="G128" s="13">
        <v>-1.493928584931113E-2</v>
      </c>
      <c r="H128" s="13">
        <v>-9.049644614663262E-3</v>
      </c>
      <c r="I128" s="13">
        <v>2.4953225674015705E-3</v>
      </c>
      <c r="J128" s="13">
        <v>7.5543262512306655E-2</v>
      </c>
      <c r="K128" s="13">
        <v>3.2706332409889662E-2</v>
      </c>
      <c r="L128" s="13">
        <v>-1.9901154317294799E-2</v>
      </c>
      <c r="M128" s="13">
        <v>5.4782346192206587E-2</v>
      </c>
      <c r="N128" s="13">
        <v>5.9171007601718402E-2</v>
      </c>
      <c r="O128" s="13">
        <v>3.47295665842429E-2</v>
      </c>
      <c r="R128" s="14">
        <f t="shared" si="30"/>
        <v>4.3896345466894075E-2</v>
      </c>
      <c r="S128" s="14">
        <f t="shared" si="31"/>
        <v>3.4220349128326756E-2</v>
      </c>
      <c r="T128" s="14">
        <f t="shared" si="32"/>
        <v>1.5723322139244843E-2</v>
      </c>
      <c r="U128" s="14">
        <f t="shared" si="33"/>
        <v>5.1599141430120891E-2</v>
      </c>
      <c r="V128" s="14">
        <f t="shared" si="34"/>
        <v>6.2385046810894962E-2</v>
      </c>
      <c r="W128" s="14">
        <f t="shared" si="35"/>
        <v>-1.1951428679448905E-2</v>
      </c>
      <c r="X128" s="14">
        <f t="shared" si="36"/>
        <v>-7.2397156917306102E-3</v>
      </c>
      <c r="Y128" s="14">
        <f t="shared" si="37"/>
        <v>2.9943870808818844E-3</v>
      </c>
      <c r="Z128" s="14">
        <f t="shared" si="38"/>
        <v>9.0651915014767978E-2</v>
      </c>
      <c r="AA128" s="14">
        <f t="shared" si="39"/>
        <v>3.9247598891867595E-2</v>
      </c>
      <c r="AB128" s="14">
        <f t="shared" si="40"/>
        <v>-1.592092345383584E-2</v>
      </c>
      <c r="AC128" s="14">
        <f t="shared" si="41"/>
        <v>6.5738815430647898E-2</v>
      </c>
      <c r="AD128" s="14">
        <f t="shared" si="42"/>
        <v>7.1005209122062082E-2</v>
      </c>
      <c r="AE128" s="14">
        <f t="shared" si="43"/>
        <v>4.1675479901091481E-2</v>
      </c>
      <c r="AM128" s="14">
        <f t="shared" si="44"/>
        <v>3.6090229046362061E-2</v>
      </c>
      <c r="AN128" s="14">
        <f t="shared" si="45"/>
        <v>1.3423642608506748E-2</v>
      </c>
      <c r="AO128" s="14">
        <f t="shared" si="46"/>
        <v>7.8453857996154033E-3</v>
      </c>
      <c r="AP128" s="14">
        <f t="shared" si="47"/>
        <v>4.176463339058948E-2</v>
      </c>
      <c r="AQ128" s="14">
        <f t="shared" si="48"/>
        <v>4.8562107347131463E-2</v>
      </c>
      <c r="AR128" s="14">
        <f t="shared" si="49"/>
        <v>-2.0464033509086259E-2</v>
      </c>
      <c r="AS128" s="14">
        <f t="shared" si="50"/>
        <v>-2.0052718686570208E-2</v>
      </c>
      <c r="AT128" s="14">
        <f t="shared" si="51"/>
        <v>-2.4015442296629404E-3</v>
      </c>
      <c r="AU128" s="14">
        <f t="shared" si="52"/>
        <v>7.4528422438010139E-2</v>
      </c>
      <c r="AV128" s="14">
        <f t="shared" si="53"/>
        <v>1.7196210681733139E-2</v>
      </c>
      <c r="AW128" s="14">
        <f t="shared" si="54"/>
        <v>-2.9008711330660228E-2</v>
      </c>
      <c r="AX128" s="14">
        <f t="shared" si="55"/>
        <v>3.9029962793832015E-2</v>
      </c>
      <c r="AY128" s="14">
        <f t="shared" si="56"/>
        <v>5.9734277633982175E-2</v>
      </c>
      <c r="AZ128" s="14">
        <f t="shared" si="57"/>
        <v>3.7061427904371037E-2</v>
      </c>
    </row>
    <row r="129" spans="2:52" x14ac:dyDescent="0.3">
      <c r="B129" s="13">
        <v>5.7917600671257921E-4</v>
      </c>
      <c r="C129" s="13">
        <v>0.14087085040244743</v>
      </c>
      <c r="D129" s="13">
        <v>2.3402646182357739E-2</v>
      </c>
      <c r="E129" s="13">
        <v>-6.0960165991040391E-3</v>
      </c>
      <c r="F129" s="13">
        <v>9.9804585107504656E-3</v>
      </c>
      <c r="G129" s="13">
        <v>-2.1618026166320158E-2</v>
      </c>
      <c r="H129" s="13">
        <v>1.3282588216356563E-2</v>
      </c>
      <c r="I129" s="13">
        <v>-5.3098497142485122E-2</v>
      </c>
      <c r="J129" s="13">
        <v>1.5887916650792883E-2</v>
      </c>
      <c r="K129" s="13">
        <v>0.13518585176828488</v>
      </c>
      <c r="L129" s="13">
        <v>-2.1704846515168866E-2</v>
      </c>
      <c r="M129" s="13">
        <v>-3.5074907130832791E-2</v>
      </c>
      <c r="N129" s="13">
        <v>-7.9229236547574813E-2</v>
      </c>
      <c r="O129" s="13">
        <v>-1.8086519604294946E-2</v>
      </c>
      <c r="R129" s="14">
        <f t="shared" si="30"/>
        <v>6.9501120805509501E-4</v>
      </c>
      <c r="S129" s="14">
        <f t="shared" si="31"/>
        <v>0.1690450204829369</v>
      </c>
      <c r="T129" s="14">
        <f t="shared" si="32"/>
        <v>2.8083175418829286E-2</v>
      </c>
      <c r="U129" s="14">
        <f t="shared" si="33"/>
        <v>-4.8768132792832318E-3</v>
      </c>
      <c r="V129" s="14">
        <f t="shared" si="34"/>
        <v>1.1976550212900559E-2</v>
      </c>
      <c r="W129" s="14">
        <f t="shared" si="35"/>
        <v>-1.7294420933056127E-2</v>
      </c>
      <c r="X129" s="14">
        <f t="shared" si="36"/>
        <v>1.5939105859627874E-2</v>
      </c>
      <c r="Y129" s="14">
        <f t="shared" si="37"/>
        <v>-4.2478797713988103E-2</v>
      </c>
      <c r="Z129" s="14">
        <f t="shared" si="38"/>
        <v>1.9065499980951459E-2</v>
      </c>
      <c r="AA129" s="14">
        <f t="shared" si="39"/>
        <v>0.16222302212194184</v>
      </c>
      <c r="AB129" s="14">
        <f t="shared" si="40"/>
        <v>-1.7363877212135094E-2</v>
      </c>
      <c r="AC129" s="14">
        <f t="shared" si="41"/>
        <v>-2.8059925704666235E-2</v>
      </c>
      <c r="AD129" s="14">
        <f t="shared" si="42"/>
        <v>-6.3383389238059848E-2</v>
      </c>
      <c r="AE129" s="14">
        <f t="shared" si="43"/>
        <v>-1.4469215683435958E-2</v>
      </c>
      <c r="AM129" s="14">
        <f t="shared" si="44"/>
        <v>-7.1111052124769175E-3</v>
      </c>
      <c r="AN129" s="14">
        <f t="shared" si="45"/>
        <v>0.14824831396311688</v>
      </c>
      <c r="AO129" s="14">
        <f t="shared" si="46"/>
        <v>2.0205239079199848E-2</v>
      </c>
      <c r="AP129" s="14">
        <f t="shared" si="47"/>
        <v>-1.4711321318814641E-2</v>
      </c>
      <c r="AQ129" s="14">
        <f t="shared" si="48"/>
        <v>-1.8463892508629402E-3</v>
      </c>
      <c r="AR129" s="14">
        <f t="shared" si="49"/>
        <v>-2.5807025762693482E-2</v>
      </c>
      <c r="AS129" s="14">
        <f t="shared" si="50"/>
        <v>3.1261028647882761E-3</v>
      </c>
      <c r="AT129" s="14">
        <f t="shared" si="51"/>
        <v>-4.7874729024532929E-2</v>
      </c>
      <c r="AU129" s="14">
        <f t="shared" si="52"/>
        <v>2.942007404193623E-3</v>
      </c>
      <c r="AV129" s="14">
        <f t="shared" si="53"/>
        <v>0.14017163391180737</v>
      </c>
      <c r="AW129" s="14">
        <f t="shared" si="54"/>
        <v>-3.0451665088959481E-2</v>
      </c>
      <c r="AX129" s="14">
        <f t="shared" si="55"/>
        <v>-5.4768778341482111E-2</v>
      </c>
      <c r="AY129" s="14">
        <f t="shared" si="56"/>
        <v>-7.4654320726139756E-2</v>
      </c>
      <c r="AZ129" s="14">
        <f t="shared" si="57"/>
        <v>-1.9083267680156401E-2</v>
      </c>
    </row>
    <row r="130" spans="2:52" x14ac:dyDescent="0.3">
      <c r="B130" s="13">
        <v>1.1877804923716925E-2</v>
      </c>
      <c r="C130" s="13">
        <v>2.9247804359933877E-2</v>
      </c>
      <c r="D130" s="13">
        <v>-3.5565508312157212E-2</v>
      </c>
      <c r="E130" s="13">
        <v>-1.433159296224149E-2</v>
      </c>
      <c r="F130" s="13">
        <v>-6.492802390707565E-3</v>
      </c>
      <c r="G130" s="13">
        <v>-2.4133985802135136E-2</v>
      </c>
      <c r="H130" s="13">
        <v>-2.4105711954927507E-2</v>
      </c>
      <c r="I130" s="13">
        <v>-1.3227706097551202E-2</v>
      </c>
      <c r="J130" s="13">
        <v>-0.11378288124856251</v>
      </c>
      <c r="K130" s="13">
        <v>-5.0618048755141316E-2</v>
      </c>
      <c r="L130" s="13">
        <v>4.6576702739809404E-3</v>
      </c>
      <c r="M130" s="13">
        <v>3.1391661714536251E-2</v>
      </c>
      <c r="N130" s="13">
        <v>1.1212451033678805E-2</v>
      </c>
      <c r="O130" s="13">
        <v>-2.6861285267858508E-2</v>
      </c>
      <c r="R130" s="14">
        <f t="shared" si="30"/>
        <v>1.4253365908460309E-2</v>
      </c>
      <c r="S130" s="14">
        <f t="shared" si="31"/>
        <v>3.5097365231920648E-2</v>
      </c>
      <c r="T130" s="14">
        <f t="shared" si="32"/>
        <v>-2.8452406649725773E-2</v>
      </c>
      <c r="U130" s="14">
        <f t="shared" si="33"/>
        <v>-1.1465274369793194E-2</v>
      </c>
      <c r="V130" s="14">
        <f t="shared" si="34"/>
        <v>-5.1942419125660527E-3</v>
      </c>
      <c r="W130" s="14">
        <f t="shared" si="35"/>
        <v>-1.930718864170811E-2</v>
      </c>
      <c r="X130" s="14">
        <f t="shared" si="36"/>
        <v>-1.9284569563942006E-2</v>
      </c>
      <c r="Y130" s="14">
        <f t="shared" si="37"/>
        <v>-1.0582164878040963E-2</v>
      </c>
      <c r="Z130" s="14">
        <f t="shared" si="38"/>
        <v>-9.1026304998850005E-2</v>
      </c>
      <c r="AA130" s="14">
        <f t="shared" si="39"/>
        <v>-4.0494439004113057E-2</v>
      </c>
      <c r="AB130" s="14">
        <f t="shared" si="40"/>
        <v>5.5892043287771283E-3</v>
      </c>
      <c r="AC130" s="14">
        <f t="shared" si="41"/>
        <v>3.76699940574435E-2</v>
      </c>
      <c r="AD130" s="14">
        <f t="shared" si="42"/>
        <v>1.3454941240414565E-2</v>
      </c>
      <c r="AE130" s="14">
        <f t="shared" si="43"/>
        <v>-2.1489028214286807E-2</v>
      </c>
      <c r="AM130" s="14">
        <f t="shared" si="44"/>
        <v>6.4472494879282962E-3</v>
      </c>
      <c r="AN130" s="14">
        <f t="shared" si="45"/>
        <v>1.430065871210064E-2</v>
      </c>
      <c r="AO130" s="14">
        <f t="shared" si="46"/>
        <v>-3.633034298935521E-2</v>
      </c>
      <c r="AP130" s="14">
        <f t="shared" si="47"/>
        <v>-2.1299782409324605E-2</v>
      </c>
      <c r="AQ130" s="14">
        <f t="shared" si="48"/>
        <v>-1.9017181376329552E-2</v>
      </c>
      <c r="AR130" s="14">
        <f t="shared" si="49"/>
        <v>-2.7819793471345465E-2</v>
      </c>
      <c r="AS130" s="14">
        <f t="shared" si="50"/>
        <v>-3.2097572558781602E-2</v>
      </c>
      <c r="AT130" s="14">
        <f t="shared" si="51"/>
        <v>-1.5978096188585787E-2</v>
      </c>
      <c r="AU130" s="14">
        <f t="shared" si="52"/>
        <v>-0.10714979757560784</v>
      </c>
      <c r="AV130" s="14">
        <f t="shared" si="53"/>
        <v>-6.2545827214247507E-2</v>
      </c>
      <c r="AW130" s="14">
        <f t="shared" si="54"/>
        <v>-7.4985835480472574E-3</v>
      </c>
      <c r="AX130" s="14">
        <f t="shared" si="55"/>
        <v>1.096114142062762E-2</v>
      </c>
      <c r="AY130" s="14">
        <f t="shared" si="56"/>
        <v>2.1840097523346588E-3</v>
      </c>
      <c r="AZ130" s="14">
        <f t="shared" si="57"/>
        <v>-2.6103080211007251E-2</v>
      </c>
    </row>
    <row r="131" spans="2:52" x14ac:dyDescent="0.3">
      <c r="B131" s="13">
        <v>2.3848588767987604E-2</v>
      </c>
      <c r="C131" s="13">
        <v>9.7769981527452005E-2</v>
      </c>
      <c r="D131" s="13">
        <v>2.0787894865149141E-2</v>
      </c>
      <c r="E131" s="13">
        <v>1.1298252533658121E-2</v>
      </c>
      <c r="F131" s="13">
        <v>-3.3749610165260458E-3</v>
      </c>
      <c r="G131" s="13">
        <v>4.3583989439038649E-2</v>
      </c>
      <c r="H131" s="13">
        <v>5.4462869148829529E-2</v>
      </c>
      <c r="I131" s="13">
        <v>3.7247036733696434E-2</v>
      </c>
      <c r="J131" s="13">
        <v>0.10707422479134097</v>
      </c>
      <c r="K131" s="13">
        <v>7.7642793791215067E-2</v>
      </c>
      <c r="L131" s="13">
        <v>7.0994171968199932E-2</v>
      </c>
      <c r="M131" s="13">
        <v>7.249227647622021E-2</v>
      </c>
      <c r="N131" s="13">
        <v>-8.7145975014097483E-4</v>
      </c>
      <c r="O131" s="13">
        <v>2.4159654701314995E-2</v>
      </c>
      <c r="R131" s="14">
        <f t="shared" si="30"/>
        <v>2.8618306521585125E-2</v>
      </c>
      <c r="S131" s="14">
        <f t="shared" si="31"/>
        <v>0.11732397783294241</v>
      </c>
      <c r="T131" s="14">
        <f t="shared" si="32"/>
        <v>2.494547383817897E-2</v>
      </c>
      <c r="U131" s="14">
        <f t="shared" si="33"/>
        <v>1.3557903040389745E-2</v>
      </c>
      <c r="V131" s="14">
        <f t="shared" si="34"/>
        <v>-2.6999688132208367E-3</v>
      </c>
      <c r="W131" s="14">
        <f t="shared" si="35"/>
        <v>5.2300787326846378E-2</v>
      </c>
      <c r="X131" s="14">
        <f t="shared" si="36"/>
        <v>6.5355442978595427E-2</v>
      </c>
      <c r="Y131" s="14">
        <f t="shared" si="37"/>
        <v>4.4696444080435722E-2</v>
      </c>
      <c r="Z131" s="14">
        <f t="shared" si="38"/>
        <v>0.12848906974960916</v>
      </c>
      <c r="AA131" s="14">
        <f t="shared" si="39"/>
        <v>9.3171352549458075E-2</v>
      </c>
      <c r="AB131" s="14">
        <f t="shared" si="40"/>
        <v>8.5193006361839921E-2</v>
      </c>
      <c r="AC131" s="14">
        <f t="shared" si="41"/>
        <v>8.6990731771464255E-2</v>
      </c>
      <c r="AD131" s="14">
        <f t="shared" si="42"/>
        <v>-6.9716780011277991E-4</v>
      </c>
      <c r="AE131" s="14">
        <f t="shared" si="43"/>
        <v>2.8991585641577992E-2</v>
      </c>
      <c r="AM131" s="14">
        <f t="shared" si="44"/>
        <v>2.0812190101053112E-2</v>
      </c>
      <c r="AN131" s="14">
        <f t="shared" si="45"/>
        <v>9.6527271313122401E-2</v>
      </c>
      <c r="AO131" s="14">
        <f t="shared" si="46"/>
        <v>1.7067537498549529E-2</v>
      </c>
      <c r="AP131" s="14">
        <f t="shared" si="47"/>
        <v>3.7233950008583351E-3</v>
      </c>
      <c r="AQ131" s="14">
        <f t="shared" si="48"/>
        <v>-1.6522908276984334E-2</v>
      </c>
      <c r="AR131" s="14">
        <f t="shared" si="49"/>
        <v>4.3788182497209026E-2</v>
      </c>
      <c r="AS131" s="14">
        <f t="shared" si="50"/>
        <v>5.254243998375583E-2</v>
      </c>
      <c r="AT131" s="14">
        <f t="shared" si="51"/>
        <v>3.9300512769890897E-2</v>
      </c>
      <c r="AU131" s="14">
        <f t="shared" si="52"/>
        <v>0.11236557717285132</v>
      </c>
      <c r="AV131" s="14">
        <f t="shared" si="53"/>
        <v>7.1119964339323619E-2</v>
      </c>
      <c r="AW131" s="14">
        <f t="shared" si="54"/>
        <v>7.210521848501554E-2</v>
      </c>
      <c r="AX131" s="14">
        <f t="shared" si="55"/>
        <v>6.0281879134648372E-2</v>
      </c>
      <c r="AY131" s="14">
        <f t="shared" si="56"/>
        <v>-1.1968099288192686E-2</v>
      </c>
      <c r="AZ131" s="14">
        <f t="shared" si="57"/>
        <v>2.4377533644857549E-2</v>
      </c>
    </row>
    <row r="132" spans="2:52" x14ac:dyDescent="0.3">
      <c r="B132" s="13">
        <v>7.6249731279899882E-2</v>
      </c>
      <c r="C132" s="13">
        <v>8.7011376989629699E-2</v>
      </c>
      <c r="D132" s="13">
        <v>4.3219024972915687E-2</v>
      </c>
      <c r="E132" s="13">
        <v>1.3267098512859041E-2</v>
      </c>
      <c r="F132" s="13">
        <v>2.9818019786327986E-3</v>
      </c>
      <c r="G132" s="13">
        <v>-3.4786424904015706E-3</v>
      </c>
      <c r="H132" s="13">
        <v>2.2465643160606848E-2</v>
      </c>
      <c r="I132" s="13">
        <v>0</v>
      </c>
      <c r="J132" s="13">
        <v>9.8943891510034743E-2</v>
      </c>
      <c r="K132" s="13">
        <v>1.3915608188344738E-3</v>
      </c>
      <c r="L132" s="13">
        <v>1.0762821839447391E-2</v>
      </c>
      <c r="M132" s="13">
        <v>1.1092263900373983E-2</v>
      </c>
      <c r="N132" s="13">
        <v>-5.0788672499190293E-2</v>
      </c>
      <c r="O132" s="13">
        <v>-8.4641639152631398E-2</v>
      </c>
      <c r="R132" s="14">
        <f t="shared" si="30"/>
        <v>9.1499677535879856E-2</v>
      </c>
      <c r="S132" s="14">
        <f t="shared" si="31"/>
        <v>0.10441365238755564</v>
      </c>
      <c r="T132" s="14">
        <f t="shared" si="32"/>
        <v>5.1862829967498823E-2</v>
      </c>
      <c r="U132" s="14">
        <f t="shared" si="33"/>
        <v>1.5920518215430848E-2</v>
      </c>
      <c r="V132" s="14">
        <f t="shared" si="34"/>
        <v>3.5781623743593579E-3</v>
      </c>
      <c r="W132" s="14">
        <f t="shared" si="35"/>
        <v>-2.7829139923212566E-3</v>
      </c>
      <c r="X132" s="14">
        <f t="shared" si="36"/>
        <v>2.6958771792728216E-2</v>
      </c>
      <c r="Y132" s="14">
        <f t="shared" si="37"/>
        <v>0</v>
      </c>
      <c r="Z132" s="14">
        <f t="shared" si="38"/>
        <v>0.11873266981204168</v>
      </c>
      <c r="AA132" s="14">
        <f t="shared" si="39"/>
        <v>1.6698729826013685E-3</v>
      </c>
      <c r="AB132" s="14">
        <f t="shared" si="40"/>
        <v>1.2915386207336869E-2</v>
      </c>
      <c r="AC132" s="14">
        <f t="shared" si="41"/>
        <v>1.3310716680448779E-2</v>
      </c>
      <c r="AD132" s="14">
        <f t="shared" si="42"/>
        <v>-4.0630937999352239E-2</v>
      </c>
      <c r="AE132" s="14">
        <f t="shared" si="43"/>
        <v>-6.7713311322105119E-2</v>
      </c>
      <c r="AM132" s="14">
        <f t="shared" si="44"/>
        <v>8.3693561115347842E-2</v>
      </c>
      <c r="AN132" s="14">
        <f t="shared" si="45"/>
        <v>8.3616945867735631E-2</v>
      </c>
      <c r="AO132" s="14">
        <f t="shared" si="46"/>
        <v>4.3984893627869386E-2</v>
      </c>
      <c r="AP132" s="14">
        <f t="shared" si="47"/>
        <v>6.0860101758994384E-3</v>
      </c>
      <c r="AQ132" s="14">
        <f t="shared" si="48"/>
        <v>-1.024477708940414E-2</v>
      </c>
      <c r="AR132" s="14">
        <f t="shared" si="49"/>
        <v>-1.129551882195861E-2</v>
      </c>
      <c r="AS132" s="14">
        <f t="shared" si="50"/>
        <v>1.4145768797888618E-2</v>
      </c>
      <c r="AT132" s="14">
        <f t="shared" si="51"/>
        <v>-5.3959313105448247E-3</v>
      </c>
      <c r="AU132" s="14">
        <f t="shared" si="52"/>
        <v>0.10260917723528384</v>
      </c>
      <c r="AV132" s="14">
        <f t="shared" si="53"/>
        <v>-2.0381515227533089E-2</v>
      </c>
      <c r="AW132" s="14">
        <f t="shared" si="54"/>
        <v>-1.7240166948751662E-4</v>
      </c>
      <c r="AX132" s="14">
        <f t="shared" si="55"/>
        <v>-1.33981359563671E-2</v>
      </c>
      <c r="AY132" s="14">
        <f t="shared" si="56"/>
        <v>-5.1901869487432147E-2</v>
      </c>
      <c r="AZ132" s="14">
        <f t="shared" si="57"/>
        <v>-7.2327363318825555E-2</v>
      </c>
    </row>
    <row r="133" spans="2:52" x14ac:dyDescent="0.3">
      <c r="B133" s="13">
        <v>-2.3811782695281197E-2</v>
      </c>
      <c r="C133" s="13">
        <v>-4.1096903399173275E-2</v>
      </c>
      <c r="D133" s="13">
        <v>1.6159930303008909E-2</v>
      </c>
      <c r="E133" s="13">
        <v>1.5936592262812597E-2</v>
      </c>
      <c r="F133" s="13">
        <v>2.7701067667849386E-2</v>
      </c>
      <c r="G133" s="13">
        <v>2.9083983739659525E-2</v>
      </c>
      <c r="H133" s="13">
        <v>-1.8780458679424426E-2</v>
      </c>
      <c r="I133" s="13">
        <v>-5.1447058812377064E-3</v>
      </c>
      <c r="J133" s="13">
        <v>-1.2531819487861102E-2</v>
      </c>
      <c r="K133" s="13">
        <v>-7.9299970619402457E-2</v>
      </c>
      <c r="L133" s="13">
        <v>2.1387332598165475E-3</v>
      </c>
      <c r="M133" s="13">
        <v>1.1390125249109352E-2</v>
      </c>
      <c r="N133" s="13">
        <v>-2.0200172142925839E-3</v>
      </c>
      <c r="O133" s="13">
        <v>1.9551300185831812E-2</v>
      </c>
      <c r="R133" s="14">
        <f t="shared" si="30"/>
        <v>-1.9049426156224958E-2</v>
      </c>
      <c r="S133" s="14">
        <f t="shared" si="31"/>
        <v>-3.2877522719338623E-2</v>
      </c>
      <c r="T133" s="14">
        <f t="shared" si="32"/>
        <v>1.9391916363610689E-2</v>
      </c>
      <c r="U133" s="14">
        <f t="shared" si="33"/>
        <v>1.9123910715375118E-2</v>
      </c>
      <c r="V133" s="14">
        <f t="shared" si="34"/>
        <v>3.3241281201419261E-2</v>
      </c>
      <c r="W133" s="14">
        <f t="shared" si="35"/>
        <v>3.4900780487591432E-2</v>
      </c>
      <c r="X133" s="14">
        <f t="shared" si="36"/>
        <v>-1.5024366943539542E-2</v>
      </c>
      <c r="Y133" s="14">
        <f t="shared" si="37"/>
        <v>-4.1157647049901653E-3</v>
      </c>
      <c r="Z133" s="14">
        <f t="shared" si="38"/>
        <v>-1.0025455590288883E-2</v>
      </c>
      <c r="AA133" s="14">
        <f t="shared" si="39"/>
        <v>-6.3439976495521966E-2</v>
      </c>
      <c r="AB133" s="14">
        <f t="shared" si="40"/>
        <v>2.5664799117798569E-3</v>
      </c>
      <c r="AC133" s="14">
        <f t="shared" si="41"/>
        <v>1.3668150298931222E-2</v>
      </c>
      <c r="AD133" s="14">
        <f t="shared" si="42"/>
        <v>-1.6160137714340671E-3</v>
      </c>
      <c r="AE133" s="14">
        <f t="shared" si="43"/>
        <v>2.3461560222998175E-2</v>
      </c>
      <c r="AM133" s="14">
        <f t="shared" si="44"/>
        <v>-2.6855542576756972E-2</v>
      </c>
      <c r="AN133" s="14">
        <f t="shared" si="45"/>
        <v>-5.3674229239158627E-2</v>
      </c>
      <c r="AO133" s="14">
        <f t="shared" si="46"/>
        <v>1.1513980023981249E-2</v>
      </c>
      <c r="AP133" s="14">
        <f t="shared" si="47"/>
        <v>9.2894026758437078E-3</v>
      </c>
      <c r="AQ133" s="14">
        <f t="shared" si="48"/>
        <v>1.9418341737655762E-2</v>
      </c>
      <c r="AR133" s="14">
        <f t="shared" si="49"/>
        <v>2.638817565795408E-2</v>
      </c>
      <c r="AS133" s="14">
        <f t="shared" si="50"/>
        <v>-2.7837369938379139E-2</v>
      </c>
      <c r="AT133" s="14">
        <f t="shared" si="51"/>
        <v>-9.51169601553499E-3</v>
      </c>
      <c r="AU133" s="14">
        <f t="shared" si="52"/>
        <v>-2.6148948167046718E-2</v>
      </c>
      <c r="AV133" s="14">
        <f t="shared" si="53"/>
        <v>-8.5491364705656422E-2</v>
      </c>
      <c r="AW133" s="14">
        <f t="shared" si="54"/>
        <v>-1.0521307965044529E-2</v>
      </c>
      <c r="AX133" s="14">
        <f t="shared" si="55"/>
        <v>-1.3040702337884657E-2</v>
      </c>
      <c r="AY133" s="14">
        <f t="shared" si="56"/>
        <v>-1.2886945259513973E-2</v>
      </c>
      <c r="AZ133" s="14">
        <f t="shared" si="57"/>
        <v>1.8847508226277732E-2</v>
      </c>
    </row>
    <row r="134" spans="2:52" x14ac:dyDescent="0.3">
      <c r="B134" s="13">
        <v>1.4972416214091323E-2</v>
      </c>
      <c r="C134" s="13">
        <v>-2.4230524536603817E-2</v>
      </c>
      <c r="D134" s="13">
        <v>-6.3118427964776692E-3</v>
      </c>
      <c r="E134" s="13">
        <v>1.3931343673828605E-2</v>
      </c>
      <c r="F134" s="13">
        <v>7.8119990202316927E-2</v>
      </c>
      <c r="G134" s="13">
        <v>2.1814481542495594E-2</v>
      </c>
      <c r="H134" s="13">
        <v>1.8899461436462012E-2</v>
      </c>
      <c r="I134" s="13">
        <v>6.8519946436755935E-2</v>
      </c>
      <c r="J134" s="13">
        <v>6.7031750559157065E-3</v>
      </c>
      <c r="K134" s="13">
        <v>-1.6202456702147042E-2</v>
      </c>
      <c r="L134" s="13">
        <v>3.4575492498813219E-2</v>
      </c>
      <c r="M134" s="13">
        <v>6.062462181643484E-2</v>
      </c>
      <c r="N134" s="13">
        <v>9.681306060819686E-2</v>
      </c>
      <c r="O134" s="13">
        <v>5.2511342820127944E-3</v>
      </c>
      <c r="R134" s="14">
        <f t="shared" si="30"/>
        <v>1.7966899456909588E-2</v>
      </c>
      <c r="S134" s="14">
        <f t="shared" si="31"/>
        <v>-1.9384419629283056E-2</v>
      </c>
      <c r="T134" s="14">
        <f t="shared" si="32"/>
        <v>-5.0494742371821359E-3</v>
      </c>
      <c r="U134" s="14">
        <f t="shared" si="33"/>
        <v>1.6717612408594325E-2</v>
      </c>
      <c r="V134" s="14">
        <f t="shared" si="34"/>
        <v>9.374398824278031E-2</v>
      </c>
      <c r="W134" s="14">
        <f t="shared" si="35"/>
        <v>2.617737785099471E-2</v>
      </c>
      <c r="X134" s="14">
        <f t="shared" si="36"/>
        <v>2.2679353723754413E-2</v>
      </c>
      <c r="Y134" s="14">
        <f t="shared" si="37"/>
        <v>8.2223935724107119E-2</v>
      </c>
      <c r="Z134" s="14">
        <f t="shared" si="38"/>
        <v>8.0438100670988475E-3</v>
      </c>
      <c r="AA134" s="14">
        <f t="shared" si="39"/>
        <v>-1.2961965361717634E-2</v>
      </c>
      <c r="AB134" s="14">
        <f t="shared" si="40"/>
        <v>4.1490590998575862E-2</v>
      </c>
      <c r="AC134" s="14">
        <f t="shared" si="41"/>
        <v>7.2749546179721805E-2</v>
      </c>
      <c r="AD134" s="14">
        <f t="shared" si="42"/>
        <v>0.11617567272983623</v>
      </c>
      <c r="AE134" s="14">
        <f t="shared" si="43"/>
        <v>6.3013611384153531E-3</v>
      </c>
      <c r="AM134" s="14">
        <f t="shared" si="44"/>
        <v>1.0160783036377574E-2</v>
      </c>
      <c r="AN134" s="14">
        <f t="shared" si="45"/>
        <v>-4.0181126149103061E-2</v>
      </c>
      <c r="AO134" s="14">
        <f t="shared" si="46"/>
        <v>-1.2927410576811574E-2</v>
      </c>
      <c r="AP134" s="14">
        <f t="shared" si="47"/>
        <v>6.8831043690629149E-3</v>
      </c>
      <c r="AQ134" s="14">
        <f t="shared" si="48"/>
        <v>7.9921048779016818E-2</v>
      </c>
      <c r="AR134" s="14">
        <f t="shared" si="49"/>
        <v>1.7664773021357355E-2</v>
      </c>
      <c r="AS134" s="14">
        <f t="shared" si="50"/>
        <v>9.8663507289148151E-3</v>
      </c>
      <c r="AT134" s="14">
        <f t="shared" si="51"/>
        <v>7.6828004413562301E-2</v>
      </c>
      <c r="AU134" s="14">
        <f t="shared" si="52"/>
        <v>-8.0796825096589881E-3</v>
      </c>
      <c r="AV134" s="14">
        <f t="shared" si="53"/>
        <v>-3.5013353571852091E-2</v>
      </c>
      <c r="AW134" s="14">
        <f t="shared" si="54"/>
        <v>2.8402803121751474E-2</v>
      </c>
      <c r="AX134" s="14">
        <f t="shared" si="55"/>
        <v>4.6040693542905922E-2</v>
      </c>
      <c r="AY134" s="14">
        <f t="shared" si="56"/>
        <v>0.10490474124175632</v>
      </c>
      <c r="AZ134" s="14">
        <f t="shared" si="57"/>
        <v>1.6873091416949107E-3</v>
      </c>
    </row>
    <row r="135" spans="2:52" x14ac:dyDescent="0.3">
      <c r="B135" s="13">
        <v>7.1982731585344503E-2</v>
      </c>
      <c r="C135" s="13">
        <v>1.8366799336123323E-2</v>
      </c>
      <c r="D135" s="13">
        <v>4.5080951205708E-2</v>
      </c>
      <c r="E135" s="13">
        <v>4.5346467765528829E-2</v>
      </c>
      <c r="F135" s="13">
        <v>0.23986172288133401</v>
      </c>
      <c r="G135" s="13">
        <v>3.4332679080505357E-2</v>
      </c>
      <c r="H135" s="13">
        <v>6.8389778235218912E-2</v>
      </c>
      <c r="I135" s="13">
        <v>-1.3943845200280171E-2</v>
      </c>
      <c r="J135" s="13">
        <v>1.6794939775492117E-2</v>
      </c>
      <c r="K135" s="13">
        <v>6.5035774520683506E-3</v>
      </c>
      <c r="L135" s="13">
        <v>-2.2541652935089463E-2</v>
      </c>
      <c r="M135" s="13">
        <v>7.2329842672084546E-2</v>
      </c>
      <c r="N135" s="13">
        <v>3.524666140486947E-2</v>
      </c>
      <c r="O135" s="13">
        <v>-1.5836857171345101E-2</v>
      </c>
      <c r="R135" s="14">
        <f t="shared" si="30"/>
        <v>8.6379277902413398E-2</v>
      </c>
      <c r="S135" s="14">
        <f t="shared" si="31"/>
        <v>2.2040159203347988E-2</v>
      </c>
      <c r="T135" s="14">
        <f t="shared" si="32"/>
        <v>5.40971414468496E-2</v>
      </c>
      <c r="U135" s="14">
        <f t="shared" si="33"/>
        <v>5.4415761318634591E-2</v>
      </c>
      <c r="V135" s="14">
        <f t="shared" si="34"/>
        <v>0.28783406745760082</v>
      </c>
      <c r="W135" s="14">
        <f t="shared" si="35"/>
        <v>4.1199214896606426E-2</v>
      </c>
      <c r="X135" s="14">
        <f t="shared" si="36"/>
        <v>8.2067733882262697E-2</v>
      </c>
      <c r="Y135" s="14">
        <f t="shared" si="37"/>
        <v>-1.1155076160224138E-2</v>
      </c>
      <c r="Z135" s="14">
        <f t="shared" si="38"/>
        <v>2.0153927730590538E-2</v>
      </c>
      <c r="AA135" s="14">
        <f t="shared" si="39"/>
        <v>7.8042929424820204E-3</v>
      </c>
      <c r="AB135" s="14">
        <f t="shared" si="40"/>
        <v>-1.8033322348071572E-2</v>
      </c>
      <c r="AC135" s="14">
        <f t="shared" si="41"/>
        <v>8.6795811206501455E-2</v>
      </c>
      <c r="AD135" s="14">
        <f t="shared" si="42"/>
        <v>4.2295993685843365E-2</v>
      </c>
      <c r="AE135" s="14">
        <f t="shared" si="43"/>
        <v>-1.2669485737076082E-2</v>
      </c>
      <c r="AM135" s="14">
        <f t="shared" si="44"/>
        <v>7.8573161481881384E-2</v>
      </c>
      <c r="AN135" s="14">
        <f t="shared" si="45"/>
        <v>1.2434526835279798E-3</v>
      </c>
      <c r="AO135" s="14">
        <f t="shared" si="46"/>
        <v>4.6219205107220163E-2</v>
      </c>
      <c r="AP135" s="14">
        <f t="shared" si="47"/>
        <v>4.4581253279103179E-2</v>
      </c>
      <c r="AQ135" s="14">
        <f t="shared" si="48"/>
        <v>0.27401112799383731</v>
      </c>
      <c r="AR135" s="14">
        <f t="shared" si="49"/>
        <v>3.2686610066969074E-2</v>
      </c>
      <c r="AS135" s="14">
        <f t="shared" si="50"/>
        <v>6.9254730887423094E-2</v>
      </c>
      <c r="AT135" s="14">
        <f t="shared" si="51"/>
        <v>-1.6551007470768962E-2</v>
      </c>
      <c r="AU135" s="14">
        <f t="shared" si="52"/>
        <v>4.0304351538327024E-3</v>
      </c>
      <c r="AV135" s="14">
        <f t="shared" si="53"/>
        <v>-1.4247095267652436E-2</v>
      </c>
      <c r="AW135" s="14">
        <f t="shared" si="54"/>
        <v>-3.1121110224895956E-2</v>
      </c>
      <c r="AX135" s="14">
        <f t="shared" si="55"/>
        <v>6.0086958569685572E-2</v>
      </c>
      <c r="AY135" s="14">
        <f t="shared" si="56"/>
        <v>3.1025062197763457E-2</v>
      </c>
      <c r="AZ135" s="14">
        <f t="shared" si="57"/>
        <v>-1.7283537733796525E-2</v>
      </c>
    </row>
    <row r="136" spans="2:52" x14ac:dyDescent="0.3">
      <c r="B136" s="13">
        <v>1.8386089635070942E-2</v>
      </c>
      <c r="C136" s="13">
        <v>2.6739351352421142E-2</v>
      </c>
      <c r="D136" s="13">
        <v>-3.0422165678616418E-2</v>
      </c>
      <c r="E136" s="13">
        <v>-2.944285933044483E-2</v>
      </c>
      <c r="F136" s="13">
        <v>-1.3166773508642359E-2</v>
      </c>
      <c r="G136" s="13">
        <v>-2.793661869302265E-2</v>
      </c>
      <c r="H136" s="13">
        <v>-7.9056918233288337E-2</v>
      </c>
      <c r="I136" s="13">
        <v>-1.228516679457769E-2</v>
      </c>
      <c r="J136" s="13">
        <v>-4.8261664966555456E-2</v>
      </c>
      <c r="K136" s="13">
        <v>-2.5629657345232912E-2</v>
      </c>
      <c r="L136" s="13">
        <v>1.9095987614353622E-2</v>
      </c>
      <c r="M136" s="13">
        <v>3.0382083688122972E-2</v>
      </c>
      <c r="N136" s="13">
        <v>-1.2317821871349889E-2</v>
      </c>
      <c r="O136" s="13">
        <v>-1.1740466347258683E-2</v>
      </c>
      <c r="R136" s="14">
        <f t="shared" ref="R136:R199" si="58">IF(B136&gt;0,B136*1.2,B136*0.8)</f>
        <v>2.2063307562085129E-2</v>
      </c>
      <c r="S136" s="14">
        <f t="shared" ref="S136:S199" si="59">IF(C136&gt;0,C136*1.2,C136*0.8)</f>
        <v>3.2087221622905372E-2</v>
      </c>
      <c r="T136" s="14">
        <f t="shared" ref="T136:T199" si="60">IF(D136&gt;0,D136*1.2,D136*0.8)</f>
        <v>-2.4337732542893134E-2</v>
      </c>
      <c r="U136" s="14">
        <f t="shared" ref="U136:U199" si="61">IF(E136&gt;0,E136*1.2,E136*0.8)</f>
        <v>-2.3554287464355866E-2</v>
      </c>
      <c r="V136" s="14">
        <f t="shared" ref="V136:V199" si="62">IF(F136&gt;0,F136*1.2,F136*0.8)</f>
        <v>-1.0533418806913887E-2</v>
      </c>
      <c r="W136" s="14">
        <f t="shared" ref="W136:W199" si="63">IF(G136&gt;0,G136*1.2,G136*0.8)</f>
        <v>-2.234929495441812E-2</v>
      </c>
      <c r="X136" s="14">
        <f t="shared" ref="X136:X199" si="64">IF(H136&gt;0,H136*1.2,H136*0.8)</f>
        <v>-6.3245534586630667E-2</v>
      </c>
      <c r="Y136" s="14">
        <f t="shared" ref="Y136:Y199" si="65">IF(I136&gt;0,I136*1.2,I136*0.8)</f>
        <v>-9.8281334356621532E-3</v>
      </c>
      <c r="Z136" s="14">
        <f t="shared" ref="Z136:Z199" si="66">IF(J136&gt;0,J136*1.2,J136*0.8)</f>
        <v>-3.8609331973244371E-2</v>
      </c>
      <c r="AA136" s="14">
        <f t="shared" ref="AA136:AA199" si="67">IF(K136&gt;0,K136*1.2,K136*0.8)</f>
        <v>-2.0503725876186332E-2</v>
      </c>
      <c r="AB136" s="14">
        <f t="shared" ref="AB136:AB199" si="68">IF(L136&gt;0,L136*1.2,L136*0.8)</f>
        <v>2.2915185137224344E-2</v>
      </c>
      <c r="AC136" s="14">
        <f t="shared" ref="AC136:AC199" si="69">IF(M136&gt;0,M136*1.2,M136*0.8)</f>
        <v>3.6458500425747567E-2</v>
      </c>
      <c r="AD136" s="14">
        <f t="shared" ref="AD136:AD199" si="70">IF(N136&gt;0,N136*1.2,N136*0.8)</f>
        <v>-9.8542574970799119E-3</v>
      </c>
      <c r="AE136" s="14">
        <f t="shared" ref="AE136:AE199" si="71">IF(O136&gt;0,O136*1.2,O136*0.8)</f>
        <v>-9.3923730778069474E-3</v>
      </c>
      <c r="AM136" s="14">
        <f t="shared" ref="AM136:AM199" si="72">R136-R$204</f>
        <v>1.4257191141553115E-2</v>
      </c>
      <c r="AN136" s="14">
        <f t="shared" ref="AN136:AN199" si="73">S136-S$204</f>
        <v>1.1290515103085364E-2</v>
      </c>
      <c r="AO136" s="14">
        <f t="shared" ref="AO136:AO199" si="74">T136-T$204</f>
        <v>-3.2215668882522572E-2</v>
      </c>
      <c r="AP136" s="14">
        <f t="shared" ref="AP136:AP199" si="75">U136-U$204</f>
        <v>-3.3388795503887278E-2</v>
      </c>
      <c r="AQ136" s="14">
        <f t="shared" ref="AQ136:AQ199" si="76">V136-V$204</f>
        <v>-2.4356358270677385E-2</v>
      </c>
      <c r="AR136" s="14">
        <f t="shared" ref="AR136:AR199" si="77">W136-W$204</f>
        <v>-3.0861899784055472E-2</v>
      </c>
      <c r="AS136" s="14">
        <f t="shared" ref="AS136:AS199" si="78">X136-X$204</f>
        <v>-7.605853758147027E-2</v>
      </c>
      <c r="AT136" s="14">
        <f t="shared" ref="AT136:AT199" si="79">Y136-Y$204</f>
        <v>-1.5224064746206977E-2</v>
      </c>
      <c r="AU136" s="14">
        <f t="shared" ref="AU136:AU199" si="80">Z136-Z$204</f>
        <v>-5.473282455000221E-2</v>
      </c>
      <c r="AV136" s="14">
        <f t="shared" ref="AV136:AV199" si="81">AA136-AA$204</f>
        <v>-4.2555114086320789E-2</v>
      </c>
      <c r="AW136" s="14">
        <f t="shared" ref="AW136:AW199" si="82">AB136-AB$204</f>
        <v>9.8273972603999584E-3</v>
      </c>
      <c r="AX136" s="14">
        <f t="shared" ref="AX136:AX199" si="83">AC136-AC$204</f>
        <v>9.7496477889316875E-3</v>
      </c>
      <c r="AY136" s="14">
        <f t="shared" ref="AY136:AY199" si="84">AD136-AD$204</f>
        <v>-2.1125188985159818E-2</v>
      </c>
      <c r="AZ136" s="14">
        <f t="shared" ref="AZ136:AZ199" si="85">AE136-AE$204</f>
        <v>-1.4006425074527391E-2</v>
      </c>
    </row>
    <row r="137" spans="2:52" x14ac:dyDescent="0.3">
      <c r="B137" s="13">
        <v>-2.7395359492932557E-2</v>
      </c>
      <c r="C137" s="13">
        <v>-9.1579912854418827E-2</v>
      </c>
      <c r="D137" s="13">
        <v>-3.6920637393442597E-2</v>
      </c>
      <c r="E137" s="13">
        <v>-4.0862520548102028E-2</v>
      </c>
      <c r="F137" s="13">
        <v>-3.705571365572273E-2</v>
      </c>
      <c r="G137" s="13">
        <v>-6.018446470215677E-2</v>
      </c>
      <c r="H137" s="13">
        <v>-4.5269398391094742E-2</v>
      </c>
      <c r="I137" s="13">
        <v>-0.11654770504839063</v>
      </c>
      <c r="J137" s="13">
        <v>-0.19688360406589453</v>
      </c>
      <c r="K137" s="13">
        <v>0.16755849829302888</v>
      </c>
      <c r="L137" s="13">
        <v>-7.3311764184613062E-2</v>
      </c>
      <c r="M137" s="13">
        <v>1.8005782127930157E-2</v>
      </c>
      <c r="N137" s="13">
        <v>1.9860182909306648E-2</v>
      </c>
      <c r="O137" s="13">
        <v>2.2156337856140084E-2</v>
      </c>
      <c r="R137" s="14">
        <f t="shared" si="58"/>
        <v>-2.1916287594346048E-2</v>
      </c>
      <c r="S137" s="14">
        <f t="shared" si="59"/>
        <v>-7.3263930283535061E-2</v>
      </c>
      <c r="T137" s="14">
        <f t="shared" si="60"/>
        <v>-2.953650991475408E-2</v>
      </c>
      <c r="U137" s="14">
        <f t="shared" si="61"/>
        <v>-3.2690016438481621E-2</v>
      </c>
      <c r="V137" s="14">
        <f t="shared" si="62"/>
        <v>-2.9644570924578187E-2</v>
      </c>
      <c r="W137" s="14">
        <f t="shared" si="63"/>
        <v>-4.8147571761725419E-2</v>
      </c>
      <c r="X137" s="14">
        <f t="shared" si="64"/>
        <v>-3.6215518712875795E-2</v>
      </c>
      <c r="Y137" s="14">
        <f t="shared" si="65"/>
        <v>-9.3238164038712504E-2</v>
      </c>
      <c r="Z137" s="14">
        <f t="shared" si="66"/>
        <v>-0.15750688325271564</v>
      </c>
      <c r="AA137" s="14">
        <f t="shared" si="67"/>
        <v>0.20107019795163464</v>
      </c>
      <c r="AB137" s="14">
        <f t="shared" si="68"/>
        <v>-5.8649411347690451E-2</v>
      </c>
      <c r="AC137" s="14">
        <f t="shared" si="69"/>
        <v>2.1606938553516187E-2</v>
      </c>
      <c r="AD137" s="14">
        <f t="shared" si="70"/>
        <v>2.3832219491167976E-2</v>
      </c>
      <c r="AE137" s="14">
        <f t="shared" si="71"/>
        <v>2.65876054273681E-2</v>
      </c>
      <c r="AM137" s="14">
        <f t="shared" si="72"/>
        <v>-2.9722404014878061E-2</v>
      </c>
      <c r="AN137" s="14">
        <f t="shared" si="73"/>
        <v>-9.4060636803355066E-2</v>
      </c>
      <c r="AO137" s="14">
        <f t="shared" si="74"/>
        <v>-3.7414446254383518E-2</v>
      </c>
      <c r="AP137" s="14">
        <f t="shared" si="75"/>
        <v>-4.2524524478013033E-2</v>
      </c>
      <c r="AQ137" s="14">
        <f t="shared" si="76"/>
        <v>-4.3467510388341686E-2</v>
      </c>
      <c r="AR137" s="14">
        <f t="shared" si="77"/>
        <v>-5.6660176591362771E-2</v>
      </c>
      <c r="AS137" s="14">
        <f t="shared" si="78"/>
        <v>-4.9028521707715392E-2</v>
      </c>
      <c r="AT137" s="14">
        <f t="shared" si="79"/>
        <v>-9.8634095349257322E-2</v>
      </c>
      <c r="AU137" s="14">
        <f t="shared" si="80"/>
        <v>-0.17363037582947347</v>
      </c>
      <c r="AV137" s="14">
        <f t="shared" si="81"/>
        <v>0.1790188097415002</v>
      </c>
      <c r="AW137" s="14">
        <f t="shared" si="82"/>
        <v>-7.1737199224514839E-2</v>
      </c>
      <c r="AX137" s="14">
        <f t="shared" si="83"/>
        <v>-5.1019140832996926E-3</v>
      </c>
      <c r="AY137" s="14">
        <f t="shared" si="84"/>
        <v>1.256128800308807E-2</v>
      </c>
      <c r="AZ137" s="14">
        <f t="shared" si="85"/>
        <v>2.1973553430647656E-2</v>
      </c>
    </row>
    <row r="138" spans="2:52" x14ac:dyDescent="0.3">
      <c r="B138" s="13">
        <v>-2.8717463965036286E-2</v>
      </c>
      <c r="C138" s="13">
        <v>-4.2172576854733891E-2</v>
      </c>
      <c r="D138" s="13">
        <v>-2.7460618339327472E-2</v>
      </c>
      <c r="E138" s="13">
        <v>-6.1877798924799811E-2</v>
      </c>
      <c r="F138" s="13">
        <v>-8.458198010695557E-2</v>
      </c>
      <c r="G138" s="13">
        <v>-3.4461101303110229E-3</v>
      </c>
      <c r="H138" s="13">
        <v>-2.3534492388506422E-2</v>
      </c>
      <c r="I138" s="13">
        <v>-7.7211072391337704E-2</v>
      </c>
      <c r="J138" s="13">
        <v>-0.1743783712174326</v>
      </c>
      <c r="K138" s="13">
        <v>-5.9371963995249251E-2</v>
      </c>
      <c r="L138" s="13">
        <v>-4.4195180912313801E-2</v>
      </c>
      <c r="M138" s="13">
        <v>-5.0225763778723613E-2</v>
      </c>
      <c r="N138" s="13">
        <v>-5.7751056620703047E-2</v>
      </c>
      <c r="O138" s="13">
        <v>2.0511815305666658E-2</v>
      </c>
      <c r="R138" s="14">
        <f t="shared" si="58"/>
        <v>-2.2973971172029029E-2</v>
      </c>
      <c r="S138" s="14">
        <f t="shared" si="59"/>
        <v>-3.3738061483787114E-2</v>
      </c>
      <c r="T138" s="14">
        <f t="shared" si="60"/>
        <v>-2.1968494671461978E-2</v>
      </c>
      <c r="U138" s="14">
        <f t="shared" si="61"/>
        <v>-4.9502239139839851E-2</v>
      </c>
      <c r="V138" s="14">
        <f t="shared" si="62"/>
        <v>-6.7665584085564459E-2</v>
      </c>
      <c r="W138" s="14">
        <f t="shared" si="63"/>
        <v>-2.7568881042488187E-3</v>
      </c>
      <c r="X138" s="14">
        <f t="shared" si="64"/>
        <v>-1.882759391080514E-2</v>
      </c>
      <c r="Y138" s="14">
        <f t="shared" si="65"/>
        <v>-6.1768857913070165E-2</v>
      </c>
      <c r="Z138" s="14">
        <f t="shared" si="66"/>
        <v>-0.1395026969739461</v>
      </c>
      <c r="AA138" s="14">
        <f t="shared" si="67"/>
        <v>-4.7497571196199406E-2</v>
      </c>
      <c r="AB138" s="14">
        <f t="shared" si="68"/>
        <v>-3.535614472985104E-2</v>
      </c>
      <c r="AC138" s="14">
        <f t="shared" si="69"/>
        <v>-4.0180611022978895E-2</v>
      </c>
      <c r="AD138" s="14">
        <f t="shared" si="70"/>
        <v>-4.6200845296562439E-2</v>
      </c>
      <c r="AE138" s="14">
        <f t="shared" si="71"/>
        <v>2.461417836679999E-2</v>
      </c>
      <c r="AM138" s="14">
        <f t="shared" si="72"/>
        <v>-3.0780087592561043E-2</v>
      </c>
      <c r="AN138" s="14">
        <f t="shared" si="73"/>
        <v>-5.4534768003607126E-2</v>
      </c>
      <c r="AO138" s="14">
        <f t="shared" si="74"/>
        <v>-2.9846431011091419E-2</v>
      </c>
      <c r="AP138" s="14">
        <f t="shared" si="75"/>
        <v>-5.9336747179371263E-2</v>
      </c>
      <c r="AQ138" s="14">
        <f t="shared" si="76"/>
        <v>-8.1488523549327951E-2</v>
      </c>
      <c r="AR138" s="14">
        <f t="shared" si="77"/>
        <v>-1.1269492933886172E-2</v>
      </c>
      <c r="AS138" s="14">
        <f t="shared" si="78"/>
        <v>-3.164059690564474E-2</v>
      </c>
      <c r="AT138" s="14">
        <f t="shared" si="79"/>
        <v>-6.716478922361499E-2</v>
      </c>
      <c r="AU138" s="14">
        <f t="shared" si="80"/>
        <v>-0.15562618955070393</v>
      </c>
      <c r="AV138" s="14">
        <f t="shared" si="81"/>
        <v>-6.9548959406333863E-2</v>
      </c>
      <c r="AW138" s="14">
        <f t="shared" si="82"/>
        <v>-4.8443932606675427E-2</v>
      </c>
      <c r="AX138" s="14">
        <f t="shared" si="83"/>
        <v>-6.6889463659794771E-2</v>
      </c>
      <c r="AY138" s="14">
        <f t="shared" si="84"/>
        <v>-5.7471776784642346E-2</v>
      </c>
      <c r="AZ138" s="14">
        <f t="shared" si="85"/>
        <v>2.0000126370079547E-2</v>
      </c>
    </row>
    <row r="139" spans="2:52" x14ac:dyDescent="0.3">
      <c r="B139" s="13">
        <v>8.6794204358200365E-3</v>
      </c>
      <c r="C139" s="13">
        <v>-5.256963063780689E-2</v>
      </c>
      <c r="D139" s="13">
        <v>-4.0256827131922419E-2</v>
      </c>
      <c r="E139" s="13">
        <v>-2.0380034626943772E-3</v>
      </c>
      <c r="F139" s="13">
        <v>-5.6767760614633483E-2</v>
      </c>
      <c r="G139" s="13">
        <v>-8.3381608939051013E-2</v>
      </c>
      <c r="H139" s="13">
        <v>4.7060599967013991E-2</v>
      </c>
      <c r="I139" s="13">
        <v>-0.35357184370111666</v>
      </c>
      <c r="J139" s="13">
        <v>-0.16181190096221826</v>
      </c>
      <c r="K139" s="13">
        <v>-0.1724988020979133</v>
      </c>
      <c r="L139" s="13">
        <v>-8.7745695095324108E-2</v>
      </c>
      <c r="M139" s="13">
        <v>-9.4060041758655913E-2</v>
      </c>
      <c r="N139" s="13">
        <v>-0.10528523996054961</v>
      </c>
      <c r="O139" s="13">
        <v>-2.6987638890902239E-2</v>
      </c>
      <c r="R139" s="14">
        <f t="shared" si="58"/>
        <v>1.0415304522984043E-2</v>
      </c>
      <c r="S139" s="14">
        <f t="shared" si="59"/>
        <v>-4.2055704510245512E-2</v>
      </c>
      <c r="T139" s="14">
        <f t="shared" si="60"/>
        <v>-3.2205461705537938E-2</v>
      </c>
      <c r="U139" s="14">
        <f t="shared" si="61"/>
        <v>-1.6304027701555019E-3</v>
      </c>
      <c r="V139" s="14">
        <f t="shared" si="62"/>
        <v>-4.5414208491706791E-2</v>
      </c>
      <c r="W139" s="14">
        <f t="shared" si="63"/>
        <v>-6.6705287151240814E-2</v>
      </c>
      <c r="X139" s="14">
        <f t="shared" si="64"/>
        <v>5.6472719960416785E-2</v>
      </c>
      <c r="Y139" s="14">
        <f t="shared" si="65"/>
        <v>-0.28285747496089336</v>
      </c>
      <c r="Z139" s="14">
        <f t="shared" si="66"/>
        <v>-0.12944952076977462</v>
      </c>
      <c r="AA139" s="14">
        <f t="shared" si="67"/>
        <v>-0.13799904167833063</v>
      </c>
      <c r="AB139" s="14">
        <f t="shared" si="68"/>
        <v>-7.0196556076259284E-2</v>
      </c>
      <c r="AC139" s="14">
        <f t="shared" si="69"/>
        <v>-7.5248033406924736E-2</v>
      </c>
      <c r="AD139" s="14">
        <f t="shared" si="70"/>
        <v>-8.4228191968439697E-2</v>
      </c>
      <c r="AE139" s="14">
        <f t="shared" si="71"/>
        <v>-2.1590111112721792E-2</v>
      </c>
      <c r="AM139" s="14">
        <f t="shared" si="72"/>
        <v>2.6091881024520305E-3</v>
      </c>
      <c r="AN139" s="14">
        <f t="shared" si="73"/>
        <v>-6.2852411030065516E-2</v>
      </c>
      <c r="AO139" s="14">
        <f t="shared" si="74"/>
        <v>-4.0083398045167376E-2</v>
      </c>
      <c r="AP139" s="14">
        <f t="shared" si="75"/>
        <v>-1.1464910809686911E-2</v>
      </c>
      <c r="AQ139" s="14">
        <f t="shared" si="76"/>
        <v>-5.923714795547029E-2</v>
      </c>
      <c r="AR139" s="14">
        <f t="shared" si="77"/>
        <v>-7.5217891980878165E-2</v>
      </c>
      <c r="AS139" s="14">
        <f t="shared" si="78"/>
        <v>4.3659716965577189E-2</v>
      </c>
      <c r="AT139" s="14">
        <f t="shared" si="79"/>
        <v>-0.2882534062714382</v>
      </c>
      <c r="AU139" s="14">
        <f t="shared" si="80"/>
        <v>-0.14557301334653244</v>
      </c>
      <c r="AV139" s="14">
        <f t="shared" si="81"/>
        <v>-0.16005042988846507</v>
      </c>
      <c r="AW139" s="14">
        <f t="shared" si="82"/>
        <v>-8.3284343953083664E-2</v>
      </c>
      <c r="AX139" s="14">
        <f t="shared" si="83"/>
        <v>-0.10195688604374062</v>
      </c>
      <c r="AY139" s="14">
        <f t="shared" si="84"/>
        <v>-9.5499123456519605E-2</v>
      </c>
      <c r="AZ139" s="14">
        <f t="shared" si="85"/>
        <v>-2.6204163109442236E-2</v>
      </c>
    </row>
    <row r="140" spans="2:52" x14ac:dyDescent="0.3">
      <c r="B140" s="13">
        <v>-1.6602078182525515E-2</v>
      </c>
      <c r="C140" s="13">
        <v>-2.377246180709067E-2</v>
      </c>
      <c r="D140" s="13">
        <v>-6.065014724071679E-3</v>
      </c>
      <c r="E140" s="13">
        <v>-1.8103603436268229E-2</v>
      </c>
      <c r="F140" s="13">
        <v>-3.7632914806850909E-2</v>
      </c>
      <c r="G140" s="13">
        <v>-5.7340976609045607E-3</v>
      </c>
      <c r="H140" s="13">
        <v>5.8928878256075894E-2</v>
      </c>
      <c r="I140" s="13">
        <v>-3.3680532777665806E-2</v>
      </c>
      <c r="J140" s="13">
        <v>0.10039156133463924</v>
      </c>
      <c r="K140" s="13">
        <v>-4.0681376350321832E-2</v>
      </c>
      <c r="L140" s="13">
        <v>0.15004957843147887</v>
      </c>
      <c r="M140" s="13">
        <v>0.19310929248793407</v>
      </c>
      <c r="N140" s="13">
        <v>3.6219775827201463E-2</v>
      </c>
      <c r="O140" s="13">
        <v>-3.6741313768967887E-2</v>
      </c>
      <c r="R140" s="14">
        <f t="shared" si="58"/>
        <v>-1.3281662546020413E-2</v>
      </c>
      <c r="S140" s="14">
        <f t="shared" si="59"/>
        <v>-1.9017969445672536E-2</v>
      </c>
      <c r="T140" s="14">
        <f t="shared" si="60"/>
        <v>-4.8520117792573434E-3</v>
      </c>
      <c r="U140" s="14">
        <f t="shared" si="61"/>
        <v>-1.4482882749014584E-2</v>
      </c>
      <c r="V140" s="14">
        <f t="shared" si="62"/>
        <v>-3.0106331845480727E-2</v>
      </c>
      <c r="W140" s="14">
        <f t="shared" si="63"/>
        <v>-4.5872781287236491E-3</v>
      </c>
      <c r="X140" s="14">
        <f t="shared" si="64"/>
        <v>7.0714653907291064E-2</v>
      </c>
      <c r="Y140" s="14">
        <f t="shared" si="65"/>
        <v>-2.6944426222132646E-2</v>
      </c>
      <c r="Z140" s="14">
        <f t="shared" si="66"/>
        <v>0.12046987360156708</v>
      </c>
      <c r="AA140" s="14">
        <f t="shared" si="67"/>
        <v>-3.2545101080257467E-2</v>
      </c>
      <c r="AB140" s="14">
        <f t="shared" si="68"/>
        <v>0.18005949411777464</v>
      </c>
      <c r="AC140" s="14">
        <f t="shared" si="69"/>
        <v>0.23173115098552088</v>
      </c>
      <c r="AD140" s="14">
        <f t="shared" si="70"/>
        <v>4.3463730992641753E-2</v>
      </c>
      <c r="AE140" s="14">
        <f t="shared" si="71"/>
        <v>-2.939305101517431E-2</v>
      </c>
      <c r="AM140" s="14">
        <f t="shared" si="72"/>
        <v>-2.1087778966552426E-2</v>
      </c>
      <c r="AN140" s="14">
        <f t="shared" si="73"/>
        <v>-3.9814675965492541E-2</v>
      </c>
      <c r="AO140" s="14">
        <f t="shared" si="74"/>
        <v>-1.2729948118886784E-2</v>
      </c>
      <c r="AP140" s="14">
        <f t="shared" si="75"/>
        <v>-2.4317390788545994E-2</v>
      </c>
      <c r="AQ140" s="14">
        <f t="shared" si="76"/>
        <v>-4.3929271309244226E-2</v>
      </c>
      <c r="AR140" s="14">
        <f t="shared" si="77"/>
        <v>-1.3099882958361002E-2</v>
      </c>
      <c r="AS140" s="14">
        <f t="shared" si="78"/>
        <v>5.7901650912451468E-2</v>
      </c>
      <c r="AT140" s="14">
        <f t="shared" si="79"/>
        <v>-3.2340357532677472E-2</v>
      </c>
      <c r="AU140" s="14">
        <f t="shared" si="80"/>
        <v>0.10434638102480924</v>
      </c>
      <c r="AV140" s="14">
        <f t="shared" si="81"/>
        <v>-5.4596489290391924E-2</v>
      </c>
      <c r="AW140" s="14">
        <f t="shared" si="82"/>
        <v>0.16697170624095026</v>
      </c>
      <c r="AX140" s="14">
        <f t="shared" si="83"/>
        <v>0.205022298348705</v>
      </c>
      <c r="AY140" s="14">
        <f t="shared" si="84"/>
        <v>3.2192799504561845E-2</v>
      </c>
      <c r="AZ140" s="14">
        <f t="shared" si="85"/>
        <v>-3.4007103011894753E-2</v>
      </c>
    </row>
    <row r="141" spans="2:52" x14ac:dyDescent="0.3">
      <c r="B141" s="13">
        <v>4.4367311772421959E-2</v>
      </c>
      <c r="C141" s="13">
        <v>0.17337152102375228</v>
      </c>
      <c r="D141" s="13">
        <v>3.0202783300064574E-2</v>
      </c>
      <c r="E141" s="13">
        <v>-4.3474335992420262E-3</v>
      </c>
      <c r="F141" s="13">
        <v>7.7516442427828347E-2</v>
      </c>
      <c r="G141" s="13">
        <v>5.8854191760312452E-2</v>
      </c>
      <c r="H141" s="13">
        <v>1.8466066869673742E-2</v>
      </c>
      <c r="I141" s="13">
        <v>1.9694290802925944E-2</v>
      </c>
      <c r="J141" s="13">
        <v>8.6021541754435785E-2</v>
      </c>
      <c r="K141" s="13">
        <v>4.4927874494915893E-2</v>
      </c>
      <c r="L141" s="13">
        <v>4.9804003861292537E-2</v>
      </c>
      <c r="M141" s="13">
        <v>6.6702123546037898E-2</v>
      </c>
      <c r="N141" s="13">
        <v>6.1243625240718594E-2</v>
      </c>
      <c r="O141" s="13">
        <v>2.9534693697991915E-2</v>
      </c>
      <c r="R141" s="14">
        <f t="shared" si="58"/>
        <v>5.3240774126906351E-2</v>
      </c>
      <c r="S141" s="14">
        <f t="shared" si="59"/>
        <v>0.20804582522850273</v>
      </c>
      <c r="T141" s="14">
        <f t="shared" si="60"/>
        <v>3.6243339960077489E-2</v>
      </c>
      <c r="U141" s="14">
        <f t="shared" si="61"/>
        <v>-3.4779468793936213E-3</v>
      </c>
      <c r="V141" s="14">
        <f t="shared" si="62"/>
        <v>9.3019730913394008E-2</v>
      </c>
      <c r="W141" s="14">
        <f t="shared" si="63"/>
        <v>7.0625030112374934E-2</v>
      </c>
      <c r="X141" s="14">
        <f t="shared" si="64"/>
        <v>2.2159280243608491E-2</v>
      </c>
      <c r="Y141" s="14">
        <f t="shared" si="65"/>
        <v>2.3633148963511132E-2</v>
      </c>
      <c r="Z141" s="14">
        <f t="shared" si="66"/>
        <v>0.10322585010532294</v>
      </c>
      <c r="AA141" s="14">
        <f t="shared" si="67"/>
        <v>5.3913449393899068E-2</v>
      </c>
      <c r="AB141" s="14">
        <f t="shared" si="68"/>
        <v>5.9764804633551043E-2</v>
      </c>
      <c r="AC141" s="14">
        <f t="shared" si="69"/>
        <v>8.0042548255245469E-2</v>
      </c>
      <c r="AD141" s="14">
        <f t="shared" si="70"/>
        <v>7.3492350288862307E-2</v>
      </c>
      <c r="AE141" s="14">
        <f t="shared" si="71"/>
        <v>3.5441632437590298E-2</v>
      </c>
      <c r="AM141" s="14">
        <f t="shared" si="72"/>
        <v>4.5434657706374337E-2</v>
      </c>
      <c r="AN141" s="14">
        <f t="shared" si="73"/>
        <v>0.18724911870868272</v>
      </c>
      <c r="AO141" s="14">
        <f t="shared" si="74"/>
        <v>2.8365403620448051E-2</v>
      </c>
      <c r="AP141" s="14">
        <f t="shared" si="75"/>
        <v>-1.3312454918925031E-2</v>
      </c>
      <c r="AQ141" s="14">
        <f t="shared" si="76"/>
        <v>7.9196791449630516E-2</v>
      </c>
      <c r="AR141" s="14">
        <f t="shared" si="77"/>
        <v>6.2112425282737582E-2</v>
      </c>
      <c r="AS141" s="14">
        <f t="shared" si="78"/>
        <v>9.3462772487688927E-3</v>
      </c>
      <c r="AT141" s="14">
        <f t="shared" si="79"/>
        <v>1.8237217652966306E-2</v>
      </c>
      <c r="AU141" s="14">
        <f t="shared" si="80"/>
        <v>8.71023575285651E-2</v>
      </c>
      <c r="AV141" s="14">
        <f t="shared" si="81"/>
        <v>3.1862061183764612E-2</v>
      </c>
      <c r="AW141" s="14">
        <f t="shared" si="82"/>
        <v>4.6677016756726655E-2</v>
      </c>
      <c r="AX141" s="14">
        <f t="shared" si="83"/>
        <v>5.3333695618429586E-2</v>
      </c>
      <c r="AY141" s="14">
        <f t="shared" si="84"/>
        <v>6.2221418800782399E-2</v>
      </c>
      <c r="AZ141" s="14">
        <f t="shared" si="85"/>
        <v>3.0827580440869855E-2</v>
      </c>
    </row>
    <row r="142" spans="2:52" x14ac:dyDescent="0.3">
      <c r="B142" s="13">
        <v>3.4887094052129782E-3</v>
      </c>
      <c r="C142" s="13">
        <v>3.772843610381113E-2</v>
      </c>
      <c r="D142" s="13">
        <v>-4.0227049433736121E-3</v>
      </c>
      <c r="E142" s="13">
        <v>1.6191235687003588E-2</v>
      </c>
      <c r="F142" s="13">
        <v>1.9247226004479676E-2</v>
      </c>
      <c r="G142" s="13">
        <v>-1.1296244010885181E-4</v>
      </c>
      <c r="H142" s="13">
        <v>1.099088625166261E-3</v>
      </c>
      <c r="I142" s="13">
        <v>2.1437048130605259E-2</v>
      </c>
      <c r="J142" s="13">
        <v>3.3706006796873862E-2</v>
      </c>
      <c r="K142" s="13">
        <v>2.9231041391464221E-2</v>
      </c>
      <c r="L142" s="13">
        <v>3.0889431415958124E-2</v>
      </c>
      <c r="M142" s="13">
        <v>-9.3956218897437698E-3</v>
      </c>
      <c r="N142" s="13">
        <v>0.16574009309389118</v>
      </c>
      <c r="O142" s="13">
        <v>0.18884406532807349</v>
      </c>
      <c r="R142" s="14">
        <f t="shared" si="58"/>
        <v>4.1864512862555738E-3</v>
      </c>
      <c r="S142" s="14">
        <f t="shared" si="59"/>
        <v>4.5274123324573354E-2</v>
      </c>
      <c r="T142" s="14">
        <f t="shared" si="60"/>
        <v>-3.2181639546988898E-3</v>
      </c>
      <c r="U142" s="14">
        <f t="shared" si="61"/>
        <v>1.9429482824404303E-2</v>
      </c>
      <c r="V142" s="14">
        <f t="shared" si="62"/>
        <v>2.3096671205375612E-2</v>
      </c>
      <c r="W142" s="14">
        <f t="shared" si="63"/>
        <v>-9.0369952087081457E-5</v>
      </c>
      <c r="X142" s="14">
        <f t="shared" si="64"/>
        <v>1.3189063501995132E-3</v>
      </c>
      <c r="Y142" s="14">
        <f t="shared" si="65"/>
        <v>2.5724457756726309E-2</v>
      </c>
      <c r="Z142" s="14">
        <f t="shared" si="66"/>
        <v>4.044720815624863E-2</v>
      </c>
      <c r="AA142" s="14">
        <f t="shared" si="67"/>
        <v>3.5077249669757067E-2</v>
      </c>
      <c r="AB142" s="14">
        <f t="shared" si="68"/>
        <v>3.7067317699149747E-2</v>
      </c>
      <c r="AC142" s="14">
        <f t="shared" si="69"/>
        <v>-7.5164975117950165E-3</v>
      </c>
      <c r="AD142" s="14">
        <f t="shared" si="70"/>
        <v>0.1988881117126694</v>
      </c>
      <c r="AE142" s="14">
        <f t="shared" si="71"/>
        <v>0.22661287839368818</v>
      </c>
      <c r="AM142" s="14">
        <f t="shared" si="72"/>
        <v>-3.6196651342764391E-3</v>
      </c>
      <c r="AN142" s="14">
        <f t="shared" si="73"/>
        <v>2.4477416804753346E-2</v>
      </c>
      <c r="AO142" s="14">
        <f t="shared" si="74"/>
        <v>-1.109610029432833E-2</v>
      </c>
      <c r="AP142" s="14">
        <f t="shared" si="75"/>
        <v>9.5949747848728933E-3</v>
      </c>
      <c r="AQ142" s="14">
        <f t="shared" si="76"/>
        <v>9.2737317416121123E-3</v>
      </c>
      <c r="AR142" s="14">
        <f t="shared" si="77"/>
        <v>-8.6029747817244345E-3</v>
      </c>
      <c r="AS142" s="14">
        <f t="shared" si="78"/>
        <v>-1.1494096644640085E-2</v>
      </c>
      <c r="AT142" s="14">
        <f t="shared" si="79"/>
        <v>2.0328526446181484E-2</v>
      </c>
      <c r="AU142" s="14">
        <f t="shared" si="80"/>
        <v>2.4323715579490795E-2</v>
      </c>
      <c r="AV142" s="14">
        <f t="shared" si="81"/>
        <v>1.302586145962261E-2</v>
      </c>
      <c r="AW142" s="14">
        <f t="shared" si="82"/>
        <v>2.397952982232536E-2</v>
      </c>
      <c r="AX142" s="14">
        <f t="shared" si="83"/>
        <v>-3.4225350148610896E-2</v>
      </c>
      <c r="AY142" s="14">
        <f t="shared" si="84"/>
        <v>0.18761718022458951</v>
      </c>
      <c r="AZ142" s="14">
        <f t="shared" si="85"/>
        <v>0.22199882639696775</v>
      </c>
    </row>
    <row r="143" spans="2:52" x14ac:dyDescent="0.3">
      <c r="B143" s="13">
        <v>9.4770804084122751E-3</v>
      </c>
      <c r="C143" s="13">
        <v>-8.0448602822863577E-2</v>
      </c>
      <c r="D143" s="13">
        <v>8.393990396089497E-4</v>
      </c>
      <c r="E143" s="13">
        <v>-1.3617231691830831E-2</v>
      </c>
      <c r="F143" s="13">
        <v>-2.859113332925892E-2</v>
      </c>
      <c r="G143" s="13">
        <v>8.2129054768996651E-3</v>
      </c>
      <c r="H143" s="13">
        <v>-1.2751409303988891E-2</v>
      </c>
      <c r="I143" s="13">
        <v>-9.5898444046148487E-3</v>
      </c>
      <c r="J143" s="13">
        <v>2.0918367795160681E-2</v>
      </c>
      <c r="K143" s="13">
        <v>-0.14230063990976244</v>
      </c>
      <c r="L143" s="13">
        <v>-1.5872272440853732E-2</v>
      </c>
      <c r="M143" s="13">
        <v>-9.4847375593674222E-3</v>
      </c>
      <c r="N143" s="13">
        <v>-2.0013815345456921E-2</v>
      </c>
      <c r="O143" s="13">
        <v>-1.5227991433554196E-2</v>
      </c>
      <c r="R143" s="14">
        <f t="shared" si="58"/>
        <v>1.137249649009473E-2</v>
      </c>
      <c r="S143" s="14">
        <f t="shared" si="59"/>
        <v>-6.4358882258290867E-2</v>
      </c>
      <c r="T143" s="14">
        <f t="shared" si="60"/>
        <v>1.0072788475307395E-3</v>
      </c>
      <c r="U143" s="14">
        <f t="shared" si="61"/>
        <v>-1.0893785353464665E-2</v>
      </c>
      <c r="V143" s="14">
        <f t="shared" si="62"/>
        <v>-2.2872906663407137E-2</v>
      </c>
      <c r="W143" s="14">
        <f t="shared" si="63"/>
        <v>9.8554865722795971E-3</v>
      </c>
      <c r="X143" s="14">
        <f t="shared" si="64"/>
        <v>-1.0201127443191113E-2</v>
      </c>
      <c r="Y143" s="14">
        <f t="shared" si="65"/>
        <v>-7.6718755236918797E-3</v>
      </c>
      <c r="Z143" s="14">
        <f t="shared" si="66"/>
        <v>2.5102041354192816E-2</v>
      </c>
      <c r="AA143" s="14">
        <f t="shared" si="67"/>
        <v>-0.11384051192780996</v>
      </c>
      <c r="AB143" s="14">
        <f t="shared" si="68"/>
        <v>-1.2697817952682986E-2</v>
      </c>
      <c r="AC143" s="14">
        <f t="shared" si="69"/>
        <v>-7.5877900474939381E-3</v>
      </c>
      <c r="AD143" s="14">
        <f t="shared" si="70"/>
        <v>-1.6011052276365536E-2</v>
      </c>
      <c r="AE143" s="14">
        <f t="shared" si="71"/>
        <v>-1.2182393146843357E-2</v>
      </c>
      <c r="AM143" s="14">
        <f t="shared" si="72"/>
        <v>3.5663800695627168E-3</v>
      </c>
      <c r="AN143" s="14">
        <f t="shared" si="73"/>
        <v>-8.5155588778110872E-2</v>
      </c>
      <c r="AO143" s="14">
        <f t="shared" si="74"/>
        <v>-6.8706574920987E-3</v>
      </c>
      <c r="AP143" s="14">
        <f t="shared" si="75"/>
        <v>-2.0728293392996075E-2</v>
      </c>
      <c r="AQ143" s="14">
        <f t="shared" si="76"/>
        <v>-3.6695846127170639E-2</v>
      </c>
      <c r="AR143" s="14">
        <f t="shared" si="77"/>
        <v>1.3428817426422435E-3</v>
      </c>
      <c r="AS143" s="14">
        <f t="shared" si="78"/>
        <v>-2.301413043803071E-2</v>
      </c>
      <c r="AT143" s="14">
        <f t="shared" si="79"/>
        <v>-1.3067806834236705E-2</v>
      </c>
      <c r="AU143" s="14">
        <f t="shared" si="80"/>
        <v>8.9785487774349804E-3</v>
      </c>
      <c r="AV143" s="14">
        <f t="shared" si="81"/>
        <v>-0.13589190013794442</v>
      </c>
      <c r="AW143" s="14">
        <f t="shared" si="82"/>
        <v>-2.5785605829507372E-2</v>
      </c>
      <c r="AX143" s="14">
        <f t="shared" si="83"/>
        <v>-3.4296642684309819E-2</v>
      </c>
      <c r="AY143" s="14">
        <f t="shared" si="84"/>
        <v>-2.728198376444544E-2</v>
      </c>
      <c r="AZ143" s="14">
        <f t="shared" si="85"/>
        <v>-1.67964451435638E-2</v>
      </c>
    </row>
    <row r="144" spans="2:52" x14ac:dyDescent="0.3">
      <c r="B144" s="13">
        <v>-3.6374113543248744E-2</v>
      </c>
      <c r="C144" s="13">
        <v>-0.14915077386584782</v>
      </c>
      <c r="D144" s="13">
        <v>-3.7716355503252447E-2</v>
      </c>
      <c r="E144" s="13">
        <v>-7.9328880817613578E-2</v>
      </c>
      <c r="F144" s="13">
        <v>-1.5912208441964303E-2</v>
      </c>
      <c r="G144" s="13">
        <v>-4.0646939815213043E-2</v>
      </c>
      <c r="H144" s="13">
        <v>-4.1196921727614175E-2</v>
      </c>
      <c r="I144" s="13">
        <v>-8.0221167565149548E-2</v>
      </c>
      <c r="J144" s="13">
        <v>-0.11811217954708526</v>
      </c>
      <c r="K144" s="13">
        <v>-0.21864072434267109</v>
      </c>
      <c r="L144" s="13">
        <v>-4.9761509559063825E-2</v>
      </c>
      <c r="M144" s="13">
        <v>-3.7215101848712795E-2</v>
      </c>
      <c r="N144" s="13">
        <v>-5.1471933083496998E-2</v>
      </c>
      <c r="O144" s="13">
        <v>-2.7889669094331087E-2</v>
      </c>
      <c r="R144" s="14">
        <f t="shared" si="58"/>
        <v>-2.9099290834598997E-2</v>
      </c>
      <c r="S144" s="14">
        <f t="shared" si="59"/>
        <v>-0.11932061909267827</v>
      </c>
      <c r="T144" s="14">
        <f t="shared" si="60"/>
        <v>-3.0173084402601958E-2</v>
      </c>
      <c r="U144" s="14">
        <f t="shared" si="61"/>
        <v>-6.3463104654090871E-2</v>
      </c>
      <c r="V144" s="14">
        <f t="shared" si="62"/>
        <v>-1.2729766753571443E-2</v>
      </c>
      <c r="W144" s="14">
        <f t="shared" si="63"/>
        <v>-3.2517551852170437E-2</v>
      </c>
      <c r="X144" s="14">
        <f t="shared" si="64"/>
        <v>-3.295753738209134E-2</v>
      </c>
      <c r="Y144" s="14">
        <f t="shared" si="65"/>
        <v>-6.4176934052119647E-2</v>
      </c>
      <c r="Z144" s="14">
        <f t="shared" si="66"/>
        <v>-9.4489743637668211E-2</v>
      </c>
      <c r="AA144" s="14">
        <f t="shared" si="67"/>
        <v>-0.17491257947413688</v>
      </c>
      <c r="AB144" s="14">
        <f t="shared" si="68"/>
        <v>-3.9809207647251064E-2</v>
      </c>
      <c r="AC144" s="14">
        <f t="shared" si="69"/>
        <v>-2.9772081478970237E-2</v>
      </c>
      <c r="AD144" s="14">
        <f t="shared" si="70"/>
        <v>-4.1177546466797603E-2</v>
      </c>
      <c r="AE144" s="14">
        <f t="shared" si="71"/>
        <v>-2.2311735275464872E-2</v>
      </c>
      <c r="AM144" s="14">
        <f t="shared" si="72"/>
        <v>-3.6905407255131008E-2</v>
      </c>
      <c r="AN144" s="14">
        <f t="shared" si="73"/>
        <v>-0.14011732561249829</v>
      </c>
      <c r="AO144" s="14">
        <f t="shared" si="74"/>
        <v>-3.8051020742231399E-2</v>
      </c>
      <c r="AP144" s="14">
        <f t="shared" si="75"/>
        <v>-7.3297612693622283E-2</v>
      </c>
      <c r="AQ144" s="14">
        <f t="shared" si="76"/>
        <v>-2.6552706217334944E-2</v>
      </c>
      <c r="AR144" s="14">
        <f t="shared" si="77"/>
        <v>-4.1030156681807789E-2</v>
      </c>
      <c r="AS144" s="14">
        <f t="shared" si="78"/>
        <v>-4.5770540376930936E-2</v>
      </c>
      <c r="AT144" s="14">
        <f t="shared" si="79"/>
        <v>-6.9572865362664466E-2</v>
      </c>
      <c r="AU144" s="14">
        <f t="shared" si="80"/>
        <v>-0.11061323621442605</v>
      </c>
      <c r="AV144" s="14">
        <f t="shared" si="81"/>
        <v>-0.19696396768427132</v>
      </c>
      <c r="AW144" s="14">
        <f t="shared" si="82"/>
        <v>-5.2896995524075452E-2</v>
      </c>
      <c r="AX144" s="14">
        <f t="shared" si="83"/>
        <v>-5.6480934115786113E-2</v>
      </c>
      <c r="AY144" s="14">
        <f t="shared" si="84"/>
        <v>-5.2448477954877511E-2</v>
      </c>
      <c r="AZ144" s="14">
        <f t="shared" si="85"/>
        <v>-2.6925787272185316E-2</v>
      </c>
    </row>
    <row r="145" spans="2:52" x14ac:dyDescent="0.3">
      <c r="B145" s="13">
        <v>7.5792115953040879E-3</v>
      </c>
      <c r="C145" s="13">
        <v>0.14688633712015514</v>
      </c>
      <c r="D145" s="13">
        <v>6.9450819886162002E-2</v>
      </c>
      <c r="E145" s="13">
        <v>4.2421562660211479E-2</v>
      </c>
      <c r="F145" s="13">
        <v>8.8761691050803393E-2</v>
      </c>
      <c r="G145" s="13">
        <v>8.4435956938874179E-2</v>
      </c>
      <c r="H145" s="13">
        <v>4.7526238316572496E-2</v>
      </c>
      <c r="I145" s="13">
        <v>9.9309764127672326E-2</v>
      </c>
      <c r="J145" s="13">
        <v>5.0414219856278482E-2</v>
      </c>
      <c r="K145" s="13">
        <v>0.10124619305162462</v>
      </c>
      <c r="L145" s="13">
        <v>4.083349201092807E-2</v>
      </c>
      <c r="M145" s="13">
        <v>0.15992737782161165</v>
      </c>
      <c r="N145" s="13">
        <v>0.14869852830445077</v>
      </c>
      <c r="O145" s="13">
        <v>6.0844589281159253E-3</v>
      </c>
      <c r="R145" s="14">
        <f t="shared" si="58"/>
        <v>9.0950539143649055E-3</v>
      </c>
      <c r="S145" s="14">
        <f t="shared" si="59"/>
        <v>0.17626360454418616</v>
      </c>
      <c r="T145" s="14">
        <f t="shared" si="60"/>
        <v>8.3340983863394405E-2</v>
      </c>
      <c r="U145" s="14">
        <f t="shared" si="61"/>
        <v>5.0905875192253772E-2</v>
      </c>
      <c r="V145" s="14">
        <f t="shared" si="62"/>
        <v>0.10651402926096407</v>
      </c>
      <c r="W145" s="14">
        <f t="shared" si="63"/>
        <v>0.10132314832664902</v>
      </c>
      <c r="X145" s="14">
        <f t="shared" si="64"/>
        <v>5.7031485979886991E-2</v>
      </c>
      <c r="Y145" s="14">
        <f t="shared" si="65"/>
        <v>0.11917171695320679</v>
      </c>
      <c r="Z145" s="14">
        <f t="shared" si="66"/>
        <v>6.0497063827534177E-2</v>
      </c>
      <c r="AA145" s="14">
        <f t="shared" si="67"/>
        <v>0.12149543166194954</v>
      </c>
      <c r="AB145" s="14">
        <f t="shared" si="68"/>
        <v>4.9000190413113681E-2</v>
      </c>
      <c r="AC145" s="14">
        <f t="shared" si="69"/>
        <v>0.19191285338593397</v>
      </c>
      <c r="AD145" s="14">
        <f t="shared" si="70"/>
        <v>0.17843823396534092</v>
      </c>
      <c r="AE145" s="14">
        <f t="shared" si="71"/>
        <v>7.3013507137391102E-3</v>
      </c>
      <c r="AM145" s="14">
        <f t="shared" si="72"/>
        <v>1.2889374938328925E-3</v>
      </c>
      <c r="AN145" s="14">
        <f t="shared" si="73"/>
        <v>0.15546689802436614</v>
      </c>
      <c r="AO145" s="14">
        <f t="shared" si="74"/>
        <v>7.5463047523764967E-2</v>
      </c>
      <c r="AP145" s="14">
        <f t="shared" si="75"/>
        <v>4.107136715272236E-2</v>
      </c>
      <c r="AQ145" s="14">
        <f t="shared" si="76"/>
        <v>9.269108979720056E-2</v>
      </c>
      <c r="AR145" s="14">
        <f t="shared" si="77"/>
        <v>9.2810543497011663E-2</v>
      </c>
      <c r="AS145" s="14">
        <f t="shared" si="78"/>
        <v>4.4218482985047394E-2</v>
      </c>
      <c r="AT145" s="14">
        <f t="shared" si="79"/>
        <v>0.11377578564266197</v>
      </c>
      <c r="AU145" s="14">
        <f t="shared" si="80"/>
        <v>4.4373571250776345E-2</v>
      </c>
      <c r="AV145" s="14">
        <f t="shared" si="81"/>
        <v>9.9444043451815081E-2</v>
      </c>
      <c r="AW145" s="14">
        <f t="shared" si="82"/>
        <v>3.5912402536289294E-2</v>
      </c>
      <c r="AX145" s="14">
        <f t="shared" si="83"/>
        <v>0.16520400074911809</v>
      </c>
      <c r="AY145" s="14">
        <f t="shared" si="84"/>
        <v>0.16716730247726103</v>
      </c>
      <c r="AZ145" s="14">
        <f t="shared" si="85"/>
        <v>2.6872987170186678E-3</v>
      </c>
    </row>
    <row r="146" spans="2:52" x14ac:dyDescent="0.3">
      <c r="B146" s="13">
        <v>2.5295335821680285E-2</v>
      </c>
      <c r="C146" s="13">
        <v>-2.6373285254889738E-2</v>
      </c>
      <c r="D146" s="13">
        <v>1.081016694430483E-2</v>
      </c>
      <c r="E146" s="13">
        <v>3.8191839849758755E-2</v>
      </c>
      <c r="F146" s="13">
        <v>3.3981158274386788E-2</v>
      </c>
      <c r="G146" s="13">
        <v>2.7032247193405221E-2</v>
      </c>
      <c r="H146" s="13">
        <v>6.7670405913557732E-2</v>
      </c>
      <c r="I146" s="13">
        <v>5.4177785701810838E-2</v>
      </c>
      <c r="J146" s="13">
        <v>0.14595248333802965</v>
      </c>
      <c r="K146" s="13">
        <v>4.2270806490672171E-2</v>
      </c>
      <c r="L146" s="13">
        <v>1.9943291773761983E-2</v>
      </c>
      <c r="M146" s="13">
        <v>4.424406175699961E-2</v>
      </c>
      <c r="N146" s="13">
        <v>1.765024919212746E-2</v>
      </c>
      <c r="O146" s="13">
        <v>-8.8809952551221788E-4</v>
      </c>
      <c r="R146" s="14">
        <f t="shared" si="58"/>
        <v>3.0354402986016341E-2</v>
      </c>
      <c r="S146" s="14">
        <f t="shared" si="59"/>
        <v>-2.1098628203911791E-2</v>
      </c>
      <c r="T146" s="14">
        <f t="shared" si="60"/>
        <v>1.2972200333165795E-2</v>
      </c>
      <c r="U146" s="14">
        <f t="shared" si="61"/>
        <v>4.5830207819710506E-2</v>
      </c>
      <c r="V146" s="14">
        <f t="shared" si="62"/>
        <v>4.0777389929264142E-2</v>
      </c>
      <c r="W146" s="14">
        <f t="shared" si="63"/>
        <v>3.2438696632086261E-2</v>
      </c>
      <c r="X146" s="14">
        <f t="shared" si="64"/>
        <v>8.1204487096269276E-2</v>
      </c>
      <c r="Y146" s="14">
        <f t="shared" si="65"/>
        <v>6.5013342842173E-2</v>
      </c>
      <c r="Z146" s="14">
        <f t="shared" si="66"/>
        <v>0.17514298000563558</v>
      </c>
      <c r="AA146" s="14">
        <f t="shared" si="67"/>
        <v>5.0724967788806606E-2</v>
      </c>
      <c r="AB146" s="14">
        <f t="shared" si="68"/>
        <v>2.393195012851438E-2</v>
      </c>
      <c r="AC146" s="14">
        <f t="shared" si="69"/>
        <v>5.3092874108399531E-2</v>
      </c>
      <c r="AD146" s="14">
        <f t="shared" si="70"/>
        <v>2.1180299030552952E-2</v>
      </c>
      <c r="AE146" s="14">
        <f t="shared" si="71"/>
        <v>-7.1047962040977431E-4</v>
      </c>
      <c r="AM146" s="14">
        <f t="shared" si="72"/>
        <v>2.2548286565484327E-2</v>
      </c>
      <c r="AN146" s="14">
        <f t="shared" si="73"/>
        <v>-4.1895334723731803E-2</v>
      </c>
      <c r="AO146" s="14">
        <f t="shared" si="74"/>
        <v>5.0942639935363555E-3</v>
      </c>
      <c r="AP146" s="14">
        <f t="shared" si="75"/>
        <v>3.5995699780179094E-2</v>
      </c>
      <c r="AQ146" s="14">
        <f t="shared" si="76"/>
        <v>2.6954450465500643E-2</v>
      </c>
      <c r="AR146" s="14">
        <f t="shared" si="77"/>
        <v>2.3926091802448909E-2</v>
      </c>
      <c r="AS146" s="14">
        <f t="shared" si="78"/>
        <v>6.8391484101429673E-2</v>
      </c>
      <c r="AT146" s="14">
        <f t="shared" si="79"/>
        <v>5.9617411531628174E-2</v>
      </c>
      <c r="AU146" s="14">
        <f t="shared" si="80"/>
        <v>0.15901948742887775</v>
      </c>
      <c r="AV146" s="14">
        <f t="shared" si="81"/>
        <v>2.867357957867215E-2</v>
      </c>
      <c r="AW146" s="14">
        <f t="shared" si="82"/>
        <v>1.0844162251689994E-2</v>
      </c>
      <c r="AX146" s="14">
        <f t="shared" si="83"/>
        <v>2.6384021471583651E-2</v>
      </c>
      <c r="AY146" s="14">
        <f t="shared" si="84"/>
        <v>9.9093675424730462E-3</v>
      </c>
      <c r="AZ146" s="14">
        <f t="shared" si="85"/>
        <v>-5.3245316171302171E-3</v>
      </c>
    </row>
    <row r="147" spans="2:52" x14ac:dyDescent="0.3">
      <c r="B147" s="13">
        <v>-1.798285534723234E-3</v>
      </c>
      <c r="C147" s="13">
        <v>4.5500687519033384E-2</v>
      </c>
      <c r="D147" s="13">
        <v>-1.6796604733708493E-2</v>
      </c>
      <c r="E147" s="13">
        <v>2.1982056845773717E-3</v>
      </c>
      <c r="F147" s="13">
        <v>8.912875600524553E-2</v>
      </c>
      <c r="G147" s="13">
        <v>-1.9127489908256093E-2</v>
      </c>
      <c r="H147" s="13">
        <v>1.0649425981054665E-2</v>
      </c>
      <c r="I147" s="13">
        <v>7.8434066628033136E-2</v>
      </c>
      <c r="J147" s="13">
        <v>-4.7780169133549689E-2</v>
      </c>
      <c r="K147" s="13">
        <v>0.11714918334888243</v>
      </c>
      <c r="L147" s="13">
        <v>2.4184490880992608E-2</v>
      </c>
      <c r="M147" s="13">
        <v>-9.7245498919947444E-3</v>
      </c>
      <c r="N147" s="13">
        <v>-2.140612215193282E-2</v>
      </c>
      <c r="O147" s="13">
        <v>2.9473974782701227E-2</v>
      </c>
      <c r="R147" s="14">
        <f t="shared" si="58"/>
        <v>-1.4386284277785872E-3</v>
      </c>
      <c r="S147" s="14">
        <f t="shared" si="59"/>
        <v>5.4600825022840062E-2</v>
      </c>
      <c r="T147" s="14">
        <f t="shared" si="60"/>
        <v>-1.3437283786966795E-2</v>
      </c>
      <c r="U147" s="14">
        <f t="shared" si="61"/>
        <v>2.6378468214928461E-3</v>
      </c>
      <c r="V147" s="14">
        <f t="shared" si="62"/>
        <v>0.10695450720629464</v>
      </c>
      <c r="W147" s="14">
        <f t="shared" si="63"/>
        <v>-1.5301991926604875E-2</v>
      </c>
      <c r="X147" s="14">
        <f t="shared" si="64"/>
        <v>1.2779311177265598E-2</v>
      </c>
      <c r="Y147" s="14">
        <f t="shared" si="65"/>
        <v>9.4120879953639755E-2</v>
      </c>
      <c r="Z147" s="14">
        <f t="shared" si="66"/>
        <v>-3.8224135306839754E-2</v>
      </c>
      <c r="AA147" s="14">
        <f t="shared" si="67"/>
        <v>0.14057902001865891</v>
      </c>
      <c r="AB147" s="14">
        <f t="shared" si="68"/>
        <v>2.9021389057191128E-2</v>
      </c>
      <c r="AC147" s="14">
        <f t="shared" si="69"/>
        <v>-7.7796399135957959E-3</v>
      </c>
      <c r="AD147" s="14">
        <f t="shared" si="70"/>
        <v>-1.7124897721546257E-2</v>
      </c>
      <c r="AE147" s="14">
        <f t="shared" si="71"/>
        <v>3.5368769739241468E-2</v>
      </c>
      <c r="AM147" s="14">
        <f t="shared" si="72"/>
        <v>-9.2447448483105998E-3</v>
      </c>
      <c r="AN147" s="14">
        <f t="shared" si="73"/>
        <v>3.380411850302005E-2</v>
      </c>
      <c r="AO147" s="14">
        <f t="shared" si="74"/>
        <v>-2.1315220126596236E-2</v>
      </c>
      <c r="AP147" s="14">
        <f t="shared" si="75"/>
        <v>-7.1966612180385638E-3</v>
      </c>
      <c r="AQ147" s="14">
        <f t="shared" si="76"/>
        <v>9.3131567742531146E-2</v>
      </c>
      <c r="AR147" s="14">
        <f t="shared" si="77"/>
        <v>-2.3814596756242229E-2</v>
      </c>
      <c r="AS147" s="14">
        <f t="shared" si="78"/>
        <v>-3.3691817574000443E-5</v>
      </c>
      <c r="AT147" s="14">
        <f t="shared" si="79"/>
        <v>8.8724948643094936E-2</v>
      </c>
      <c r="AU147" s="14">
        <f t="shared" si="80"/>
        <v>-5.4347627883597593E-2</v>
      </c>
      <c r="AV147" s="14">
        <f t="shared" si="81"/>
        <v>0.11852763180852445</v>
      </c>
      <c r="AW147" s="14">
        <f t="shared" si="82"/>
        <v>1.5933601180366741E-2</v>
      </c>
      <c r="AX147" s="14">
        <f t="shared" si="83"/>
        <v>-3.4488492550411677E-2</v>
      </c>
      <c r="AY147" s="14">
        <f t="shared" si="84"/>
        <v>-2.8395829209626161E-2</v>
      </c>
      <c r="AZ147" s="14">
        <f t="shared" si="85"/>
        <v>3.0754717742521025E-2</v>
      </c>
    </row>
    <row r="148" spans="2:52" x14ac:dyDescent="0.3">
      <c r="B148" s="13">
        <v>-4.3555800396549915E-3</v>
      </c>
      <c r="C148" s="13">
        <v>2.8582653789479846E-2</v>
      </c>
      <c r="D148" s="13">
        <v>-2.8340442831758256E-2</v>
      </c>
      <c r="E148" s="13">
        <v>1.8791526037102952E-2</v>
      </c>
      <c r="F148" s="13">
        <v>-4.066843186639052E-2</v>
      </c>
      <c r="G148" s="13">
        <v>-7.7975186791482722E-3</v>
      </c>
      <c r="H148" s="13">
        <v>4.914596797088764E-2</v>
      </c>
      <c r="I148" s="13">
        <v>-6.4605670029439059E-3</v>
      </c>
      <c r="J148" s="13">
        <v>2.2073202006057967E-2</v>
      </c>
      <c r="K148" s="13">
        <v>-0.11233978991446893</v>
      </c>
      <c r="L148" s="13">
        <v>-1.9596707904973497E-2</v>
      </c>
      <c r="M148" s="13">
        <v>8.25452114820375E-2</v>
      </c>
      <c r="N148" s="13">
        <v>1.9694582006651674E-2</v>
      </c>
      <c r="O148" s="13">
        <v>-1.2879130339905936E-2</v>
      </c>
      <c r="R148" s="14">
        <f t="shared" si="58"/>
        <v>-3.4844640317239933E-3</v>
      </c>
      <c r="S148" s="14">
        <f t="shared" si="59"/>
        <v>3.4299184547375815E-2</v>
      </c>
      <c r="T148" s="14">
        <f t="shared" si="60"/>
        <v>-2.2672354265406605E-2</v>
      </c>
      <c r="U148" s="14">
        <f t="shared" si="61"/>
        <v>2.2549831244523543E-2</v>
      </c>
      <c r="V148" s="14">
        <f t="shared" si="62"/>
        <v>-3.2534745493112416E-2</v>
      </c>
      <c r="W148" s="14">
        <f t="shared" si="63"/>
        <v>-6.2380149433186177E-3</v>
      </c>
      <c r="X148" s="14">
        <f t="shared" si="64"/>
        <v>5.8975161565065166E-2</v>
      </c>
      <c r="Y148" s="14">
        <f t="shared" si="65"/>
        <v>-5.1684536023551249E-3</v>
      </c>
      <c r="Z148" s="14">
        <f t="shared" si="66"/>
        <v>2.6487842407269559E-2</v>
      </c>
      <c r="AA148" s="14">
        <f t="shared" si="67"/>
        <v>-8.987183193157515E-2</v>
      </c>
      <c r="AB148" s="14">
        <f t="shared" si="68"/>
        <v>-1.5677366323978797E-2</v>
      </c>
      <c r="AC148" s="14">
        <f t="shared" si="69"/>
        <v>9.9054253778444998E-2</v>
      </c>
      <c r="AD148" s="14">
        <f t="shared" si="70"/>
        <v>2.3633498407982009E-2</v>
      </c>
      <c r="AE148" s="14">
        <f t="shared" si="71"/>
        <v>-1.0303304271924749E-2</v>
      </c>
      <c r="AM148" s="14">
        <f t="shared" si="72"/>
        <v>-1.1290580452256007E-2</v>
      </c>
      <c r="AN148" s="14">
        <f t="shared" si="73"/>
        <v>1.3502478027555807E-2</v>
      </c>
      <c r="AO148" s="14">
        <f t="shared" si="74"/>
        <v>-3.0550290605036043E-2</v>
      </c>
      <c r="AP148" s="14">
        <f t="shared" si="75"/>
        <v>1.2715323204992133E-2</v>
      </c>
      <c r="AQ148" s="14">
        <f t="shared" si="76"/>
        <v>-4.6357684956875915E-2</v>
      </c>
      <c r="AR148" s="14">
        <f t="shared" si="77"/>
        <v>-1.4750619772955971E-2</v>
      </c>
      <c r="AS148" s="14">
        <f t="shared" si="78"/>
        <v>4.616215857022557E-2</v>
      </c>
      <c r="AT148" s="14">
        <f t="shared" si="79"/>
        <v>-1.056438491289995E-2</v>
      </c>
      <c r="AU148" s="14">
        <f t="shared" si="80"/>
        <v>1.0364349830511724E-2</v>
      </c>
      <c r="AV148" s="14">
        <f t="shared" si="81"/>
        <v>-0.11192322014170961</v>
      </c>
      <c r="AW148" s="14">
        <f t="shared" si="82"/>
        <v>-2.8765154200803181E-2</v>
      </c>
      <c r="AX148" s="14">
        <f t="shared" si="83"/>
        <v>7.2345401141629115E-2</v>
      </c>
      <c r="AY148" s="14">
        <f t="shared" si="84"/>
        <v>1.2362566919902103E-2</v>
      </c>
      <c r="AZ148" s="14">
        <f t="shared" si="85"/>
        <v>-1.4917356268645193E-2</v>
      </c>
    </row>
    <row r="149" spans="2:52" x14ac:dyDescent="0.3">
      <c r="B149" s="13">
        <v>3.3014226090540026E-3</v>
      </c>
      <c r="C149" s="13">
        <v>7.6118666063328996E-2</v>
      </c>
      <c r="D149" s="13">
        <v>6.2471469390381002E-4</v>
      </c>
      <c r="E149" s="13">
        <v>-2.3131518790155292E-2</v>
      </c>
      <c r="F149" s="13">
        <v>-0.13820365617430636</v>
      </c>
      <c r="G149" s="13">
        <v>1.230932335501468E-2</v>
      </c>
      <c r="H149" s="13">
        <v>-1.0102203310802539E-2</v>
      </c>
      <c r="I149" s="13">
        <v>3.0098031157279565E-2</v>
      </c>
      <c r="J149" s="13">
        <v>9.1401648068875171E-2</v>
      </c>
      <c r="K149" s="13">
        <v>3.1503656299620909E-2</v>
      </c>
      <c r="L149" s="13">
        <v>0.15045125364282638</v>
      </c>
      <c r="M149" s="13">
        <v>8.3861373863444999E-2</v>
      </c>
      <c r="N149" s="13">
        <v>3.2156277648951868E-2</v>
      </c>
      <c r="O149" s="13">
        <v>2.8995859421949866E-2</v>
      </c>
      <c r="R149" s="14">
        <f t="shared" si="58"/>
        <v>3.9617071308648026E-3</v>
      </c>
      <c r="S149" s="14">
        <f t="shared" si="59"/>
        <v>9.1342399275994787E-2</v>
      </c>
      <c r="T149" s="14">
        <f t="shared" si="60"/>
        <v>7.4965763268457198E-4</v>
      </c>
      <c r="U149" s="14">
        <f t="shared" si="61"/>
        <v>-1.8505215032124236E-2</v>
      </c>
      <c r="V149" s="14">
        <f t="shared" si="62"/>
        <v>-0.11056292493944508</v>
      </c>
      <c r="W149" s="14">
        <f t="shared" si="63"/>
        <v>1.4771188026017614E-2</v>
      </c>
      <c r="X149" s="14">
        <f t="shared" si="64"/>
        <v>-8.0817626486420317E-3</v>
      </c>
      <c r="Y149" s="14">
        <f t="shared" si="65"/>
        <v>3.6117637388735475E-2</v>
      </c>
      <c r="Z149" s="14">
        <f t="shared" si="66"/>
        <v>0.1096819776826502</v>
      </c>
      <c r="AA149" s="14">
        <f t="shared" si="67"/>
        <v>3.7804387559545093E-2</v>
      </c>
      <c r="AB149" s="14">
        <f t="shared" si="68"/>
        <v>0.18054150437139166</v>
      </c>
      <c r="AC149" s="14">
        <f t="shared" si="69"/>
        <v>0.100633648636134</v>
      </c>
      <c r="AD149" s="14">
        <f t="shared" si="70"/>
        <v>3.8587533178742243E-2</v>
      </c>
      <c r="AE149" s="14">
        <f t="shared" si="71"/>
        <v>3.4795031306339839E-2</v>
      </c>
      <c r="AM149" s="14">
        <f t="shared" si="72"/>
        <v>-3.8444092896672104E-3</v>
      </c>
      <c r="AN149" s="14">
        <f t="shared" si="73"/>
        <v>7.0545692756174783E-2</v>
      </c>
      <c r="AO149" s="14">
        <f t="shared" si="74"/>
        <v>-7.1282787069448673E-3</v>
      </c>
      <c r="AP149" s="14">
        <f t="shared" si="75"/>
        <v>-2.8339723071655644E-2</v>
      </c>
      <c r="AQ149" s="14">
        <f t="shared" si="76"/>
        <v>-0.12438586440320859</v>
      </c>
      <c r="AR149" s="14">
        <f t="shared" si="77"/>
        <v>6.2585831963802609E-3</v>
      </c>
      <c r="AS149" s="14">
        <f t="shared" si="78"/>
        <v>-2.0894765643481632E-2</v>
      </c>
      <c r="AT149" s="14">
        <f t="shared" si="79"/>
        <v>3.072170607819065E-2</v>
      </c>
      <c r="AU149" s="14">
        <f t="shared" si="80"/>
        <v>9.3558485105892361E-2</v>
      </c>
      <c r="AV149" s="14">
        <f t="shared" si="81"/>
        <v>1.5752999349410636E-2</v>
      </c>
      <c r="AW149" s="14">
        <f t="shared" si="82"/>
        <v>0.16745371649456728</v>
      </c>
      <c r="AX149" s="14">
        <f t="shared" si="83"/>
        <v>7.3924795999318116E-2</v>
      </c>
      <c r="AY149" s="14">
        <f t="shared" si="84"/>
        <v>2.7316601690662336E-2</v>
      </c>
      <c r="AZ149" s="14">
        <f t="shared" si="85"/>
        <v>3.0180979309619396E-2</v>
      </c>
    </row>
    <row r="150" spans="2:52" x14ac:dyDescent="0.3">
      <c r="B150" s="13">
        <v>3.2215519681507911E-2</v>
      </c>
      <c r="C150" s="13">
        <v>2.3461486678997966E-2</v>
      </c>
      <c r="D150" s="13">
        <v>4.4099390805260145E-3</v>
      </c>
      <c r="E150" s="13">
        <v>1.1020634189564096E-3</v>
      </c>
      <c r="F150" s="13">
        <v>1.3227102763830515E-2</v>
      </c>
      <c r="G150" s="13">
        <v>8.9992330257574241E-4</v>
      </c>
      <c r="H150" s="13">
        <v>-2.3114487352164984E-2</v>
      </c>
      <c r="I150" s="13">
        <v>-5.9221742879247662E-2</v>
      </c>
      <c r="J150" s="13">
        <v>-3.1920979136775926E-2</v>
      </c>
      <c r="K150" s="13">
        <v>0.22194087805806614</v>
      </c>
      <c r="L150" s="13">
        <v>-8.682186939296653E-2</v>
      </c>
      <c r="M150" s="13">
        <v>-1.2488598945685018E-2</v>
      </c>
      <c r="N150" s="13">
        <v>2.1460051019769069E-2</v>
      </c>
      <c r="O150" s="13">
        <v>-2.2662899218263027E-3</v>
      </c>
      <c r="R150" s="14">
        <f t="shared" si="58"/>
        <v>3.8658623617809494E-2</v>
      </c>
      <c r="S150" s="14">
        <f t="shared" si="59"/>
        <v>2.8153784014797557E-2</v>
      </c>
      <c r="T150" s="14">
        <f t="shared" si="60"/>
        <v>5.2919268966312169E-3</v>
      </c>
      <c r="U150" s="14">
        <f t="shared" si="61"/>
        <v>1.3224761027476916E-3</v>
      </c>
      <c r="V150" s="14">
        <f t="shared" si="62"/>
        <v>1.5872523316596616E-2</v>
      </c>
      <c r="W150" s="14">
        <f t="shared" si="63"/>
        <v>1.0799079630908909E-3</v>
      </c>
      <c r="X150" s="14">
        <f t="shared" si="64"/>
        <v>-1.8491589881731989E-2</v>
      </c>
      <c r="Y150" s="14">
        <f t="shared" si="65"/>
        <v>-4.7377394303398129E-2</v>
      </c>
      <c r="Z150" s="14">
        <f t="shared" si="66"/>
        <v>-2.5536783309420743E-2</v>
      </c>
      <c r="AA150" s="14">
        <f t="shared" si="67"/>
        <v>0.26632905366967935</v>
      </c>
      <c r="AB150" s="14">
        <f t="shared" si="68"/>
        <v>-6.9457495514373233E-2</v>
      </c>
      <c r="AC150" s="14">
        <f t="shared" si="69"/>
        <v>-9.9908791565480153E-3</v>
      </c>
      <c r="AD150" s="14">
        <f t="shared" si="70"/>
        <v>2.5752061223722884E-2</v>
      </c>
      <c r="AE150" s="14">
        <f t="shared" si="71"/>
        <v>-1.8130319374610423E-3</v>
      </c>
      <c r="AM150" s="14">
        <f t="shared" si="72"/>
        <v>3.085250719727748E-2</v>
      </c>
      <c r="AN150" s="14">
        <f t="shared" si="73"/>
        <v>7.3570774949775486E-3</v>
      </c>
      <c r="AO150" s="14">
        <f t="shared" si="74"/>
        <v>-2.5860094429982225E-3</v>
      </c>
      <c r="AP150" s="14">
        <f t="shared" si="75"/>
        <v>-8.5120319367837181E-3</v>
      </c>
      <c r="AQ150" s="14">
        <f t="shared" si="76"/>
        <v>2.0495838528331173E-3</v>
      </c>
      <c r="AR150" s="14">
        <f t="shared" si="77"/>
        <v>-7.432696866546463E-3</v>
      </c>
      <c r="AS150" s="14">
        <f t="shared" si="78"/>
        <v>-3.1304592876571585E-2</v>
      </c>
      <c r="AT150" s="14">
        <f t="shared" si="79"/>
        <v>-5.2773325613942955E-2</v>
      </c>
      <c r="AU150" s="14">
        <f t="shared" si="80"/>
        <v>-4.1660275886178579E-2</v>
      </c>
      <c r="AV150" s="14">
        <f t="shared" si="81"/>
        <v>0.24427766545954488</v>
      </c>
      <c r="AW150" s="14">
        <f t="shared" si="82"/>
        <v>-8.2545283391197613E-2</v>
      </c>
      <c r="AX150" s="14">
        <f t="shared" si="83"/>
        <v>-3.6699731793363895E-2</v>
      </c>
      <c r="AY150" s="14">
        <f t="shared" si="84"/>
        <v>1.4481129735642978E-2</v>
      </c>
      <c r="AZ150" s="14">
        <f t="shared" si="85"/>
        <v>-6.4270839341814849E-3</v>
      </c>
    </row>
    <row r="151" spans="2:52" x14ac:dyDescent="0.3">
      <c r="B151" s="13">
        <v>-1.5394485106578612E-2</v>
      </c>
      <c r="C151" s="13">
        <v>2.5328677490434021E-2</v>
      </c>
      <c r="D151" s="13">
        <v>2.3609467067534553E-2</v>
      </c>
      <c r="E151" s="13">
        <v>1.1256926196173668E-2</v>
      </c>
      <c r="F151" s="13">
        <v>0.19861313671538541</v>
      </c>
      <c r="G151" s="13">
        <v>-6.1568051816173535E-3</v>
      </c>
      <c r="H151" s="13">
        <v>-5.6013784557495082E-3</v>
      </c>
      <c r="I151" s="13">
        <v>-3.8204439973858815E-3</v>
      </c>
      <c r="J151" s="13">
        <v>-3.1209042714046401E-2</v>
      </c>
      <c r="K151" s="13">
        <v>-7.1376554462285247E-2</v>
      </c>
      <c r="L151" s="13">
        <v>-1.9645994793604665E-2</v>
      </c>
      <c r="M151" s="13">
        <v>4.3044331305158584E-2</v>
      </c>
      <c r="N151" s="13">
        <v>-6.1819603038101766E-2</v>
      </c>
      <c r="O151" s="13">
        <v>2.948170208840737E-2</v>
      </c>
      <c r="R151" s="14">
        <f t="shared" si="58"/>
        <v>-1.2315588085262889E-2</v>
      </c>
      <c r="S151" s="14">
        <f t="shared" si="59"/>
        <v>3.0394412988520823E-2</v>
      </c>
      <c r="T151" s="14">
        <f t="shared" si="60"/>
        <v>2.8331360481041463E-2</v>
      </c>
      <c r="U151" s="14">
        <f t="shared" si="61"/>
        <v>1.3508311435408401E-2</v>
      </c>
      <c r="V151" s="14">
        <f t="shared" si="62"/>
        <v>0.23833576405846249</v>
      </c>
      <c r="W151" s="14">
        <f t="shared" si="63"/>
        <v>-4.925444145293883E-3</v>
      </c>
      <c r="X151" s="14">
        <f t="shared" si="64"/>
        <v>-4.4811027645996065E-3</v>
      </c>
      <c r="Y151" s="14">
        <f t="shared" si="65"/>
        <v>-3.0563551979087052E-3</v>
      </c>
      <c r="Z151" s="14">
        <f t="shared" si="66"/>
        <v>-2.4967234171237123E-2</v>
      </c>
      <c r="AA151" s="14">
        <f t="shared" si="67"/>
        <v>-5.7101243569828201E-2</v>
      </c>
      <c r="AB151" s="14">
        <f t="shared" si="68"/>
        <v>-1.5716795834883734E-2</v>
      </c>
      <c r="AC151" s="14">
        <f t="shared" si="69"/>
        <v>5.1653197566190301E-2</v>
      </c>
      <c r="AD151" s="14">
        <f t="shared" si="70"/>
        <v>-4.9455682430481415E-2</v>
      </c>
      <c r="AE151" s="14">
        <f t="shared" si="71"/>
        <v>3.5378042506088843E-2</v>
      </c>
      <c r="AM151" s="14">
        <f t="shared" si="72"/>
        <v>-2.0121704505794903E-2</v>
      </c>
      <c r="AN151" s="14">
        <f t="shared" si="73"/>
        <v>9.5977064687008153E-3</v>
      </c>
      <c r="AO151" s="14">
        <f t="shared" si="74"/>
        <v>2.0453424141412026E-2</v>
      </c>
      <c r="AP151" s="14">
        <f t="shared" si="75"/>
        <v>3.6738033958769907E-3</v>
      </c>
      <c r="AQ151" s="14">
        <f t="shared" si="76"/>
        <v>0.22451282459469898</v>
      </c>
      <c r="AR151" s="14">
        <f t="shared" si="77"/>
        <v>-1.3438048974931237E-2</v>
      </c>
      <c r="AS151" s="14">
        <f t="shared" si="78"/>
        <v>-1.7294105759439203E-2</v>
      </c>
      <c r="AT151" s="14">
        <f t="shared" si="79"/>
        <v>-8.4522865084535291E-3</v>
      </c>
      <c r="AU151" s="14">
        <f t="shared" si="80"/>
        <v>-4.1090726747994959E-2</v>
      </c>
      <c r="AV151" s="14">
        <f t="shared" si="81"/>
        <v>-7.9152631779962651E-2</v>
      </c>
      <c r="AW151" s="14">
        <f t="shared" si="82"/>
        <v>-2.8804583711708118E-2</v>
      </c>
      <c r="AX151" s="14">
        <f t="shared" si="83"/>
        <v>2.4944344929374421E-2</v>
      </c>
      <c r="AY151" s="14">
        <f t="shared" si="84"/>
        <v>-6.0726613918561323E-2</v>
      </c>
      <c r="AZ151" s="14">
        <f t="shared" si="85"/>
        <v>3.07639905093684E-2</v>
      </c>
    </row>
    <row r="152" spans="2:52" x14ac:dyDescent="0.3">
      <c r="B152" s="13">
        <v>-3.7422926484739362E-2</v>
      </c>
      <c r="C152" s="13">
        <v>-4.4349002169463948E-2</v>
      </c>
      <c r="D152" s="13">
        <v>-4.2414409702738291E-2</v>
      </c>
      <c r="E152" s="13">
        <v>3.5777526357158744E-2</v>
      </c>
      <c r="F152" s="13">
        <v>-7.8044878024436187E-2</v>
      </c>
      <c r="G152" s="13">
        <v>5.2376134407314888E-2</v>
      </c>
      <c r="H152" s="13">
        <v>-1.0680470868656745E-2</v>
      </c>
      <c r="I152" s="13">
        <v>0.18152379049715689</v>
      </c>
      <c r="J152" s="13">
        <v>8.3147476959898759E-3</v>
      </c>
      <c r="K152" s="13">
        <v>-0.11437488200931507</v>
      </c>
      <c r="L152" s="13">
        <v>-5.7946878043583609E-2</v>
      </c>
      <c r="M152" s="13">
        <v>-6.7783489079275464E-2</v>
      </c>
      <c r="N152" s="13">
        <v>-0.13598272355587571</v>
      </c>
      <c r="O152" s="13">
        <v>4.0078223567410524E-2</v>
      </c>
      <c r="R152" s="14">
        <f t="shared" si="58"/>
        <v>-2.9938341187791491E-2</v>
      </c>
      <c r="S152" s="14">
        <f t="shared" si="59"/>
        <v>-3.5479201735571161E-2</v>
      </c>
      <c r="T152" s="14">
        <f t="shared" si="60"/>
        <v>-3.3931527762190633E-2</v>
      </c>
      <c r="U152" s="14">
        <f t="shared" si="61"/>
        <v>4.2933031628590489E-2</v>
      </c>
      <c r="V152" s="14">
        <f t="shared" si="62"/>
        <v>-6.2435902419548953E-2</v>
      </c>
      <c r="W152" s="14">
        <f t="shared" si="63"/>
        <v>6.2851361288777857E-2</v>
      </c>
      <c r="X152" s="14">
        <f t="shared" si="64"/>
        <v>-8.5443766949253961E-3</v>
      </c>
      <c r="Y152" s="14">
        <f t="shared" si="65"/>
        <v>0.21782854859658826</v>
      </c>
      <c r="Z152" s="14">
        <f t="shared" si="66"/>
        <v>9.9776972351878507E-3</v>
      </c>
      <c r="AA152" s="14">
        <f t="shared" si="67"/>
        <v>-9.1499905607452067E-2</v>
      </c>
      <c r="AB152" s="14">
        <f t="shared" si="68"/>
        <v>-4.6357502434866887E-2</v>
      </c>
      <c r="AC152" s="14">
        <f t="shared" si="69"/>
        <v>-5.4226791263420372E-2</v>
      </c>
      <c r="AD152" s="14">
        <f t="shared" si="70"/>
        <v>-0.10878617884470057</v>
      </c>
      <c r="AE152" s="14">
        <f t="shared" si="71"/>
        <v>4.8093868280892627E-2</v>
      </c>
      <c r="AM152" s="14">
        <f t="shared" si="72"/>
        <v>-3.7744457608323505E-2</v>
      </c>
      <c r="AN152" s="14">
        <f t="shared" si="73"/>
        <v>-5.6275908255391166E-2</v>
      </c>
      <c r="AO152" s="14">
        <f t="shared" si="74"/>
        <v>-4.1809464101820071E-2</v>
      </c>
      <c r="AP152" s="14">
        <f t="shared" si="75"/>
        <v>3.3098523589059077E-2</v>
      </c>
      <c r="AQ152" s="14">
        <f t="shared" si="76"/>
        <v>-7.6258841883312445E-2</v>
      </c>
      <c r="AR152" s="14">
        <f t="shared" si="77"/>
        <v>5.4338756459140505E-2</v>
      </c>
      <c r="AS152" s="14">
        <f t="shared" si="78"/>
        <v>-2.1357379689764994E-2</v>
      </c>
      <c r="AT152" s="14">
        <f t="shared" si="79"/>
        <v>0.21243261728604343</v>
      </c>
      <c r="AU152" s="14">
        <f t="shared" si="80"/>
        <v>-6.1457953415699849E-3</v>
      </c>
      <c r="AV152" s="14">
        <f t="shared" si="81"/>
        <v>-0.11355129381758652</v>
      </c>
      <c r="AW152" s="14">
        <f t="shared" si="82"/>
        <v>-5.9445290311691275E-2</v>
      </c>
      <c r="AX152" s="14">
        <f t="shared" si="83"/>
        <v>-8.0935643900236248E-2</v>
      </c>
      <c r="AY152" s="14">
        <f t="shared" si="84"/>
        <v>-0.12005711033278048</v>
      </c>
      <c r="AZ152" s="14">
        <f t="shared" si="85"/>
        <v>4.3479816284172183E-2</v>
      </c>
    </row>
    <row r="153" spans="2:52" x14ac:dyDescent="0.3">
      <c r="B153" s="13">
        <v>1.8005687947755061E-2</v>
      </c>
      <c r="C153" s="13">
        <v>8.6475783067821915E-2</v>
      </c>
      <c r="D153" s="13">
        <v>2.9224925102625973E-2</v>
      </c>
      <c r="E153" s="13">
        <v>4.0389885295007026E-2</v>
      </c>
      <c r="F153" s="13">
        <v>0.25475367468111143</v>
      </c>
      <c r="G153" s="13">
        <v>5.0489657254678591E-2</v>
      </c>
      <c r="H153" s="13">
        <v>3.8361815813333922E-2</v>
      </c>
      <c r="I153" s="13">
        <v>-4.2386132816084679E-2</v>
      </c>
      <c r="J153" s="13">
        <v>8.5021803018383857E-2</v>
      </c>
      <c r="K153" s="13">
        <v>0.39232875071113965</v>
      </c>
      <c r="L153" s="13">
        <v>-1.6656727589421282E-2</v>
      </c>
      <c r="M153" s="13">
        <v>0.33138160228265956</v>
      </c>
      <c r="N153" s="13">
        <v>0.11653077211128754</v>
      </c>
      <c r="O153" s="13">
        <v>7.4655819034779219E-2</v>
      </c>
      <c r="R153" s="14">
        <f t="shared" si="58"/>
        <v>2.1606825537306074E-2</v>
      </c>
      <c r="S153" s="14">
        <f t="shared" si="59"/>
        <v>0.1037709396813863</v>
      </c>
      <c r="T153" s="14">
        <f t="shared" si="60"/>
        <v>3.5069910123151166E-2</v>
      </c>
      <c r="U153" s="14">
        <f t="shared" si="61"/>
        <v>4.8467862354008427E-2</v>
      </c>
      <c r="V153" s="14">
        <f t="shared" si="62"/>
        <v>0.30570440961733369</v>
      </c>
      <c r="W153" s="14">
        <f t="shared" si="63"/>
        <v>6.0587588705614308E-2</v>
      </c>
      <c r="X153" s="14">
        <f t="shared" si="64"/>
        <v>4.6034178976000706E-2</v>
      </c>
      <c r="Y153" s="14">
        <f t="shared" si="65"/>
        <v>-3.3908906252867743E-2</v>
      </c>
      <c r="Z153" s="14">
        <f t="shared" si="66"/>
        <v>0.10202616362206063</v>
      </c>
      <c r="AA153" s="14">
        <f t="shared" si="67"/>
        <v>0.47079450085336755</v>
      </c>
      <c r="AB153" s="14">
        <f t="shared" si="68"/>
        <v>-1.3325382071537027E-2</v>
      </c>
      <c r="AC153" s="14">
        <f t="shared" si="69"/>
        <v>0.39765792273919148</v>
      </c>
      <c r="AD153" s="14">
        <f t="shared" si="70"/>
        <v>0.13983692653354504</v>
      </c>
      <c r="AE153" s="14">
        <f t="shared" si="71"/>
        <v>8.9586982841735066E-2</v>
      </c>
      <c r="AM153" s="14">
        <f t="shared" si="72"/>
        <v>1.380070911677406E-2</v>
      </c>
      <c r="AN153" s="14">
        <f t="shared" si="73"/>
        <v>8.2974233161566296E-2</v>
      </c>
      <c r="AO153" s="14">
        <f t="shared" si="74"/>
        <v>2.7191973783521728E-2</v>
      </c>
      <c r="AP153" s="14">
        <f t="shared" si="75"/>
        <v>3.8633354314477016E-2</v>
      </c>
      <c r="AQ153" s="14">
        <f t="shared" si="76"/>
        <v>0.29188147015357019</v>
      </c>
      <c r="AR153" s="14">
        <f t="shared" si="77"/>
        <v>5.2074983875976956E-2</v>
      </c>
      <c r="AS153" s="14">
        <f t="shared" si="78"/>
        <v>3.3221175981161109E-2</v>
      </c>
      <c r="AT153" s="14">
        <f t="shared" si="79"/>
        <v>-3.9304837563412569E-2</v>
      </c>
      <c r="AU153" s="14">
        <f t="shared" si="80"/>
        <v>8.5902671045302789E-2</v>
      </c>
      <c r="AV153" s="14">
        <f t="shared" si="81"/>
        <v>0.44874311264323308</v>
      </c>
      <c r="AW153" s="14">
        <f t="shared" si="82"/>
        <v>-2.641316994836141E-2</v>
      </c>
      <c r="AX153" s="14">
        <f t="shared" si="83"/>
        <v>0.3709490701023756</v>
      </c>
      <c r="AY153" s="14">
        <f t="shared" si="84"/>
        <v>0.12856599504546515</v>
      </c>
      <c r="AZ153" s="14">
        <f t="shared" si="85"/>
        <v>8.497293084501463E-2</v>
      </c>
    </row>
    <row r="154" spans="2:52" x14ac:dyDescent="0.3">
      <c r="B154" s="13">
        <v>-8.6733882961758553E-3</v>
      </c>
      <c r="C154" s="13">
        <v>-3.9022940934756778E-2</v>
      </c>
      <c r="D154" s="13">
        <v>-1.8005596641390301E-2</v>
      </c>
      <c r="E154" s="13">
        <v>-3.3408648028362915E-2</v>
      </c>
      <c r="F154" s="13">
        <v>-1.5577783004996771E-3</v>
      </c>
      <c r="G154" s="13">
        <v>-2.7120141149262408E-2</v>
      </c>
      <c r="H154" s="13">
        <v>-6.1694186028579158E-2</v>
      </c>
      <c r="I154" s="13">
        <v>-0.12488563497387067</v>
      </c>
      <c r="J154" s="13">
        <v>2.0157255871019374E-2</v>
      </c>
      <c r="K154" s="13">
        <v>0.12193583493093371</v>
      </c>
      <c r="L154" s="13">
        <v>1.6656727589421345E-2</v>
      </c>
      <c r="M154" s="13">
        <v>0.11901916501781334</v>
      </c>
      <c r="N154" s="13">
        <v>-6.9409028045245541E-2</v>
      </c>
      <c r="O154" s="13">
        <v>-3.9360444419652731E-3</v>
      </c>
      <c r="R154" s="14">
        <f t="shared" si="58"/>
        <v>-6.9387106369406849E-3</v>
      </c>
      <c r="S154" s="14">
        <f t="shared" si="59"/>
        <v>-3.1218352747805423E-2</v>
      </c>
      <c r="T154" s="14">
        <f t="shared" si="60"/>
        <v>-1.4404477313112242E-2</v>
      </c>
      <c r="U154" s="14">
        <f t="shared" si="61"/>
        <v>-2.6726918422690333E-2</v>
      </c>
      <c r="V154" s="14">
        <f t="shared" si="62"/>
        <v>-1.2462226403997419E-3</v>
      </c>
      <c r="W154" s="14">
        <f t="shared" si="63"/>
        <v>-2.1696112919409927E-2</v>
      </c>
      <c r="X154" s="14">
        <f t="shared" si="64"/>
        <v>-4.9355348822863326E-2</v>
      </c>
      <c r="Y154" s="14">
        <f t="shared" si="65"/>
        <v>-9.9908507979096547E-2</v>
      </c>
      <c r="Z154" s="14">
        <f t="shared" si="66"/>
        <v>2.4188707045223249E-2</v>
      </c>
      <c r="AA154" s="14">
        <f t="shared" si="67"/>
        <v>0.14632300191712044</v>
      </c>
      <c r="AB154" s="14">
        <f t="shared" si="68"/>
        <v>1.9988073107305614E-2</v>
      </c>
      <c r="AC154" s="14">
        <f t="shared" si="69"/>
        <v>0.14282299802137602</v>
      </c>
      <c r="AD154" s="14">
        <f t="shared" si="70"/>
        <v>-5.5527222436196434E-2</v>
      </c>
      <c r="AE154" s="14">
        <f t="shared" si="71"/>
        <v>-3.1488355535722184E-3</v>
      </c>
      <c r="AM154" s="14">
        <f t="shared" si="72"/>
        <v>-1.4744827057472699E-2</v>
      </c>
      <c r="AN154" s="14">
        <f t="shared" si="73"/>
        <v>-5.2015059267625431E-2</v>
      </c>
      <c r="AO154" s="14">
        <f t="shared" si="74"/>
        <v>-2.2282413652741681E-2</v>
      </c>
      <c r="AP154" s="14">
        <f t="shared" si="75"/>
        <v>-3.6561426462221741E-2</v>
      </c>
      <c r="AQ154" s="14">
        <f t="shared" si="76"/>
        <v>-1.5069162104163241E-2</v>
      </c>
      <c r="AR154" s="14">
        <f t="shared" si="77"/>
        <v>-3.0208717749047279E-2</v>
      </c>
      <c r="AS154" s="14">
        <f t="shared" si="78"/>
        <v>-6.2168351817702923E-2</v>
      </c>
      <c r="AT154" s="14">
        <f t="shared" si="79"/>
        <v>-0.10530443928964137</v>
      </c>
      <c r="AU154" s="14">
        <f t="shared" si="80"/>
        <v>8.0652144684654134E-3</v>
      </c>
      <c r="AV154" s="14">
        <f t="shared" si="81"/>
        <v>0.12427161370698599</v>
      </c>
      <c r="AW154" s="14">
        <f t="shared" si="82"/>
        <v>6.9002852304812286E-3</v>
      </c>
      <c r="AX154" s="14">
        <f t="shared" si="83"/>
        <v>0.11611414538456014</v>
      </c>
      <c r="AY154" s="14">
        <f t="shared" si="84"/>
        <v>-6.6798153924276335E-2</v>
      </c>
      <c r="AZ154" s="14">
        <f t="shared" si="85"/>
        <v>-7.7628875502926608E-3</v>
      </c>
    </row>
    <row r="155" spans="2:52" x14ac:dyDescent="0.3">
      <c r="B155" s="13">
        <v>2.1413529531905433E-2</v>
      </c>
      <c r="C155" s="13">
        <v>-2.1131969225961531E-4</v>
      </c>
      <c r="D155" s="13">
        <v>4.8077015681030778E-3</v>
      </c>
      <c r="E155" s="13">
        <v>-4.5849394208657607E-2</v>
      </c>
      <c r="F155" s="13">
        <v>9.4652352199479983E-2</v>
      </c>
      <c r="G155" s="13">
        <v>-2.7470268592904974E-2</v>
      </c>
      <c r="H155" s="13">
        <v>9.0908083715072353E-3</v>
      </c>
      <c r="I155" s="13">
        <v>7.4512203109842787E-2</v>
      </c>
      <c r="J155" s="13">
        <v>0.10025171957971366</v>
      </c>
      <c r="K155" s="13">
        <v>-3.9640340855734459E-3</v>
      </c>
      <c r="L155" s="13">
        <v>-2.4040947836872044E-2</v>
      </c>
      <c r="M155" s="13">
        <v>-2.1826873271124019E-2</v>
      </c>
      <c r="N155" s="13">
        <v>4.7801930670168932E-3</v>
      </c>
      <c r="O155" s="13">
        <v>5.6774915232279129E-2</v>
      </c>
      <c r="R155" s="14">
        <f t="shared" si="58"/>
        <v>2.5696235438286519E-2</v>
      </c>
      <c r="S155" s="14">
        <f t="shared" si="59"/>
        <v>-1.6905575380769225E-4</v>
      </c>
      <c r="T155" s="14">
        <f t="shared" si="60"/>
        <v>5.7692418817236928E-3</v>
      </c>
      <c r="U155" s="14">
        <f t="shared" si="61"/>
        <v>-3.667951536692609E-2</v>
      </c>
      <c r="V155" s="14">
        <f t="shared" si="62"/>
        <v>0.11358282263937597</v>
      </c>
      <c r="W155" s="14">
        <f t="shared" si="63"/>
        <v>-2.1976214874323982E-2</v>
      </c>
      <c r="X155" s="14">
        <f t="shared" si="64"/>
        <v>1.0908970045808682E-2</v>
      </c>
      <c r="Y155" s="14">
        <f t="shared" si="65"/>
        <v>8.9414643731811336E-2</v>
      </c>
      <c r="Z155" s="14">
        <f t="shared" si="66"/>
        <v>0.12030206349565638</v>
      </c>
      <c r="AA155" s="14">
        <f t="shared" si="67"/>
        <v>-3.1712272684587569E-3</v>
      </c>
      <c r="AB155" s="14">
        <f t="shared" si="68"/>
        <v>-1.9232758269497635E-2</v>
      </c>
      <c r="AC155" s="14">
        <f t="shared" si="69"/>
        <v>-1.7461498616899215E-2</v>
      </c>
      <c r="AD155" s="14">
        <f t="shared" si="70"/>
        <v>5.7362316804202718E-3</v>
      </c>
      <c r="AE155" s="14">
        <f t="shared" si="71"/>
        <v>6.8129898278734946E-2</v>
      </c>
      <c r="AM155" s="14">
        <f t="shared" si="72"/>
        <v>1.7890119017754506E-2</v>
      </c>
      <c r="AN155" s="14">
        <f t="shared" si="73"/>
        <v>-2.0965762273627699E-2</v>
      </c>
      <c r="AO155" s="14">
        <f t="shared" si="74"/>
        <v>-2.1086944579057467E-3</v>
      </c>
      <c r="AP155" s="14">
        <f t="shared" si="75"/>
        <v>-4.6514023406457501E-2</v>
      </c>
      <c r="AQ155" s="14">
        <f t="shared" si="76"/>
        <v>9.9759883175612463E-2</v>
      </c>
      <c r="AR155" s="14">
        <f t="shared" si="77"/>
        <v>-3.0488819703961334E-2</v>
      </c>
      <c r="AS155" s="14">
        <f t="shared" si="78"/>
        <v>-1.9040329490309163E-3</v>
      </c>
      <c r="AT155" s="14">
        <f t="shared" si="79"/>
        <v>8.4018712421266517E-2</v>
      </c>
      <c r="AU155" s="14">
        <f t="shared" si="80"/>
        <v>0.10417857091889854</v>
      </c>
      <c r="AV155" s="14">
        <f t="shared" si="81"/>
        <v>-2.5222615478593214E-2</v>
      </c>
      <c r="AW155" s="14">
        <f t="shared" si="82"/>
        <v>-3.2320546146322023E-2</v>
      </c>
      <c r="AX155" s="14">
        <f t="shared" si="83"/>
        <v>-4.4170351253715094E-2</v>
      </c>
      <c r="AY155" s="14">
        <f t="shared" si="84"/>
        <v>-5.5346998076596342E-3</v>
      </c>
      <c r="AZ155" s="14">
        <f t="shared" si="85"/>
        <v>6.351584628201451E-2</v>
      </c>
    </row>
    <row r="156" spans="2:52" x14ac:dyDescent="0.3">
      <c r="B156" s="13">
        <v>3.1937645965089051E-2</v>
      </c>
      <c r="C156" s="13">
        <v>-2.6411242516535895E-2</v>
      </c>
      <c r="D156" s="13">
        <v>1.5372836828988743E-2</v>
      </c>
      <c r="E156" s="13">
        <v>2.5112943592418991E-2</v>
      </c>
      <c r="F156" s="13">
        <v>-2.1212742893624719E-2</v>
      </c>
      <c r="G156" s="13">
        <v>5.3196413313867777E-2</v>
      </c>
      <c r="H156" s="13">
        <v>2.6786843242608636E-2</v>
      </c>
      <c r="I156" s="13">
        <v>3.3580425981406765E-2</v>
      </c>
      <c r="J156" s="13">
        <v>-7.3240468773888248E-2</v>
      </c>
      <c r="K156" s="13">
        <v>-2.8095849769302041E-2</v>
      </c>
      <c r="L156" s="13">
        <v>6.273109022027613E-3</v>
      </c>
      <c r="M156" s="13">
        <v>4.1549002912872481E-2</v>
      </c>
      <c r="N156" s="13">
        <v>-2.4596699082397415E-3</v>
      </c>
      <c r="O156" s="13">
        <v>-3.7852297276504923E-2</v>
      </c>
      <c r="R156" s="14">
        <f t="shared" si="58"/>
        <v>3.8325175158106857E-2</v>
      </c>
      <c r="S156" s="14">
        <f t="shared" si="59"/>
        <v>-2.1128994013228718E-2</v>
      </c>
      <c r="T156" s="14">
        <f t="shared" si="60"/>
        <v>1.844740419478649E-2</v>
      </c>
      <c r="U156" s="14">
        <f t="shared" si="61"/>
        <v>3.0135532310902789E-2</v>
      </c>
      <c r="V156" s="14">
        <f t="shared" si="62"/>
        <v>-1.6970194314899777E-2</v>
      </c>
      <c r="W156" s="14">
        <f t="shared" si="63"/>
        <v>6.3835695976641335E-2</v>
      </c>
      <c r="X156" s="14">
        <f t="shared" si="64"/>
        <v>3.2144211891130363E-2</v>
      </c>
      <c r="Y156" s="14">
        <f t="shared" si="65"/>
        <v>4.0296511177688114E-2</v>
      </c>
      <c r="Z156" s="14">
        <f t="shared" si="66"/>
        <v>-5.8592375019110604E-2</v>
      </c>
      <c r="AA156" s="14">
        <f t="shared" si="67"/>
        <v>-2.2476679815441634E-2</v>
      </c>
      <c r="AB156" s="14">
        <f t="shared" si="68"/>
        <v>7.5277308264331353E-3</v>
      </c>
      <c r="AC156" s="14">
        <f t="shared" si="69"/>
        <v>4.9858803495446975E-2</v>
      </c>
      <c r="AD156" s="14">
        <f t="shared" si="70"/>
        <v>-1.9677359265917933E-3</v>
      </c>
      <c r="AE156" s="14">
        <f t="shared" si="71"/>
        <v>-3.0281837821203941E-2</v>
      </c>
      <c r="AM156" s="14">
        <f t="shared" si="72"/>
        <v>3.0519058737574843E-2</v>
      </c>
      <c r="AN156" s="14">
        <f t="shared" si="73"/>
        <v>-4.1925700533048726E-2</v>
      </c>
      <c r="AO156" s="14">
        <f t="shared" si="74"/>
        <v>1.056946785515705E-2</v>
      </c>
      <c r="AP156" s="14">
        <f t="shared" si="75"/>
        <v>2.0301024271371378E-2</v>
      </c>
      <c r="AQ156" s="14">
        <f t="shared" si="76"/>
        <v>-3.0793133778663277E-2</v>
      </c>
      <c r="AR156" s="14">
        <f t="shared" si="77"/>
        <v>5.5323091147003983E-2</v>
      </c>
      <c r="AS156" s="14">
        <f t="shared" si="78"/>
        <v>1.9331208896290766E-2</v>
      </c>
      <c r="AT156" s="14">
        <f t="shared" si="79"/>
        <v>3.4900579867143289E-2</v>
      </c>
      <c r="AU156" s="14">
        <f t="shared" si="80"/>
        <v>-7.4715867595868443E-2</v>
      </c>
      <c r="AV156" s="14">
        <f t="shared" si="81"/>
        <v>-4.4528068025576087E-2</v>
      </c>
      <c r="AW156" s="14">
        <f t="shared" si="82"/>
        <v>-5.5600570503912504E-3</v>
      </c>
      <c r="AX156" s="14">
        <f t="shared" si="83"/>
        <v>2.3149950858631096E-2</v>
      </c>
      <c r="AY156" s="14">
        <f t="shared" si="84"/>
        <v>-1.3238667414671699E-2</v>
      </c>
      <c r="AZ156" s="14">
        <f t="shared" si="85"/>
        <v>-3.489588981792438E-2</v>
      </c>
    </row>
    <row r="157" spans="2:52" x14ac:dyDescent="0.3">
      <c r="B157" s="13">
        <v>2.2951212560818574E-2</v>
      </c>
      <c r="C157" s="13">
        <v>2.9857218007132806E-2</v>
      </c>
      <c r="D157" s="13">
        <v>4.639656606737326E-2</v>
      </c>
      <c r="E157" s="13">
        <v>3.3524643326054357E-2</v>
      </c>
      <c r="F157" s="13">
        <v>0.12013665881291236</v>
      </c>
      <c r="G157" s="13">
        <v>8.807307368051126E-2</v>
      </c>
      <c r="H157" s="13">
        <v>8.2594978411714093E-2</v>
      </c>
      <c r="I157" s="13">
        <v>5.1970457101762402E-2</v>
      </c>
      <c r="J157" s="13">
        <v>5.5324525620661237E-2</v>
      </c>
      <c r="K157" s="13">
        <v>0.14850149380012254</v>
      </c>
      <c r="L157" s="13">
        <v>-8.5092959599970708E-2</v>
      </c>
      <c r="M157" s="13">
        <v>0.12931111036207568</v>
      </c>
      <c r="N157" s="13">
        <v>0.19770315811911487</v>
      </c>
      <c r="O157" s="13">
        <v>4.1803493584913233E-2</v>
      </c>
      <c r="R157" s="14">
        <f t="shared" si="58"/>
        <v>2.754145507298229E-2</v>
      </c>
      <c r="S157" s="14">
        <f t="shared" si="59"/>
        <v>3.5828661608559367E-2</v>
      </c>
      <c r="T157" s="14">
        <f t="shared" si="60"/>
        <v>5.5675879280847912E-2</v>
      </c>
      <c r="U157" s="14">
        <f t="shared" si="61"/>
        <v>4.0229571991265228E-2</v>
      </c>
      <c r="V157" s="14">
        <f t="shared" si="62"/>
        <v>0.14416399057549481</v>
      </c>
      <c r="W157" s="14">
        <f t="shared" si="63"/>
        <v>0.10568768841661351</v>
      </c>
      <c r="X157" s="14">
        <f t="shared" si="64"/>
        <v>9.9113974094056909E-2</v>
      </c>
      <c r="Y157" s="14">
        <f t="shared" si="65"/>
        <v>6.2364548522114878E-2</v>
      </c>
      <c r="Z157" s="14">
        <f t="shared" si="66"/>
        <v>6.6389430744793476E-2</v>
      </c>
      <c r="AA157" s="14">
        <f t="shared" si="67"/>
        <v>0.17820179256014704</v>
      </c>
      <c r="AB157" s="14">
        <f t="shared" si="68"/>
        <v>-6.8074367679976572E-2</v>
      </c>
      <c r="AC157" s="14">
        <f t="shared" si="69"/>
        <v>0.1551733324344908</v>
      </c>
      <c r="AD157" s="14">
        <f t="shared" si="70"/>
        <v>0.23724378974293783</v>
      </c>
      <c r="AE157" s="14">
        <f t="shared" si="71"/>
        <v>5.016419230189588E-2</v>
      </c>
      <c r="AM157" s="14">
        <f t="shared" si="72"/>
        <v>1.9735338652450276E-2</v>
      </c>
      <c r="AN157" s="14">
        <f t="shared" si="73"/>
        <v>1.5031955088739359E-2</v>
      </c>
      <c r="AO157" s="14">
        <f t="shared" si="74"/>
        <v>4.7797942941218474E-2</v>
      </c>
      <c r="AP157" s="14">
        <f t="shared" si="75"/>
        <v>3.0395063951733817E-2</v>
      </c>
      <c r="AQ157" s="14">
        <f t="shared" si="76"/>
        <v>0.1303410511117313</v>
      </c>
      <c r="AR157" s="14">
        <f t="shared" si="77"/>
        <v>9.7175083586976158E-2</v>
      </c>
      <c r="AS157" s="14">
        <f t="shared" si="78"/>
        <v>8.6300971099217305E-2</v>
      </c>
      <c r="AT157" s="14">
        <f t="shared" si="79"/>
        <v>5.6968617211570052E-2</v>
      </c>
      <c r="AU157" s="14">
        <f t="shared" si="80"/>
        <v>5.0265938168035637E-2</v>
      </c>
      <c r="AV157" s="14">
        <f t="shared" si="81"/>
        <v>0.15615040435001259</v>
      </c>
      <c r="AW157" s="14">
        <f t="shared" si="82"/>
        <v>-8.1162155556800952E-2</v>
      </c>
      <c r="AX157" s="14">
        <f t="shared" si="83"/>
        <v>0.12846447979767492</v>
      </c>
      <c r="AY157" s="14">
        <f t="shared" si="84"/>
        <v>0.22597285825485794</v>
      </c>
      <c r="AZ157" s="14">
        <f t="shared" si="85"/>
        <v>4.5550140305175436E-2</v>
      </c>
    </row>
    <row r="158" spans="2:52" x14ac:dyDescent="0.3">
      <c r="B158" s="13">
        <v>2.1550012109691326E-2</v>
      </c>
      <c r="C158" s="13">
        <v>-5.9217125020602904E-2</v>
      </c>
      <c r="D158" s="13">
        <v>8.3068144132540205E-3</v>
      </c>
      <c r="E158" s="13">
        <v>8.2948798215992853E-2</v>
      </c>
      <c r="F158" s="13">
        <v>0.114024890740485</v>
      </c>
      <c r="G158" s="13">
        <v>1.8922314167646639E-3</v>
      </c>
      <c r="H158" s="13">
        <v>-5.4978757910612132E-3</v>
      </c>
      <c r="I158" s="13">
        <v>-9.5229797183004214E-2</v>
      </c>
      <c r="J158" s="13">
        <v>6.4606928012681765E-3</v>
      </c>
      <c r="K158" s="13">
        <v>-0.10109487849277794</v>
      </c>
      <c r="L158" s="13">
        <v>-9.7840235012267573E-2</v>
      </c>
      <c r="M158" s="13">
        <v>-3.543078307873997E-3</v>
      </c>
      <c r="N158" s="13">
        <v>-1.3524232224142502E-2</v>
      </c>
      <c r="O158" s="13">
        <v>-2.8588500693793355E-2</v>
      </c>
      <c r="R158" s="14">
        <f t="shared" si="58"/>
        <v>2.5860014531629592E-2</v>
      </c>
      <c r="S158" s="14">
        <f t="shared" si="59"/>
        <v>-4.7373700016482327E-2</v>
      </c>
      <c r="T158" s="14">
        <f t="shared" si="60"/>
        <v>9.9681772959048249E-3</v>
      </c>
      <c r="U158" s="14">
        <f t="shared" si="61"/>
        <v>9.9538557859191426E-2</v>
      </c>
      <c r="V158" s="14">
        <f t="shared" si="62"/>
        <v>0.13682986888858198</v>
      </c>
      <c r="W158" s="14">
        <f t="shared" si="63"/>
        <v>2.2706777001175967E-3</v>
      </c>
      <c r="X158" s="14">
        <f t="shared" si="64"/>
        <v>-4.3983006328489711E-3</v>
      </c>
      <c r="Y158" s="14">
        <f t="shared" si="65"/>
        <v>-7.6183837746403374E-2</v>
      </c>
      <c r="Z158" s="14">
        <f t="shared" si="66"/>
        <v>7.7528313615218116E-3</v>
      </c>
      <c r="AA158" s="14">
        <f t="shared" si="67"/>
        <v>-8.0875902794222354E-2</v>
      </c>
      <c r="AB158" s="14">
        <f t="shared" si="68"/>
        <v>-7.8272188009814059E-2</v>
      </c>
      <c r="AC158" s="14">
        <f t="shared" si="69"/>
        <v>-2.8344626462991976E-3</v>
      </c>
      <c r="AD158" s="14">
        <f t="shared" si="70"/>
        <v>-1.0819385779314003E-2</v>
      </c>
      <c r="AE158" s="14">
        <f t="shared" si="71"/>
        <v>-2.2870800555034685E-2</v>
      </c>
      <c r="AM158" s="14">
        <f t="shared" si="72"/>
        <v>1.8053898111097578E-2</v>
      </c>
      <c r="AN158" s="14">
        <f t="shared" si="73"/>
        <v>-6.8170406536302339E-2</v>
      </c>
      <c r="AO158" s="14">
        <f t="shared" si="74"/>
        <v>2.0902409562753854E-3</v>
      </c>
      <c r="AP158" s="14">
        <f t="shared" si="75"/>
        <v>8.9704049819660014E-2</v>
      </c>
      <c r="AQ158" s="14">
        <f t="shared" si="76"/>
        <v>0.12300692942481847</v>
      </c>
      <c r="AR158" s="14">
        <f t="shared" si="77"/>
        <v>-6.2419271295197573E-3</v>
      </c>
      <c r="AS158" s="14">
        <f t="shared" si="78"/>
        <v>-1.7211303627688569E-2</v>
      </c>
      <c r="AT158" s="14">
        <f t="shared" si="79"/>
        <v>-8.1579769056948193E-2</v>
      </c>
      <c r="AU158" s="14">
        <f t="shared" si="80"/>
        <v>-8.3706612152360249E-3</v>
      </c>
      <c r="AV158" s="14">
        <f t="shared" si="81"/>
        <v>-0.10292729100435681</v>
      </c>
      <c r="AW158" s="14">
        <f t="shared" si="82"/>
        <v>-9.1359975886638439E-2</v>
      </c>
      <c r="AX158" s="14">
        <f t="shared" si="83"/>
        <v>-2.9543315283115077E-2</v>
      </c>
      <c r="AY158" s="14">
        <f t="shared" si="84"/>
        <v>-2.2090317267393911E-2</v>
      </c>
      <c r="AZ158" s="14">
        <f t="shared" si="85"/>
        <v>-2.7484852551755128E-2</v>
      </c>
    </row>
    <row r="159" spans="2:52" x14ac:dyDescent="0.3">
      <c r="B159" s="13">
        <v>2.5308740115828361E-2</v>
      </c>
      <c r="C159" s="13">
        <v>3.346350027344173E-3</v>
      </c>
      <c r="D159" s="13">
        <v>-2.4144994992573873E-2</v>
      </c>
      <c r="E159" s="13">
        <v>8.3414695556723317E-3</v>
      </c>
      <c r="F159" s="13">
        <v>-3.5394285851094734E-2</v>
      </c>
      <c r="G159" s="13">
        <v>-1.1229615332297601E-2</v>
      </c>
      <c r="H159" s="13">
        <v>-5.8244728517860424E-2</v>
      </c>
      <c r="I159" s="13">
        <v>7.9260652724207226E-3</v>
      </c>
      <c r="J159" s="13">
        <v>-1.5692288433397907E-2</v>
      </c>
      <c r="K159" s="13">
        <v>-0.10826970242135046</v>
      </c>
      <c r="L159" s="13">
        <v>1.3260595439390142E-2</v>
      </c>
      <c r="M159" s="13">
        <v>5.7224140613773573E-2</v>
      </c>
      <c r="N159" s="13">
        <v>-2.9345546273936603E-2</v>
      </c>
      <c r="O159" s="13">
        <v>2.1371614522501216E-2</v>
      </c>
      <c r="R159" s="14">
        <f t="shared" si="58"/>
        <v>3.0370488138994033E-2</v>
      </c>
      <c r="S159" s="14">
        <f t="shared" si="59"/>
        <v>4.0156200328130076E-3</v>
      </c>
      <c r="T159" s="14">
        <f t="shared" si="60"/>
        <v>-1.9315995994059101E-2</v>
      </c>
      <c r="U159" s="14">
        <f t="shared" si="61"/>
        <v>1.0009763466806798E-2</v>
      </c>
      <c r="V159" s="14">
        <f t="shared" si="62"/>
        <v>-2.831542868087579E-2</v>
      </c>
      <c r="W159" s="14">
        <f t="shared" si="63"/>
        <v>-8.9836922658380804E-3</v>
      </c>
      <c r="X159" s="14">
        <f t="shared" si="64"/>
        <v>-4.659578281428834E-2</v>
      </c>
      <c r="Y159" s="14">
        <f t="shared" si="65"/>
        <v>9.5112783269048675E-3</v>
      </c>
      <c r="Z159" s="14">
        <f t="shared" si="66"/>
        <v>-1.2553830746718326E-2</v>
      </c>
      <c r="AA159" s="14">
        <f t="shared" si="67"/>
        <v>-8.6615761937080371E-2</v>
      </c>
      <c r="AB159" s="14">
        <f t="shared" si="68"/>
        <v>1.5912714527268172E-2</v>
      </c>
      <c r="AC159" s="14">
        <f t="shared" si="69"/>
        <v>6.866896873652828E-2</v>
      </c>
      <c r="AD159" s="14">
        <f t="shared" si="70"/>
        <v>-2.3476437019149282E-2</v>
      </c>
      <c r="AE159" s="14">
        <f t="shared" si="71"/>
        <v>2.5645937427001459E-2</v>
      </c>
      <c r="AM159" s="14">
        <f t="shared" si="72"/>
        <v>2.2564371718462019E-2</v>
      </c>
      <c r="AN159" s="14">
        <f t="shared" si="73"/>
        <v>-1.6781086487007001E-2</v>
      </c>
      <c r="AO159" s="14">
        <f t="shared" si="74"/>
        <v>-2.7193932333688539E-2</v>
      </c>
      <c r="AP159" s="14">
        <f t="shared" si="75"/>
        <v>1.7525542727538784E-4</v>
      </c>
      <c r="AQ159" s="14">
        <f t="shared" si="76"/>
        <v>-4.2138368144639289E-2</v>
      </c>
      <c r="AR159" s="14">
        <f t="shared" si="77"/>
        <v>-1.7496297095475434E-2</v>
      </c>
      <c r="AS159" s="14">
        <f t="shared" si="78"/>
        <v>-5.9408785809127937E-2</v>
      </c>
      <c r="AT159" s="14">
        <f t="shared" si="79"/>
        <v>4.1153470163600428E-3</v>
      </c>
      <c r="AU159" s="14">
        <f t="shared" si="80"/>
        <v>-2.867732332347616E-2</v>
      </c>
      <c r="AV159" s="14">
        <f t="shared" si="81"/>
        <v>-0.10866715014721483</v>
      </c>
      <c r="AW159" s="14">
        <f t="shared" si="82"/>
        <v>2.8249266504437858E-3</v>
      </c>
      <c r="AX159" s="14">
        <f t="shared" si="83"/>
        <v>4.1960116099712397E-2</v>
      </c>
      <c r="AY159" s="14">
        <f t="shared" si="84"/>
        <v>-3.474736850722919E-2</v>
      </c>
      <c r="AZ159" s="14">
        <f t="shared" si="85"/>
        <v>2.1031885430281016E-2</v>
      </c>
    </row>
    <row r="160" spans="2:52" x14ac:dyDescent="0.3">
      <c r="B160" s="13">
        <v>4.3130556196045514E-3</v>
      </c>
      <c r="C160" s="13">
        <v>1.7003832448698949E-2</v>
      </c>
      <c r="D160" s="13">
        <v>-1.4000436264893463E-2</v>
      </c>
      <c r="E160" s="13">
        <v>7.0281675141135366E-3</v>
      </c>
      <c r="F160" s="13">
        <v>2.4862899988415111E-2</v>
      </c>
      <c r="G160" s="13">
        <v>-5.2154262690361558E-3</v>
      </c>
      <c r="H160" s="13">
        <v>2.4573832028983205E-2</v>
      </c>
      <c r="I160" s="13">
        <v>-3.6627586984919781E-2</v>
      </c>
      <c r="J160" s="13">
        <v>-2.0355376020253106E-2</v>
      </c>
      <c r="K160" s="13">
        <v>-4.7766326230091333E-2</v>
      </c>
      <c r="L160" s="13">
        <v>6.564934131150094E-3</v>
      </c>
      <c r="M160" s="13">
        <v>-1.8418111320567261E-2</v>
      </c>
      <c r="N160" s="13">
        <v>-4.5179615971545573E-2</v>
      </c>
      <c r="O160" s="13">
        <v>-2.1013640650770937E-2</v>
      </c>
      <c r="R160" s="14">
        <f t="shared" si="58"/>
        <v>5.1756667435254615E-3</v>
      </c>
      <c r="S160" s="14">
        <f t="shared" si="59"/>
        <v>2.0404598938438739E-2</v>
      </c>
      <c r="T160" s="14">
        <f t="shared" si="60"/>
        <v>-1.1200349011914771E-2</v>
      </c>
      <c r="U160" s="14">
        <f t="shared" si="61"/>
        <v>8.4338010169362435E-3</v>
      </c>
      <c r="V160" s="14">
        <f t="shared" si="62"/>
        <v>2.9835479986098132E-2</v>
      </c>
      <c r="W160" s="14">
        <f t="shared" si="63"/>
        <v>-4.1723410152289244E-3</v>
      </c>
      <c r="X160" s="14">
        <f t="shared" si="64"/>
        <v>2.9488598434779845E-2</v>
      </c>
      <c r="Y160" s="14">
        <f t="shared" si="65"/>
        <v>-2.9302069587935825E-2</v>
      </c>
      <c r="Z160" s="14">
        <f t="shared" si="66"/>
        <v>-1.6284300816202486E-2</v>
      </c>
      <c r="AA160" s="14">
        <f t="shared" si="67"/>
        <v>-3.8213060984073066E-2</v>
      </c>
      <c r="AB160" s="14">
        <f t="shared" si="68"/>
        <v>7.8779209573801127E-3</v>
      </c>
      <c r="AC160" s="14">
        <f t="shared" si="69"/>
        <v>-1.473448905645381E-2</v>
      </c>
      <c r="AD160" s="14">
        <f t="shared" si="70"/>
        <v>-3.6143692777236461E-2</v>
      </c>
      <c r="AE160" s="14">
        <f t="shared" si="71"/>
        <v>-1.6810912520616752E-2</v>
      </c>
      <c r="AM160" s="14">
        <f t="shared" si="72"/>
        <v>-2.6304496770065515E-3</v>
      </c>
      <c r="AN160" s="14">
        <f t="shared" si="73"/>
        <v>-3.9210758138126869E-4</v>
      </c>
      <c r="AO160" s="14">
        <f t="shared" si="74"/>
        <v>-1.9078285351544211E-2</v>
      </c>
      <c r="AP160" s="14">
        <f t="shared" si="75"/>
        <v>-1.4007070225951664E-3</v>
      </c>
      <c r="AQ160" s="14">
        <f t="shared" si="76"/>
        <v>1.6012540522334633E-2</v>
      </c>
      <c r="AR160" s="14">
        <f t="shared" si="77"/>
        <v>-1.2684945844866277E-2</v>
      </c>
      <c r="AS160" s="14">
        <f t="shared" si="78"/>
        <v>1.6675595439940245E-2</v>
      </c>
      <c r="AT160" s="14">
        <f t="shared" si="79"/>
        <v>-3.4698000898480651E-2</v>
      </c>
      <c r="AU160" s="14">
        <f t="shared" si="80"/>
        <v>-3.2407793392960321E-2</v>
      </c>
      <c r="AV160" s="14">
        <f t="shared" si="81"/>
        <v>-6.0264449194207523E-2</v>
      </c>
      <c r="AW160" s="14">
        <f t="shared" si="82"/>
        <v>-5.209866919444273E-3</v>
      </c>
      <c r="AX160" s="14">
        <f t="shared" si="83"/>
        <v>-4.1443341693269686E-2</v>
      </c>
      <c r="AY160" s="14">
        <f t="shared" si="84"/>
        <v>-4.7414624265316369E-2</v>
      </c>
      <c r="AZ160" s="14">
        <f t="shared" si="85"/>
        <v>-2.1424964517337195E-2</v>
      </c>
    </row>
    <row r="161" spans="2:52" x14ac:dyDescent="0.3">
      <c r="B161" s="13">
        <v>-4.9032769596374787E-2</v>
      </c>
      <c r="C161" s="13">
        <v>5.3017957676272764E-2</v>
      </c>
      <c r="D161" s="13">
        <v>-1.6817747762663812E-2</v>
      </c>
      <c r="E161" s="13">
        <v>-5.0448683253868322E-3</v>
      </c>
      <c r="F161" s="13">
        <v>-5.0408486336816029E-2</v>
      </c>
      <c r="G161" s="13">
        <v>1.9645494553435752E-3</v>
      </c>
      <c r="H161" s="13">
        <v>8.0037622975390327E-3</v>
      </c>
      <c r="I161" s="13">
        <v>8.5417751154351768E-2</v>
      </c>
      <c r="J161" s="13">
        <v>1.128847717834683E-2</v>
      </c>
      <c r="K161" s="13">
        <v>1.8420984753385494E-2</v>
      </c>
      <c r="L161" s="13">
        <v>5.5056856003747406E-2</v>
      </c>
      <c r="M161" s="13">
        <v>1.0190690191534436E-2</v>
      </c>
      <c r="N161" s="13">
        <v>4.5333929074922886E-3</v>
      </c>
      <c r="O161" s="13">
        <v>-1.3452040467279738E-2</v>
      </c>
      <c r="R161" s="14">
        <f t="shared" si="58"/>
        <v>-3.9226215677099829E-2</v>
      </c>
      <c r="S161" s="14">
        <f t="shared" si="59"/>
        <v>6.3621549211527309E-2</v>
      </c>
      <c r="T161" s="14">
        <f t="shared" si="60"/>
        <v>-1.345419821013105E-2</v>
      </c>
      <c r="U161" s="14">
        <f t="shared" si="61"/>
        <v>-4.0358946603094659E-3</v>
      </c>
      <c r="V161" s="14">
        <f t="shared" si="62"/>
        <v>-4.0326789069452827E-2</v>
      </c>
      <c r="W161" s="14">
        <f t="shared" si="63"/>
        <v>2.35745934641229E-3</v>
      </c>
      <c r="X161" s="14">
        <f t="shared" si="64"/>
        <v>9.6045147570468382E-3</v>
      </c>
      <c r="Y161" s="14">
        <f t="shared" si="65"/>
        <v>0.10250130138522212</v>
      </c>
      <c r="Z161" s="14">
        <f t="shared" si="66"/>
        <v>1.3546172614016196E-2</v>
      </c>
      <c r="AA161" s="14">
        <f t="shared" si="67"/>
        <v>2.2105181704062591E-2</v>
      </c>
      <c r="AB161" s="14">
        <f t="shared" si="68"/>
        <v>6.6068227204496885E-2</v>
      </c>
      <c r="AC161" s="14">
        <f t="shared" si="69"/>
        <v>1.2228828229841324E-2</v>
      </c>
      <c r="AD161" s="14">
        <f t="shared" si="70"/>
        <v>5.4400714889907458E-3</v>
      </c>
      <c r="AE161" s="14">
        <f t="shared" si="71"/>
        <v>-1.0761632373823792E-2</v>
      </c>
      <c r="AM161" s="14">
        <f t="shared" si="72"/>
        <v>-4.7032332097631843E-2</v>
      </c>
      <c r="AN161" s="14">
        <f t="shared" si="73"/>
        <v>4.2824842691707304E-2</v>
      </c>
      <c r="AO161" s="14">
        <f t="shared" si="74"/>
        <v>-2.133213454976049E-2</v>
      </c>
      <c r="AP161" s="14">
        <f t="shared" si="75"/>
        <v>-1.3870402699840877E-2</v>
      </c>
      <c r="AQ161" s="14">
        <f t="shared" si="76"/>
        <v>-5.4149728533216326E-2</v>
      </c>
      <c r="AR161" s="14">
        <f t="shared" si="77"/>
        <v>-6.1551454832250631E-3</v>
      </c>
      <c r="AS161" s="14">
        <f t="shared" si="78"/>
        <v>-3.2084882377927601E-3</v>
      </c>
      <c r="AT161" s="14">
        <f t="shared" si="79"/>
        <v>9.7105370074677302E-2</v>
      </c>
      <c r="AU161" s="14">
        <f t="shared" si="80"/>
        <v>-2.5773199627416397E-3</v>
      </c>
      <c r="AV161" s="14">
        <f t="shared" si="81"/>
        <v>5.37934939281344E-5</v>
      </c>
      <c r="AW161" s="14">
        <f t="shared" si="82"/>
        <v>5.2980439327672497E-2</v>
      </c>
      <c r="AX161" s="14">
        <f t="shared" si="83"/>
        <v>-1.4480024406974556E-2</v>
      </c>
      <c r="AY161" s="14">
        <f t="shared" si="84"/>
        <v>-5.8308599990891602E-3</v>
      </c>
      <c r="AZ161" s="14">
        <f t="shared" si="85"/>
        <v>-1.5375684370544235E-2</v>
      </c>
    </row>
    <row r="162" spans="2:52" x14ac:dyDescent="0.3">
      <c r="B162" s="13">
        <v>-2.7114799141222005E-2</v>
      </c>
      <c r="C162" s="13">
        <v>-6.1078971574034066E-2</v>
      </c>
      <c r="D162" s="13">
        <v>-1.0447679028990815E-2</v>
      </c>
      <c r="E162" s="13">
        <v>1.302660215994348E-3</v>
      </c>
      <c r="F162" s="13">
        <v>-3.9002434668046884E-2</v>
      </c>
      <c r="G162" s="13">
        <v>-2.3696186933897148E-2</v>
      </c>
      <c r="H162" s="13">
        <v>1.840296427834465E-2</v>
      </c>
      <c r="I162" s="13">
        <v>4.0922240122063407E-2</v>
      </c>
      <c r="J162" s="13">
        <v>-2.876473288413928E-2</v>
      </c>
      <c r="K162" s="13">
        <v>-4.484819335518013E-2</v>
      </c>
      <c r="L162" s="13">
        <v>2.1140493190398062E-2</v>
      </c>
      <c r="M162" s="13">
        <v>-0.172084982181827</v>
      </c>
      <c r="N162" s="13">
        <v>2.3121678949954184E-2</v>
      </c>
      <c r="O162" s="13">
        <v>-3.9965851643192829E-2</v>
      </c>
      <c r="R162" s="14">
        <f t="shared" si="58"/>
        <v>-2.1691839312977607E-2</v>
      </c>
      <c r="S162" s="14">
        <f t="shared" si="59"/>
        <v>-4.8863177259227258E-2</v>
      </c>
      <c r="T162" s="14">
        <f t="shared" si="60"/>
        <v>-8.358143223192652E-3</v>
      </c>
      <c r="U162" s="14">
        <f t="shared" si="61"/>
        <v>1.5631922591932176E-3</v>
      </c>
      <c r="V162" s="14">
        <f t="shared" si="62"/>
        <v>-3.1201947734437508E-2</v>
      </c>
      <c r="W162" s="14">
        <f t="shared" si="63"/>
        <v>-1.895694954711772E-2</v>
      </c>
      <c r="X162" s="14">
        <f t="shared" si="64"/>
        <v>2.2083557134013578E-2</v>
      </c>
      <c r="Y162" s="14">
        <f t="shared" si="65"/>
        <v>4.9106688146476084E-2</v>
      </c>
      <c r="Z162" s="14">
        <f t="shared" si="66"/>
        <v>-2.3011786307311426E-2</v>
      </c>
      <c r="AA162" s="14">
        <f t="shared" si="67"/>
        <v>-3.5878554684144102E-2</v>
      </c>
      <c r="AB162" s="14">
        <f t="shared" si="68"/>
        <v>2.5368591828477675E-2</v>
      </c>
      <c r="AC162" s="14">
        <f t="shared" si="69"/>
        <v>-0.1376679857454616</v>
      </c>
      <c r="AD162" s="14">
        <f t="shared" si="70"/>
        <v>2.7746014739945021E-2</v>
      </c>
      <c r="AE162" s="14">
        <f t="shared" si="71"/>
        <v>-3.1972681314554267E-2</v>
      </c>
      <c r="AM162" s="14">
        <f t="shared" si="72"/>
        <v>-2.949795573350962E-2</v>
      </c>
      <c r="AN162" s="14">
        <f t="shared" si="73"/>
        <v>-6.9659883779047263E-2</v>
      </c>
      <c r="AO162" s="14">
        <f t="shared" si="74"/>
        <v>-1.6236079562822091E-2</v>
      </c>
      <c r="AP162" s="14">
        <f t="shared" si="75"/>
        <v>-8.2713157803381929E-3</v>
      </c>
      <c r="AQ162" s="14">
        <f t="shared" si="76"/>
        <v>-4.5024887198201011E-2</v>
      </c>
      <c r="AR162" s="14">
        <f t="shared" si="77"/>
        <v>-2.7469554376755072E-2</v>
      </c>
      <c r="AS162" s="14">
        <f t="shared" si="78"/>
        <v>9.2705541391739799E-3</v>
      </c>
      <c r="AT162" s="14">
        <f t="shared" si="79"/>
        <v>4.3710756835931258E-2</v>
      </c>
      <c r="AU162" s="14">
        <f t="shared" si="80"/>
        <v>-3.9135278884069258E-2</v>
      </c>
      <c r="AV162" s="14">
        <f t="shared" si="81"/>
        <v>-5.7929942894278559E-2</v>
      </c>
      <c r="AW162" s="14">
        <f t="shared" si="82"/>
        <v>1.2280803951653289E-2</v>
      </c>
      <c r="AX162" s="14">
        <f t="shared" si="83"/>
        <v>-0.16437683838227748</v>
      </c>
      <c r="AY162" s="14">
        <f t="shared" si="84"/>
        <v>1.6475083251865114E-2</v>
      </c>
      <c r="AZ162" s="14">
        <f t="shared" si="85"/>
        <v>-3.6586733311274711E-2</v>
      </c>
    </row>
    <row r="163" spans="2:52" x14ac:dyDescent="0.3">
      <c r="B163" s="13">
        <v>-2.9434680749242069E-2</v>
      </c>
      <c r="C163" s="13">
        <v>1.3157122771778593E-2</v>
      </c>
      <c r="D163" s="13">
        <v>2.3775265493658267E-2</v>
      </c>
      <c r="E163" s="13">
        <v>2.0410975567777729E-2</v>
      </c>
      <c r="F163" s="13">
        <v>7.7385046605772362E-2</v>
      </c>
      <c r="G163" s="13">
        <v>3.1471757622371407E-2</v>
      </c>
      <c r="H163" s="13">
        <v>-5.0300033614477345E-3</v>
      </c>
      <c r="I163" s="13">
        <v>-0.1382394451861558</v>
      </c>
      <c r="J163" s="13">
        <v>2.3122417420854212E-2</v>
      </c>
      <c r="K163" s="13">
        <v>0.13262287277273044</v>
      </c>
      <c r="L163" s="13">
        <v>2.0554320498149006E-2</v>
      </c>
      <c r="M163" s="13">
        <v>6.4900855129856799E-2</v>
      </c>
      <c r="N163" s="13">
        <v>-4.2565104806499589E-2</v>
      </c>
      <c r="O163" s="13">
        <v>-1.7647890254253347E-2</v>
      </c>
      <c r="R163" s="14">
        <f t="shared" si="58"/>
        <v>-2.3547744599393655E-2</v>
      </c>
      <c r="S163" s="14">
        <f t="shared" si="59"/>
        <v>1.5788547326134311E-2</v>
      </c>
      <c r="T163" s="14">
        <f t="shared" si="60"/>
        <v>2.8530318592389921E-2</v>
      </c>
      <c r="U163" s="14">
        <f t="shared" si="61"/>
        <v>2.4493170681333273E-2</v>
      </c>
      <c r="V163" s="14">
        <f t="shared" si="62"/>
        <v>9.2862055926926826E-2</v>
      </c>
      <c r="W163" s="14">
        <f t="shared" si="63"/>
        <v>3.7766109146845687E-2</v>
      </c>
      <c r="X163" s="14">
        <f t="shared" si="64"/>
        <v>-4.0240026891581876E-3</v>
      </c>
      <c r="Y163" s="14">
        <f t="shared" si="65"/>
        <v>-0.11059155614892464</v>
      </c>
      <c r="Z163" s="14">
        <f t="shared" si="66"/>
        <v>2.7746900905025053E-2</v>
      </c>
      <c r="AA163" s="14">
        <f t="shared" si="67"/>
        <v>0.15914744732727651</v>
      </c>
      <c r="AB163" s="14">
        <f t="shared" si="68"/>
        <v>2.4665184597778805E-2</v>
      </c>
      <c r="AC163" s="14">
        <f t="shared" si="69"/>
        <v>7.7881026155828162E-2</v>
      </c>
      <c r="AD163" s="14">
        <f t="shared" si="70"/>
        <v>-3.4052083845199671E-2</v>
      </c>
      <c r="AE163" s="14">
        <f t="shared" si="71"/>
        <v>-1.4118312203402678E-2</v>
      </c>
      <c r="AM163" s="14">
        <f t="shared" si="72"/>
        <v>-3.1353861019925669E-2</v>
      </c>
      <c r="AN163" s="14">
        <f t="shared" si="73"/>
        <v>-5.0081591936856976E-3</v>
      </c>
      <c r="AO163" s="14">
        <f t="shared" si="74"/>
        <v>2.0652382252760483E-2</v>
      </c>
      <c r="AP163" s="14">
        <f t="shared" si="75"/>
        <v>1.4658662641801863E-2</v>
      </c>
      <c r="AQ163" s="14">
        <f t="shared" si="76"/>
        <v>7.9039116463163334E-2</v>
      </c>
      <c r="AR163" s="14">
        <f t="shared" si="77"/>
        <v>2.9253504317208336E-2</v>
      </c>
      <c r="AS163" s="14">
        <f t="shared" si="78"/>
        <v>-1.6837005683997784E-2</v>
      </c>
      <c r="AT163" s="14">
        <f t="shared" si="79"/>
        <v>-0.11598748745946946</v>
      </c>
      <c r="AU163" s="14">
        <f t="shared" si="80"/>
        <v>1.1623408328267217E-2</v>
      </c>
      <c r="AV163" s="14">
        <f t="shared" si="81"/>
        <v>0.13709605911714207</v>
      </c>
      <c r="AW163" s="14">
        <f t="shared" si="82"/>
        <v>1.157739672095442E-2</v>
      </c>
      <c r="AX163" s="14">
        <f t="shared" si="83"/>
        <v>5.1172173519012279E-2</v>
      </c>
      <c r="AY163" s="14">
        <f t="shared" si="84"/>
        <v>-4.5323015333279579E-2</v>
      </c>
      <c r="AZ163" s="14">
        <f t="shared" si="85"/>
        <v>-1.8732364200123121E-2</v>
      </c>
    </row>
    <row r="164" spans="2:52" x14ac:dyDescent="0.3">
      <c r="B164" s="13">
        <v>-3.1807611203474903E-2</v>
      </c>
      <c r="C164" s="13">
        <v>3.5033725861122911E-2</v>
      </c>
      <c r="D164" s="13">
        <v>3.4432841884476414E-2</v>
      </c>
      <c r="E164" s="13">
        <v>2.1252156453090889E-2</v>
      </c>
      <c r="F164" s="13">
        <v>-4.7831655338815733E-2</v>
      </c>
      <c r="G164" s="13">
        <v>3.8677535174221463E-2</v>
      </c>
      <c r="H164" s="13">
        <v>5.5113687824549361E-2</v>
      </c>
      <c r="I164" s="13">
        <v>2.7586224390798823E-3</v>
      </c>
      <c r="J164" s="13">
        <v>4.8976888098646067E-2</v>
      </c>
      <c r="K164" s="13">
        <v>8.4923338448672815E-3</v>
      </c>
      <c r="L164" s="13">
        <v>1.7954860556595852E-2</v>
      </c>
      <c r="M164" s="13">
        <v>9.5728094416522941E-2</v>
      </c>
      <c r="N164" s="13">
        <v>6.8738084342659544E-2</v>
      </c>
      <c r="O164" s="13">
        <v>2.6543519922660738E-2</v>
      </c>
      <c r="R164" s="14">
        <f t="shared" si="58"/>
        <v>-2.5446088962779924E-2</v>
      </c>
      <c r="S164" s="14">
        <f t="shared" si="59"/>
        <v>4.2040471033347494E-2</v>
      </c>
      <c r="T164" s="14">
        <f t="shared" si="60"/>
        <v>4.1319410261371696E-2</v>
      </c>
      <c r="U164" s="14">
        <f t="shared" si="61"/>
        <v>2.5502587743709067E-2</v>
      </c>
      <c r="V164" s="14">
        <f t="shared" si="62"/>
        <v>-3.8265324271052586E-2</v>
      </c>
      <c r="W164" s="14">
        <f t="shared" si="63"/>
        <v>4.6413042209065752E-2</v>
      </c>
      <c r="X164" s="14">
        <f t="shared" si="64"/>
        <v>6.6136425389459227E-2</v>
      </c>
      <c r="Y164" s="14">
        <f t="shared" si="65"/>
        <v>3.3103469268958587E-3</v>
      </c>
      <c r="Z164" s="14">
        <f t="shared" si="66"/>
        <v>5.877226571837528E-2</v>
      </c>
      <c r="AA164" s="14">
        <f t="shared" si="67"/>
        <v>1.0190800613840737E-2</v>
      </c>
      <c r="AB164" s="14">
        <f t="shared" si="68"/>
        <v>2.1545832667915023E-2</v>
      </c>
      <c r="AC164" s="14">
        <f t="shared" si="69"/>
        <v>0.11487371329982753</v>
      </c>
      <c r="AD164" s="14">
        <f t="shared" si="70"/>
        <v>8.2485701211191448E-2</v>
      </c>
      <c r="AE164" s="14">
        <f t="shared" si="71"/>
        <v>3.1852223907192882E-2</v>
      </c>
      <c r="AM164" s="14">
        <f t="shared" si="72"/>
        <v>-3.3252205383311938E-2</v>
      </c>
      <c r="AN164" s="14">
        <f t="shared" si="73"/>
        <v>2.1243764513527486E-2</v>
      </c>
      <c r="AO164" s="14">
        <f t="shared" si="74"/>
        <v>3.3441473921742258E-2</v>
      </c>
      <c r="AP164" s="14">
        <f t="shared" si="75"/>
        <v>1.5668079704177655E-2</v>
      </c>
      <c r="AQ164" s="14">
        <f t="shared" si="76"/>
        <v>-5.2088263734816086E-2</v>
      </c>
      <c r="AR164" s="14">
        <f t="shared" si="77"/>
        <v>3.7900437379428401E-2</v>
      </c>
      <c r="AS164" s="14">
        <f t="shared" si="78"/>
        <v>5.3323422394619631E-2</v>
      </c>
      <c r="AT164" s="14">
        <f t="shared" si="79"/>
        <v>-2.085584383648966E-3</v>
      </c>
      <c r="AU164" s="14">
        <f t="shared" si="80"/>
        <v>4.2648773141617441E-2</v>
      </c>
      <c r="AV164" s="14">
        <f t="shared" si="81"/>
        <v>-1.186058759629372E-2</v>
      </c>
      <c r="AW164" s="14">
        <f t="shared" si="82"/>
        <v>8.4580447910906371E-3</v>
      </c>
      <c r="AX164" s="14">
        <f t="shared" si="83"/>
        <v>8.8164860663011643E-2</v>
      </c>
      <c r="AY164" s="14">
        <f t="shared" si="84"/>
        <v>7.121476972311154E-2</v>
      </c>
      <c r="AZ164" s="14">
        <f t="shared" si="85"/>
        <v>2.7238171910472439E-2</v>
      </c>
    </row>
    <row r="165" spans="2:52" x14ac:dyDescent="0.3">
      <c r="B165" s="13">
        <v>5.7647067608566346E-2</v>
      </c>
      <c r="C165" s="13">
        <v>-0.17210884455753109</v>
      </c>
      <c r="D165" s="13">
        <v>-6.7536600343915731E-2</v>
      </c>
      <c r="E165" s="13">
        <v>1.8851212570764792E-2</v>
      </c>
      <c r="F165" s="13">
        <v>-4.8817868592728776E-3</v>
      </c>
      <c r="G165" s="13">
        <v>1.1978218681348254E-2</v>
      </c>
      <c r="H165" s="13">
        <v>6.2399135641081203E-2</v>
      </c>
      <c r="I165" s="13">
        <v>3.6072441216701404E-2</v>
      </c>
      <c r="J165" s="13">
        <v>5.9915199338169696E-2</v>
      </c>
      <c r="K165" s="13">
        <v>-2.2636841231032191E-2</v>
      </c>
      <c r="L165" s="13">
        <v>-2.5257970741572273E-2</v>
      </c>
      <c r="M165" s="13">
        <v>4.3482418014136909E-2</v>
      </c>
      <c r="N165" s="13">
        <v>1.7921845118861295E-2</v>
      </c>
      <c r="O165" s="13">
        <v>8.1068845505785622E-2</v>
      </c>
      <c r="R165" s="14">
        <f t="shared" si="58"/>
        <v>6.9176481130279618E-2</v>
      </c>
      <c r="S165" s="14">
        <f t="shared" si="59"/>
        <v>-0.13768707564602486</v>
      </c>
      <c r="T165" s="14">
        <f t="shared" si="60"/>
        <v>-5.4029280275132589E-2</v>
      </c>
      <c r="U165" s="14">
        <f t="shared" si="61"/>
        <v>2.2621455084917749E-2</v>
      </c>
      <c r="V165" s="14">
        <f t="shared" si="62"/>
        <v>-3.9054294874183021E-3</v>
      </c>
      <c r="W165" s="14">
        <f t="shared" si="63"/>
        <v>1.4373862417617905E-2</v>
      </c>
      <c r="X165" s="14">
        <f t="shared" si="64"/>
        <v>7.4878962769297439E-2</v>
      </c>
      <c r="Y165" s="14">
        <f t="shared" si="65"/>
        <v>4.328692946004168E-2</v>
      </c>
      <c r="Z165" s="14">
        <f t="shared" si="66"/>
        <v>7.1898239205803627E-2</v>
      </c>
      <c r="AA165" s="14">
        <f t="shared" si="67"/>
        <v>-1.8109472984825754E-2</v>
      </c>
      <c r="AB165" s="14">
        <f t="shared" si="68"/>
        <v>-2.0206376593257819E-2</v>
      </c>
      <c r="AC165" s="14">
        <f t="shared" si="69"/>
        <v>5.2178901616964292E-2</v>
      </c>
      <c r="AD165" s="14">
        <f t="shared" si="70"/>
        <v>2.1506214142633553E-2</v>
      </c>
      <c r="AE165" s="14">
        <f t="shared" si="71"/>
        <v>9.7282614606942749E-2</v>
      </c>
      <c r="AM165" s="14">
        <f t="shared" si="72"/>
        <v>6.1370364709747605E-2</v>
      </c>
      <c r="AN165" s="14">
        <f t="shared" si="73"/>
        <v>-0.15848378216584488</v>
      </c>
      <c r="AO165" s="14">
        <f t="shared" si="74"/>
        <v>-6.1907216614762027E-2</v>
      </c>
      <c r="AP165" s="14">
        <f t="shared" si="75"/>
        <v>1.2786947045386339E-2</v>
      </c>
      <c r="AQ165" s="14">
        <f t="shared" si="76"/>
        <v>-1.7728368951181801E-2</v>
      </c>
      <c r="AR165" s="14">
        <f t="shared" si="77"/>
        <v>5.8612575879805513E-3</v>
      </c>
      <c r="AS165" s="14">
        <f t="shared" si="78"/>
        <v>6.2065959774457842E-2</v>
      </c>
      <c r="AT165" s="14">
        <f t="shared" si="79"/>
        <v>3.7890998149496855E-2</v>
      </c>
      <c r="AU165" s="14">
        <f t="shared" si="80"/>
        <v>5.5774746629045788E-2</v>
      </c>
      <c r="AV165" s="14">
        <f t="shared" si="81"/>
        <v>-4.0160861194960207E-2</v>
      </c>
      <c r="AW165" s="14">
        <f t="shared" si="82"/>
        <v>-3.3294164470082203E-2</v>
      </c>
      <c r="AX165" s="14">
        <f t="shared" si="83"/>
        <v>2.5470048980148412E-2</v>
      </c>
      <c r="AY165" s="14">
        <f t="shared" si="84"/>
        <v>1.0235282654553647E-2</v>
      </c>
      <c r="AZ165" s="14">
        <f t="shared" si="85"/>
        <v>9.2668562610222313E-2</v>
      </c>
    </row>
    <row r="166" spans="2:52" x14ac:dyDescent="0.3">
      <c r="B166" s="13">
        <v>-3.6110301266312858E-2</v>
      </c>
      <c r="C166" s="13">
        <v>7.8228017163709224E-2</v>
      </c>
      <c r="D166" s="13">
        <v>-1.2875870469575232E-2</v>
      </c>
      <c r="E166" s="13">
        <v>-9.6026052095827485E-2</v>
      </c>
      <c r="F166" s="13">
        <v>-0.11230498801063743</v>
      </c>
      <c r="G166" s="13">
        <v>-3.6548420199219084E-2</v>
      </c>
      <c r="H166" s="13">
        <v>3.6108503500613634E-2</v>
      </c>
      <c r="I166" s="13">
        <v>-3.3321407844811558E-2</v>
      </c>
      <c r="J166" s="13">
        <v>5.740540856430848E-2</v>
      </c>
      <c r="K166" s="13">
        <v>-5.9541814860866273E-2</v>
      </c>
      <c r="L166" s="13">
        <v>0.10968920366176307</v>
      </c>
      <c r="M166" s="13">
        <v>0.29550086218968008</v>
      </c>
      <c r="N166" s="13">
        <v>2.6706403612974095E-2</v>
      </c>
      <c r="O166" s="13">
        <v>-9.4765530644836445E-3</v>
      </c>
      <c r="R166" s="14">
        <f t="shared" si="58"/>
        <v>-2.8888241013050289E-2</v>
      </c>
      <c r="S166" s="14">
        <f t="shared" si="59"/>
        <v>9.387362059645106E-2</v>
      </c>
      <c r="T166" s="14">
        <f t="shared" si="60"/>
        <v>-1.0300696375660187E-2</v>
      </c>
      <c r="U166" s="14">
        <f t="shared" si="61"/>
        <v>-7.6820841676661991E-2</v>
      </c>
      <c r="V166" s="14">
        <f t="shared" si="62"/>
        <v>-8.9843990408509947E-2</v>
      </c>
      <c r="W166" s="14">
        <f t="shared" si="63"/>
        <v>-2.9238736159375268E-2</v>
      </c>
      <c r="X166" s="14">
        <f t="shared" si="64"/>
        <v>4.3330204200736362E-2</v>
      </c>
      <c r="Y166" s="14">
        <f t="shared" si="65"/>
        <v>-2.6657126275849249E-2</v>
      </c>
      <c r="Z166" s="14">
        <f t="shared" si="66"/>
        <v>6.888649027717017E-2</v>
      </c>
      <c r="AA166" s="14">
        <f t="shared" si="67"/>
        <v>-4.7633451888693022E-2</v>
      </c>
      <c r="AB166" s="14">
        <f t="shared" si="68"/>
        <v>0.13162704439411568</v>
      </c>
      <c r="AC166" s="14">
        <f t="shared" si="69"/>
        <v>0.35460103462761611</v>
      </c>
      <c r="AD166" s="14">
        <f t="shared" si="70"/>
        <v>3.2047684335568913E-2</v>
      </c>
      <c r="AE166" s="14">
        <f t="shared" si="71"/>
        <v>-7.5812424515869156E-3</v>
      </c>
      <c r="AM166" s="14">
        <f t="shared" si="72"/>
        <v>-3.6694357433582299E-2</v>
      </c>
      <c r="AN166" s="14">
        <f t="shared" si="73"/>
        <v>7.3076914076631055E-2</v>
      </c>
      <c r="AO166" s="14">
        <f t="shared" si="74"/>
        <v>-1.8178632715289626E-2</v>
      </c>
      <c r="AP166" s="14">
        <f t="shared" si="75"/>
        <v>-8.6655349716193403E-2</v>
      </c>
      <c r="AQ166" s="14">
        <f t="shared" si="76"/>
        <v>-0.10366692987227344</v>
      </c>
      <c r="AR166" s="14">
        <f t="shared" si="77"/>
        <v>-3.7751340989012623E-2</v>
      </c>
      <c r="AS166" s="14">
        <f t="shared" si="78"/>
        <v>3.0517201205896766E-2</v>
      </c>
      <c r="AT166" s="14">
        <f t="shared" si="79"/>
        <v>-3.2053057586394075E-2</v>
      </c>
      <c r="AU166" s="14">
        <f t="shared" si="80"/>
        <v>5.2762997700412331E-2</v>
      </c>
      <c r="AV166" s="14">
        <f t="shared" si="81"/>
        <v>-6.9684840098827472E-2</v>
      </c>
      <c r="AW166" s="14">
        <f t="shared" si="82"/>
        <v>0.1185392565172913</v>
      </c>
      <c r="AX166" s="14">
        <f t="shared" si="83"/>
        <v>0.32789218199080022</v>
      </c>
      <c r="AY166" s="14">
        <f t="shared" si="84"/>
        <v>2.0776752847489005E-2</v>
      </c>
      <c r="AZ166" s="14">
        <f t="shared" si="85"/>
        <v>-1.2195294448307359E-2</v>
      </c>
    </row>
    <row r="167" spans="2:52" x14ac:dyDescent="0.3">
      <c r="B167" s="13">
        <v>7.1902719493774789E-2</v>
      </c>
      <c r="C167" s="13">
        <v>6.7091290546472768E-2</v>
      </c>
      <c r="D167" s="13">
        <v>-3.2266766365797958E-3</v>
      </c>
      <c r="E167" s="13">
        <v>-5.936800239137093E-4</v>
      </c>
      <c r="F167" s="13">
        <v>-1.6112745100844924E-2</v>
      </c>
      <c r="G167" s="13">
        <v>-2.0531645593625599E-3</v>
      </c>
      <c r="H167" s="13">
        <v>3.0529042139645631E-2</v>
      </c>
      <c r="I167" s="13">
        <v>-6.4308903302904025E-3</v>
      </c>
      <c r="J167" s="13">
        <v>6.907351530932275E-2</v>
      </c>
      <c r="K167" s="13">
        <v>-6.559766999073781E-4</v>
      </c>
      <c r="L167" s="13">
        <v>6.2609718493390421E-2</v>
      </c>
      <c r="M167" s="13">
        <v>7.2289191782761025E-2</v>
      </c>
      <c r="N167" s="13">
        <v>0.15317541449462227</v>
      </c>
      <c r="O167" s="13">
        <v>-1.191463691683395E-2</v>
      </c>
      <c r="R167" s="14">
        <f t="shared" si="58"/>
        <v>8.6283263392529744E-2</v>
      </c>
      <c r="S167" s="14">
        <f t="shared" si="59"/>
        <v>8.0509548655767316E-2</v>
      </c>
      <c r="T167" s="14">
        <f t="shared" si="60"/>
        <v>-2.5813413092638368E-3</v>
      </c>
      <c r="U167" s="14">
        <f t="shared" si="61"/>
        <v>-4.7494401913096747E-4</v>
      </c>
      <c r="V167" s="14">
        <f t="shared" si="62"/>
        <v>-1.2890196080675939E-2</v>
      </c>
      <c r="W167" s="14">
        <f t="shared" si="63"/>
        <v>-1.6425316474900479E-3</v>
      </c>
      <c r="X167" s="14">
        <f t="shared" si="64"/>
        <v>3.6634850567574755E-2</v>
      </c>
      <c r="Y167" s="14">
        <f t="shared" si="65"/>
        <v>-5.1447122642323227E-3</v>
      </c>
      <c r="Z167" s="14">
        <f t="shared" si="66"/>
        <v>8.2888218371187303E-2</v>
      </c>
      <c r="AA167" s="14">
        <f t="shared" si="67"/>
        <v>-5.2478135992590255E-4</v>
      </c>
      <c r="AB167" s="14">
        <f t="shared" si="68"/>
        <v>7.5131662192068502E-2</v>
      </c>
      <c r="AC167" s="14">
        <f t="shared" si="69"/>
        <v>8.674703013931323E-2</v>
      </c>
      <c r="AD167" s="14">
        <f t="shared" si="70"/>
        <v>0.18381049739354671</v>
      </c>
      <c r="AE167" s="14">
        <f t="shared" si="71"/>
        <v>-9.5317095334671604E-3</v>
      </c>
      <c r="AM167" s="14">
        <f t="shared" si="72"/>
        <v>7.847714697199773E-2</v>
      </c>
      <c r="AN167" s="14">
        <f t="shared" si="73"/>
        <v>5.9712842135947311E-2</v>
      </c>
      <c r="AO167" s="14">
        <f t="shared" si="74"/>
        <v>-1.0459277648893275E-2</v>
      </c>
      <c r="AP167" s="14">
        <f t="shared" si="75"/>
        <v>-1.0309452058662377E-2</v>
      </c>
      <c r="AQ167" s="14">
        <f t="shared" si="76"/>
        <v>-2.6713135544439437E-2</v>
      </c>
      <c r="AR167" s="14">
        <f t="shared" si="77"/>
        <v>-1.0155136477127402E-2</v>
      </c>
      <c r="AS167" s="14">
        <f t="shared" si="78"/>
        <v>2.3821847572735158E-2</v>
      </c>
      <c r="AT167" s="14">
        <f t="shared" si="79"/>
        <v>-1.0540643574777148E-2</v>
      </c>
      <c r="AU167" s="14">
        <f t="shared" si="80"/>
        <v>6.6764725794429464E-2</v>
      </c>
      <c r="AV167" s="14">
        <f t="shared" si="81"/>
        <v>-2.257616957006036E-2</v>
      </c>
      <c r="AW167" s="14">
        <f t="shared" si="82"/>
        <v>6.2043874315244114E-2</v>
      </c>
      <c r="AX167" s="14">
        <f t="shared" si="83"/>
        <v>6.0038177502497347E-2</v>
      </c>
      <c r="AY167" s="14">
        <f t="shared" si="84"/>
        <v>0.17253956590546682</v>
      </c>
      <c r="AZ167" s="14">
        <f t="shared" si="85"/>
        <v>-1.4145761530187602E-2</v>
      </c>
    </row>
    <row r="168" spans="2:52" x14ac:dyDescent="0.3">
      <c r="B168" s="13">
        <v>3.876369232181725E-3</v>
      </c>
      <c r="C168" s="13">
        <v>-3.2350596286647056E-2</v>
      </c>
      <c r="D168" s="13">
        <v>-5.3879311648257812E-4</v>
      </c>
      <c r="E168" s="13">
        <v>-3.0532120333571007E-2</v>
      </c>
      <c r="F168" s="13">
        <v>-5.2027187248463051E-2</v>
      </c>
      <c r="G168" s="13">
        <v>-5.4363652195537196E-2</v>
      </c>
      <c r="H168" s="13">
        <v>-7.4840224342328135E-2</v>
      </c>
      <c r="I168" s="13">
        <v>-4.8145210906185412E-2</v>
      </c>
      <c r="J168" s="13">
        <v>-0.10508015768312563</v>
      </c>
      <c r="K168" s="13">
        <v>-0.1530576242640824</v>
      </c>
      <c r="L168" s="13">
        <v>-6.6957485961071641E-3</v>
      </c>
      <c r="M168" s="13">
        <v>-0.16188725494707254</v>
      </c>
      <c r="N168" s="13">
        <v>-0.10876457347717644</v>
      </c>
      <c r="O168" s="13">
        <v>-3.1028742238693067E-2</v>
      </c>
      <c r="R168" s="14">
        <f t="shared" si="58"/>
        <v>4.65164307861807E-3</v>
      </c>
      <c r="S168" s="14">
        <f t="shared" si="59"/>
        <v>-2.5880477029317644E-2</v>
      </c>
      <c r="T168" s="14">
        <f t="shared" si="60"/>
        <v>-4.3103449318606253E-4</v>
      </c>
      <c r="U168" s="14">
        <f t="shared" si="61"/>
        <v>-2.4425696266856808E-2</v>
      </c>
      <c r="V168" s="14">
        <f t="shared" si="62"/>
        <v>-4.1621749798770445E-2</v>
      </c>
      <c r="W168" s="14">
        <f t="shared" si="63"/>
        <v>-4.3490921756429761E-2</v>
      </c>
      <c r="X168" s="14">
        <f t="shared" si="64"/>
        <v>-5.9872179473862509E-2</v>
      </c>
      <c r="Y168" s="14">
        <f t="shared" si="65"/>
        <v>-3.8516168724948334E-2</v>
      </c>
      <c r="Z168" s="14">
        <f t="shared" si="66"/>
        <v>-8.4064126146500509E-2</v>
      </c>
      <c r="AA168" s="14">
        <f t="shared" si="67"/>
        <v>-0.12244609941126593</v>
      </c>
      <c r="AB168" s="14">
        <f t="shared" si="68"/>
        <v>-5.3565988768857313E-3</v>
      </c>
      <c r="AC168" s="14">
        <f t="shared" si="69"/>
        <v>-0.12950980395765804</v>
      </c>
      <c r="AD168" s="14">
        <f t="shared" si="70"/>
        <v>-8.7011658781741164E-2</v>
      </c>
      <c r="AE168" s="14">
        <f t="shared" si="71"/>
        <v>-2.4822993790954456E-2</v>
      </c>
      <c r="AM168" s="14">
        <f t="shared" si="72"/>
        <v>-3.154473341913943E-3</v>
      </c>
      <c r="AN168" s="14">
        <f t="shared" si="73"/>
        <v>-4.6677183549137649E-2</v>
      </c>
      <c r="AO168" s="14">
        <f t="shared" si="74"/>
        <v>-8.3089708328155012E-3</v>
      </c>
      <c r="AP168" s="14">
        <f t="shared" si="75"/>
        <v>-3.4260204306388216E-2</v>
      </c>
      <c r="AQ168" s="14">
        <f t="shared" si="76"/>
        <v>-5.5444689262533944E-2</v>
      </c>
      <c r="AR168" s="14">
        <f t="shared" si="77"/>
        <v>-5.2003526586067113E-2</v>
      </c>
      <c r="AS168" s="14">
        <f t="shared" si="78"/>
        <v>-7.2685182468702106E-2</v>
      </c>
      <c r="AT168" s="14">
        <f t="shared" si="79"/>
        <v>-4.391210003549316E-2</v>
      </c>
      <c r="AU168" s="14">
        <f t="shared" si="80"/>
        <v>-0.10018761872325835</v>
      </c>
      <c r="AV168" s="14">
        <f t="shared" si="81"/>
        <v>-0.14449748762140038</v>
      </c>
      <c r="AW168" s="14">
        <f t="shared" si="82"/>
        <v>-1.8444386753710115E-2</v>
      </c>
      <c r="AX168" s="14">
        <f t="shared" si="83"/>
        <v>-0.15621865659447393</v>
      </c>
      <c r="AY168" s="14">
        <f t="shared" si="84"/>
        <v>-9.8282590269821071E-2</v>
      </c>
      <c r="AZ168" s="14">
        <f t="shared" si="85"/>
        <v>-2.9437045787674899E-2</v>
      </c>
    </row>
    <row r="169" spans="2:52" x14ac:dyDescent="0.3">
      <c r="B169" s="13">
        <v>-1.5224242014051039E-2</v>
      </c>
      <c r="C169" s="13">
        <v>-7.337008505128359E-2</v>
      </c>
      <c r="D169" s="13">
        <v>-2.7870656417808899E-2</v>
      </c>
      <c r="E169" s="13">
        <v>-5.3622034841108925E-2</v>
      </c>
      <c r="F169" s="13">
        <v>-0.14234965707207572</v>
      </c>
      <c r="G169" s="13">
        <v>-2.0053836240539257E-2</v>
      </c>
      <c r="H169" s="13">
        <v>-2.2712276455344998E-2</v>
      </c>
      <c r="I169" s="13">
        <v>-8.742163495865915E-3</v>
      </c>
      <c r="J169" s="13">
        <v>-4.2752071389219125E-2</v>
      </c>
      <c r="K169" s="13">
        <v>-8.7683630338544358E-2</v>
      </c>
      <c r="L169" s="13">
        <v>-3.7189566529049159E-2</v>
      </c>
      <c r="M169" s="13">
        <v>-0.17687023606295368</v>
      </c>
      <c r="N169" s="13">
        <v>-6.2095712342624294E-2</v>
      </c>
      <c r="O169" s="13">
        <v>-0.1127954941453444</v>
      </c>
      <c r="R169" s="14">
        <f t="shared" si="58"/>
        <v>-1.2179393611240832E-2</v>
      </c>
      <c r="S169" s="14">
        <f t="shared" si="59"/>
        <v>-5.8696068041026873E-2</v>
      </c>
      <c r="T169" s="14">
        <f t="shared" si="60"/>
        <v>-2.2296525134247121E-2</v>
      </c>
      <c r="U169" s="14">
        <f t="shared" si="61"/>
        <v>-4.2897627872887145E-2</v>
      </c>
      <c r="V169" s="14">
        <f t="shared" si="62"/>
        <v>-0.11387972565766058</v>
      </c>
      <c r="W169" s="14">
        <f t="shared" si="63"/>
        <v>-1.6043068992431405E-2</v>
      </c>
      <c r="X169" s="14">
        <f t="shared" si="64"/>
        <v>-1.8169821164275998E-2</v>
      </c>
      <c r="Y169" s="14">
        <f t="shared" si="65"/>
        <v>-6.9937307966927327E-3</v>
      </c>
      <c r="Z169" s="14">
        <f t="shared" si="66"/>
        <v>-3.4201657111375301E-2</v>
      </c>
      <c r="AA169" s="14">
        <f t="shared" si="67"/>
        <v>-7.0146904270835489E-2</v>
      </c>
      <c r="AB169" s="14">
        <f t="shared" si="68"/>
        <v>-2.9751653223239329E-2</v>
      </c>
      <c r="AC169" s="14">
        <f t="shared" si="69"/>
        <v>-0.14149618885036294</v>
      </c>
      <c r="AD169" s="14">
        <f t="shared" si="70"/>
        <v>-4.9676569874099435E-2</v>
      </c>
      <c r="AE169" s="14">
        <f t="shared" si="71"/>
        <v>-9.0236395316275531E-2</v>
      </c>
      <c r="AM169" s="14">
        <f t="shared" si="72"/>
        <v>-1.9985510031772846E-2</v>
      </c>
      <c r="AN169" s="14">
        <f t="shared" si="73"/>
        <v>-7.9492774560846885E-2</v>
      </c>
      <c r="AO169" s="14">
        <f t="shared" si="74"/>
        <v>-3.0174461473876563E-2</v>
      </c>
      <c r="AP169" s="14">
        <f t="shared" si="75"/>
        <v>-5.2732135912418557E-2</v>
      </c>
      <c r="AQ169" s="14">
        <f t="shared" si="76"/>
        <v>-0.12770266512142409</v>
      </c>
      <c r="AR169" s="14">
        <f t="shared" si="77"/>
        <v>-2.455567382206876E-2</v>
      </c>
      <c r="AS169" s="14">
        <f t="shared" si="78"/>
        <v>-3.0982824159115595E-2</v>
      </c>
      <c r="AT169" s="14">
        <f t="shared" si="79"/>
        <v>-1.2389662107237558E-2</v>
      </c>
      <c r="AU169" s="14">
        <f t="shared" si="80"/>
        <v>-5.0325149688133133E-2</v>
      </c>
      <c r="AV169" s="14">
        <f t="shared" si="81"/>
        <v>-9.2198292480969946E-2</v>
      </c>
      <c r="AW169" s="14">
        <f t="shared" si="82"/>
        <v>-4.2839441100063713E-2</v>
      </c>
      <c r="AX169" s="14">
        <f t="shared" si="83"/>
        <v>-0.16820504148717882</v>
      </c>
      <c r="AY169" s="14">
        <f t="shared" si="84"/>
        <v>-6.0947501362179343E-2</v>
      </c>
      <c r="AZ169" s="14">
        <f t="shared" si="85"/>
        <v>-9.4850447312995967E-2</v>
      </c>
    </row>
    <row r="170" spans="2:52" x14ac:dyDescent="0.3">
      <c r="B170" s="13">
        <v>-1.1519954393436168E-2</v>
      </c>
      <c r="C170" s="13">
        <v>-0.10303284645061994</v>
      </c>
      <c r="D170" s="13">
        <v>-9.3129864549867832E-3</v>
      </c>
      <c r="E170" s="13">
        <v>2.0806236690966678E-2</v>
      </c>
      <c r="F170" s="13">
        <v>-0.10920585583704641</v>
      </c>
      <c r="G170" s="13">
        <v>-6.3345840289369834E-2</v>
      </c>
      <c r="H170" s="13">
        <v>-6.5780437362037522E-2</v>
      </c>
      <c r="I170" s="13">
        <v>-5.3092087112069405E-2</v>
      </c>
      <c r="J170" s="13">
        <v>-0.15563169866206281</v>
      </c>
      <c r="K170" s="13">
        <v>8.4513399326754165E-3</v>
      </c>
      <c r="L170" s="13">
        <v>3.4147655981979805E-3</v>
      </c>
      <c r="M170" s="13">
        <v>-1.1776482378329952E-4</v>
      </c>
      <c r="N170" s="13">
        <v>-8.5455887594335034E-2</v>
      </c>
      <c r="O170" s="13">
        <v>3.0467348564188628E-2</v>
      </c>
      <c r="R170" s="14">
        <f t="shared" si="58"/>
        <v>-9.2159635147489351E-3</v>
      </c>
      <c r="S170" s="14">
        <f t="shared" si="59"/>
        <v>-8.2426277160495956E-2</v>
      </c>
      <c r="T170" s="14">
        <f t="shared" si="60"/>
        <v>-7.450389163989427E-3</v>
      </c>
      <c r="U170" s="14">
        <f t="shared" si="61"/>
        <v>2.4967484029160013E-2</v>
      </c>
      <c r="V170" s="14">
        <f t="shared" si="62"/>
        <v>-8.7364684669637135E-2</v>
      </c>
      <c r="W170" s="14">
        <f t="shared" si="63"/>
        <v>-5.067667223149587E-2</v>
      </c>
      <c r="X170" s="14">
        <f t="shared" si="64"/>
        <v>-5.2624349889630023E-2</v>
      </c>
      <c r="Y170" s="14">
        <f t="shared" si="65"/>
        <v>-4.2473669689655526E-2</v>
      </c>
      <c r="Z170" s="14">
        <f t="shared" si="66"/>
        <v>-0.12450535892965026</v>
      </c>
      <c r="AA170" s="14">
        <f t="shared" si="67"/>
        <v>1.01416079192105E-2</v>
      </c>
      <c r="AB170" s="14">
        <f t="shared" si="68"/>
        <v>4.097718717837576E-3</v>
      </c>
      <c r="AC170" s="14">
        <f t="shared" si="69"/>
        <v>-9.4211859026639613E-5</v>
      </c>
      <c r="AD170" s="14">
        <f t="shared" si="70"/>
        <v>-6.836471007546803E-2</v>
      </c>
      <c r="AE170" s="14">
        <f t="shared" si="71"/>
        <v>3.6560818277026355E-2</v>
      </c>
      <c r="AM170" s="14">
        <f t="shared" si="72"/>
        <v>-1.7022079935280949E-2</v>
      </c>
      <c r="AN170" s="14">
        <f t="shared" si="73"/>
        <v>-0.10322298368031596</v>
      </c>
      <c r="AO170" s="14">
        <f t="shared" si="74"/>
        <v>-1.5328325503618866E-2</v>
      </c>
      <c r="AP170" s="14">
        <f t="shared" si="75"/>
        <v>1.5132975989628603E-2</v>
      </c>
      <c r="AQ170" s="14">
        <f t="shared" si="76"/>
        <v>-0.10118762413340063</v>
      </c>
      <c r="AR170" s="14">
        <f t="shared" si="77"/>
        <v>-5.9189277061133222E-2</v>
      </c>
      <c r="AS170" s="14">
        <f t="shared" si="78"/>
        <v>-6.5437352884469627E-2</v>
      </c>
      <c r="AT170" s="14">
        <f t="shared" si="79"/>
        <v>-4.7869601000200351E-2</v>
      </c>
      <c r="AU170" s="14">
        <f t="shared" si="80"/>
        <v>-0.14062885150640808</v>
      </c>
      <c r="AV170" s="14">
        <f t="shared" si="81"/>
        <v>-1.1909780290923957E-2</v>
      </c>
      <c r="AW170" s="14">
        <f t="shared" si="82"/>
        <v>-8.9900691589868097E-3</v>
      </c>
      <c r="AX170" s="14">
        <f t="shared" si="83"/>
        <v>-2.6803064495842518E-2</v>
      </c>
      <c r="AY170" s="14">
        <f t="shared" si="84"/>
        <v>-7.9635641563547938E-2</v>
      </c>
      <c r="AZ170" s="14">
        <f t="shared" si="85"/>
        <v>3.1946766280305912E-2</v>
      </c>
    </row>
    <row r="171" spans="2:52" x14ac:dyDescent="0.3">
      <c r="B171" s="13">
        <v>-0.1131664029135338</v>
      </c>
      <c r="C171" s="13">
        <v>7.6671775835099779E-2</v>
      </c>
      <c r="D171" s="13">
        <v>-1.2150506960591625E-2</v>
      </c>
      <c r="E171" s="13">
        <v>-4.9339607620066464E-2</v>
      </c>
      <c r="F171" s="13">
        <v>-4.9517576802501802E-2</v>
      </c>
      <c r="G171" s="13">
        <v>-6.5458441181848268E-3</v>
      </c>
      <c r="H171" s="13">
        <v>-2.929032183900087E-2</v>
      </c>
      <c r="I171" s="13">
        <v>-0.11778303565638351</v>
      </c>
      <c r="J171" s="13">
        <v>5.8891044901013288E-2</v>
      </c>
      <c r="K171" s="13">
        <v>-0.17182726339933602</v>
      </c>
      <c r="L171" s="13">
        <v>-6.3883170173687248E-2</v>
      </c>
      <c r="M171" s="13">
        <v>1.554223514941489E-2</v>
      </c>
      <c r="N171" s="13">
        <v>-0.1232433313918978</v>
      </c>
      <c r="O171" s="13">
        <v>-2.3705997586144723E-2</v>
      </c>
      <c r="R171" s="14">
        <f t="shared" si="58"/>
        <v>-9.0533122330827054E-2</v>
      </c>
      <c r="S171" s="14">
        <f t="shared" si="59"/>
        <v>9.2006131002119726E-2</v>
      </c>
      <c r="T171" s="14">
        <f t="shared" si="60"/>
        <v>-9.7204055684733011E-3</v>
      </c>
      <c r="U171" s="14">
        <f t="shared" si="61"/>
        <v>-3.9471686096053171E-2</v>
      </c>
      <c r="V171" s="14">
        <f t="shared" si="62"/>
        <v>-3.9614061442001441E-2</v>
      </c>
      <c r="W171" s="14">
        <f t="shared" si="63"/>
        <v>-5.2366752945478615E-3</v>
      </c>
      <c r="X171" s="14">
        <f t="shared" si="64"/>
        <v>-2.3432257471200698E-2</v>
      </c>
      <c r="Y171" s="14">
        <f t="shared" si="65"/>
        <v>-9.422642852510682E-2</v>
      </c>
      <c r="Z171" s="14">
        <f t="shared" si="66"/>
        <v>7.0669253881215949E-2</v>
      </c>
      <c r="AA171" s="14">
        <f t="shared" si="67"/>
        <v>-0.13746181071946881</v>
      </c>
      <c r="AB171" s="14">
        <f t="shared" si="68"/>
        <v>-5.1106536138949804E-2</v>
      </c>
      <c r="AC171" s="14">
        <f t="shared" si="69"/>
        <v>1.8650682179297867E-2</v>
      </c>
      <c r="AD171" s="14">
        <f t="shared" si="70"/>
        <v>-9.8594665113518248E-2</v>
      </c>
      <c r="AE171" s="14">
        <f t="shared" si="71"/>
        <v>-1.8964798068915781E-2</v>
      </c>
      <c r="AM171" s="14">
        <f t="shared" si="72"/>
        <v>-9.8339238751359068E-2</v>
      </c>
      <c r="AN171" s="14">
        <f t="shared" si="73"/>
        <v>7.1209424482299721E-2</v>
      </c>
      <c r="AO171" s="14">
        <f t="shared" si="74"/>
        <v>-1.7598341908102742E-2</v>
      </c>
      <c r="AP171" s="14">
        <f t="shared" si="75"/>
        <v>-4.9306194135584583E-2</v>
      </c>
      <c r="AQ171" s="14">
        <f t="shared" si="76"/>
        <v>-5.3437000905764941E-2</v>
      </c>
      <c r="AR171" s="14">
        <f t="shared" si="77"/>
        <v>-1.3749280124185215E-2</v>
      </c>
      <c r="AS171" s="14">
        <f t="shared" si="78"/>
        <v>-3.6245260466040298E-2</v>
      </c>
      <c r="AT171" s="14">
        <f t="shared" si="79"/>
        <v>-9.9622359835651639E-2</v>
      </c>
      <c r="AU171" s="14">
        <f t="shared" si="80"/>
        <v>5.454576130445811E-2</v>
      </c>
      <c r="AV171" s="14">
        <f t="shared" si="81"/>
        <v>-0.15951319892960325</v>
      </c>
      <c r="AW171" s="14">
        <f t="shared" si="82"/>
        <v>-6.4194324015774185E-2</v>
      </c>
      <c r="AX171" s="14">
        <f t="shared" si="83"/>
        <v>-8.058170457518013E-3</v>
      </c>
      <c r="AY171" s="14">
        <f t="shared" si="84"/>
        <v>-0.10986559660159816</v>
      </c>
      <c r="AZ171" s="14">
        <f t="shared" si="85"/>
        <v>-2.3578850065636224E-2</v>
      </c>
    </row>
    <row r="172" spans="2:52" x14ac:dyDescent="0.3">
      <c r="B172" s="13">
        <v>2.2142835386753528E-2</v>
      </c>
      <c r="C172" s="13">
        <v>-3.3173447533126628E-2</v>
      </c>
      <c r="D172" s="13">
        <v>6.9247025956766066E-3</v>
      </c>
      <c r="E172" s="13">
        <v>-9.1053196754976515E-3</v>
      </c>
      <c r="F172" s="13">
        <v>-5.0933555738266389E-3</v>
      </c>
      <c r="G172" s="13">
        <v>-8.8289593201292937E-3</v>
      </c>
      <c r="H172" s="13">
        <v>-1.885672851906689E-2</v>
      </c>
      <c r="I172" s="13">
        <v>7.6832432043288046E-2</v>
      </c>
      <c r="J172" s="13">
        <v>2.3773065318071825E-2</v>
      </c>
      <c r="K172" s="13">
        <v>3.6145282809341144E-2</v>
      </c>
      <c r="L172" s="13">
        <v>5.8229351944306576E-2</v>
      </c>
      <c r="M172" s="13">
        <v>5.3285742281593586E-2</v>
      </c>
      <c r="N172" s="13">
        <v>0.14415271474091751</v>
      </c>
      <c r="O172" s="13">
        <v>2.3574375341795309E-2</v>
      </c>
      <c r="R172" s="14">
        <f t="shared" si="58"/>
        <v>2.6571402464104232E-2</v>
      </c>
      <c r="S172" s="14">
        <f t="shared" si="59"/>
        <v>-2.6538758026501304E-2</v>
      </c>
      <c r="T172" s="14">
        <f t="shared" si="60"/>
        <v>8.3096431148119276E-3</v>
      </c>
      <c r="U172" s="14">
        <f t="shared" si="61"/>
        <v>-7.2842557403981212E-3</v>
      </c>
      <c r="V172" s="14">
        <f t="shared" si="62"/>
        <v>-4.074684459061311E-3</v>
      </c>
      <c r="W172" s="14">
        <f t="shared" si="63"/>
        <v>-7.0631674561034349E-3</v>
      </c>
      <c r="X172" s="14">
        <f t="shared" si="64"/>
        <v>-1.5085382815253512E-2</v>
      </c>
      <c r="Y172" s="14">
        <f t="shared" si="65"/>
        <v>9.2198918451945652E-2</v>
      </c>
      <c r="Z172" s="14">
        <f t="shared" si="66"/>
        <v>2.852767838168619E-2</v>
      </c>
      <c r="AA172" s="14">
        <f t="shared" si="67"/>
        <v>4.3374339371209374E-2</v>
      </c>
      <c r="AB172" s="14">
        <f t="shared" si="68"/>
        <v>6.9875222333167883E-2</v>
      </c>
      <c r="AC172" s="14">
        <f t="shared" si="69"/>
        <v>6.3942890737912303E-2</v>
      </c>
      <c r="AD172" s="14">
        <f t="shared" si="70"/>
        <v>0.172983257689101</v>
      </c>
      <c r="AE172" s="14">
        <f t="shared" si="71"/>
        <v>2.8289250410154371E-2</v>
      </c>
      <c r="AM172" s="14">
        <f t="shared" si="72"/>
        <v>1.8765286043572218E-2</v>
      </c>
      <c r="AN172" s="14">
        <f t="shared" si="73"/>
        <v>-4.7335464546321315E-2</v>
      </c>
      <c r="AO172" s="14">
        <f t="shared" si="74"/>
        <v>4.317067751824881E-4</v>
      </c>
      <c r="AP172" s="14">
        <f t="shared" si="75"/>
        <v>-1.7118763779929533E-2</v>
      </c>
      <c r="AQ172" s="14">
        <f t="shared" si="76"/>
        <v>-1.7897623922824811E-2</v>
      </c>
      <c r="AR172" s="14">
        <f t="shared" si="77"/>
        <v>-1.5575772285740789E-2</v>
      </c>
      <c r="AS172" s="14">
        <f t="shared" si="78"/>
        <v>-2.7898385810093108E-2</v>
      </c>
      <c r="AT172" s="14">
        <f t="shared" si="79"/>
        <v>8.6802987141400834E-2</v>
      </c>
      <c r="AU172" s="14">
        <f t="shared" si="80"/>
        <v>1.2404185804928355E-2</v>
      </c>
      <c r="AV172" s="14">
        <f t="shared" si="81"/>
        <v>2.1322951161074917E-2</v>
      </c>
      <c r="AW172" s="14">
        <f t="shared" si="82"/>
        <v>5.6787434456343495E-2</v>
      </c>
      <c r="AX172" s="14">
        <f t="shared" si="83"/>
        <v>3.723403810109642E-2</v>
      </c>
      <c r="AY172" s="14">
        <f t="shared" si="84"/>
        <v>0.16171232620102111</v>
      </c>
      <c r="AZ172" s="14">
        <f t="shared" si="85"/>
        <v>2.3675198413433927E-2</v>
      </c>
    </row>
    <row r="173" spans="2:52" x14ac:dyDescent="0.3">
      <c r="B173" s="13">
        <v>-1.696586600412E-3</v>
      </c>
      <c r="C173" s="13">
        <v>-7.0663157494113574E-2</v>
      </c>
      <c r="D173" s="13">
        <v>-3.236393932124268E-2</v>
      </c>
      <c r="E173" s="13">
        <v>-6.0712283442614083E-2</v>
      </c>
      <c r="F173" s="13">
        <v>5.7955544212966927E-2</v>
      </c>
      <c r="G173" s="13">
        <v>-1.7947155925394323E-2</v>
      </c>
      <c r="H173" s="13">
        <v>-3.3268483833895822E-2</v>
      </c>
      <c r="I173" s="13">
        <v>-4.8307965333439139E-2</v>
      </c>
      <c r="J173" s="13">
        <v>-1.4263118006044124E-2</v>
      </c>
      <c r="K173" s="13">
        <v>-8.7634039033590599E-2</v>
      </c>
      <c r="L173" s="13">
        <v>-4.1596951895164526E-2</v>
      </c>
      <c r="M173" s="13">
        <v>-5.7818262098796064E-2</v>
      </c>
      <c r="N173" s="13">
        <v>-7.697125960703663E-2</v>
      </c>
      <c r="O173" s="13">
        <v>-1.498602410924132E-2</v>
      </c>
      <c r="R173" s="14">
        <f t="shared" si="58"/>
        <v>-1.3572692803296002E-3</v>
      </c>
      <c r="S173" s="14">
        <f t="shared" si="59"/>
        <v>-5.6530525995290862E-2</v>
      </c>
      <c r="T173" s="14">
        <f t="shared" si="60"/>
        <v>-2.5891151456994145E-2</v>
      </c>
      <c r="U173" s="14">
        <f t="shared" si="61"/>
        <v>-4.8569826754091272E-2</v>
      </c>
      <c r="V173" s="14">
        <f t="shared" si="62"/>
        <v>6.9546653055560306E-2</v>
      </c>
      <c r="W173" s="14">
        <f t="shared" si="63"/>
        <v>-1.4357724740315459E-2</v>
      </c>
      <c r="X173" s="14">
        <f t="shared" si="64"/>
        <v>-2.661478706711666E-2</v>
      </c>
      <c r="Y173" s="14">
        <f t="shared" si="65"/>
        <v>-3.8646372266751314E-2</v>
      </c>
      <c r="Z173" s="14">
        <f t="shared" si="66"/>
        <v>-1.1410494404835299E-2</v>
      </c>
      <c r="AA173" s="14">
        <f t="shared" si="67"/>
        <v>-7.0107231226872485E-2</v>
      </c>
      <c r="AB173" s="14">
        <f t="shared" si="68"/>
        <v>-3.3277561516131621E-2</v>
      </c>
      <c r="AC173" s="14">
        <f t="shared" si="69"/>
        <v>-4.6254609679036857E-2</v>
      </c>
      <c r="AD173" s="14">
        <f t="shared" si="70"/>
        <v>-6.1577007685629306E-2</v>
      </c>
      <c r="AE173" s="14">
        <f t="shared" si="71"/>
        <v>-1.1988819287393057E-2</v>
      </c>
      <c r="AM173" s="14">
        <f t="shared" si="72"/>
        <v>-9.1633857008616131E-3</v>
      </c>
      <c r="AN173" s="14">
        <f t="shared" si="73"/>
        <v>-7.7327232515110866E-2</v>
      </c>
      <c r="AO173" s="14">
        <f t="shared" si="74"/>
        <v>-3.3769087796623583E-2</v>
      </c>
      <c r="AP173" s="14">
        <f t="shared" si="75"/>
        <v>-5.8404334793622684E-2</v>
      </c>
      <c r="AQ173" s="14">
        <f t="shared" si="76"/>
        <v>5.5723713591796807E-2</v>
      </c>
      <c r="AR173" s="14">
        <f t="shared" si="77"/>
        <v>-2.2870329569952812E-2</v>
      </c>
      <c r="AS173" s="14">
        <f t="shared" si="78"/>
        <v>-3.9427790061956257E-2</v>
      </c>
      <c r="AT173" s="14">
        <f t="shared" si="79"/>
        <v>-4.4042303577296139E-2</v>
      </c>
      <c r="AU173" s="14">
        <f t="shared" si="80"/>
        <v>-2.7533986981593137E-2</v>
      </c>
      <c r="AV173" s="14">
        <f t="shared" si="81"/>
        <v>-9.2158619437006942E-2</v>
      </c>
      <c r="AW173" s="14">
        <f t="shared" si="82"/>
        <v>-4.6365349392956008E-2</v>
      </c>
      <c r="AX173" s="14">
        <f t="shared" si="83"/>
        <v>-7.296346231585274E-2</v>
      </c>
      <c r="AY173" s="14">
        <f t="shared" si="84"/>
        <v>-7.2847939173709214E-2</v>
      </c>
      <c r="AZ173" s="14">
        <f t="shared" si="85"/>
        <v>-1.6602871284113498E-2</v>
      </c>
    </row>
    <row r="174" spans="2:52" x14ac:dyDescent="0.3">
      <c r="B174" s="13">
        <v>-0.1455750425559032</v>
      </c>
      <c r="C174" s="13">
        <v>-0.15088862821632401</v>
      </c>
      <c r="D174" s="13">
        <v>-5.1348873100917736E-2</v>
      </c>
      <c r="E174" s="13">
        <v>-5.8230031150154599E-2</v>
      </c>
      <c r="F174" s="13">
        <v>-9.5982004745188726E-2</v>
      </c>
      <c r="G174" s="13">
        <v>-0.11957480180395609</v>
      </c>
      <c r="H174" s="13">
        <v>-0.13336792553677057</v>
      </c>
      <c r="I174" s="13">
        <v>-9.9254958095341142E-2</v>
      </c>
      <c r="J174" s="13">
        <v>-0.10464204103246126</v>
      </c>
      <c r="K174" s="13">
        <v>-8.0047498884538895E-2</v>
      </c>
      <c r="L174" s="13">
        <v>-0.1185049456552496</v>
      </c>
      <c r="M174" s="13">
        <v>-0.14840136813410942</v>
      </c>
      <c r="N174" s="13">
        <v>-0.27103744185337192</v>
      </c>
      <c r="O174" s="13">
        <v>-9.9528041646078591E-2</v>
      </c>
      <c r="R174" s="14">
        <f t="shared" si="58"/>
        <v>-0.11646003404472256</v>
      </c>
      <c r="S174" s="14">
        <f t="shared" si="59"/>
        <v>-0.12071090257305922</v>
      </c>
      <c r="T174" s="14">
        <f t="shared" si="60"/>
        <v>-4.107909848073419E-2</v>
      </c>
      <c r="U174" s="14">
        <f t="shared" si="61"/>
        <v>-4.658402492012368E-2</v>
      </c>
      <c r="V174" s="14">
        <f t="shared" si="62"/>
        <v>-7.6785603796150986E-2</v>
      </c>
      <c r="W174" s="14">
        <f t="shared" si="63"/>
        <v>-9.5659841443164875E-2</v>
      </c>
      <c r="X174" s="14">
        <f t="shared" si="64"/>
        <v>-0.10669434042941646</v>
      </c>
      <c r="Y174" s="14">
        <f t="shared" si="65"/>
        <v>-7.9403966476272916E-2</v>
      </c>
      <c r="Z174" s="14">
        <f t="shared" si="66"/>
        <v>-8.3713632825969012E-2</v>
      </c>
      <c r="AA174" s="14">
        <f t="shared" si="67"/>
        <v>-6.4037999107631124E-2</v>
      </c>
      <c r="AB174" s="14">
        <f t="shared" si="68"/>
        <v>-9.4803956524199692E-2</v>
      </c>
      <c r="AC174" s="14">
        <f t="shared" si="69"/>
        <v>-0.11872109450728754</v>
      </c>
      <c r="AD174" s="14">
        <f t="shared" si="70"/>
        <v>-0.21682995348269754</v>
      </c>
      <c r="AE174" s="14">
        <f t="shared" si="71"/>
        <v>-7.9622433316862876E-2</v>
      </c>
      <c r="AM174" s="14">
        <f t="shared" si="72"/>
        <v>-0.12426615046525458</v>
      </c>
      <c r="AN174" s="14">
        <f t="shared" si="73"/>
        <v>-0.14150760909287924</v>
      </c>
      <c r="AO174" s="14">
        <f t="shared" si="74"/>
        <v>-4.8957034820363628E-2</v>
      </c>
      <c r="AP174" s="14">
        <f t="shared" si="75"/>
        <v>-5.6418532959655092E-2</v>
      </c>
      <c r="AQ174" s="14">
        <f t="shared" si="76"/>
        <v>-9.0608543259914492E-2</v>
      </c>
      <c r="AR174" s="14">
        <f t="shared" si="77"/>
        <v>-0.10417244627280223</v>
      </c>
      <c r="AS174" s="14">
        <f t="shared" si="78"/>
        <v>-0.11950734342425606</v>
      </c>
      <c r="AT174" s="14">
        <f t="shared" si="79"/>
        <v>-8.4799897786817735E-2</v>
      </c>
      <c r="AU174" s="14">
        <f t="shared" si="80"/>
        <v>-9.9837125402726851E-2</v>
      </c>
      <c r="AV174" s="14">
        <f t="shared" si="81"/>
        <v>-8.6089387317765581E-2</v>
      </c>
      <c r="AW174" s="14">
        <f t="shared" si="82"/>
        <v>-0.10789174440102407</v>
      </c>
      <c r="AX174" s="14">
        <f t="shared" si="83"/>
        <v>-0.14542994714410343</v>
      </c>
      <c r="AY174" s="14">
        <f t="shared" si="84"/>
        <v>-0.22810088497077743</v>
      </c>
      <c r="AZ174" s="14">
        <f t="shared" si="85"/>
        <v>-8.4236485313583312E-2</v>
      </c>
    </row>
    <row r="175" spans="2:52" x14ac:dyDescent="0.3">
      <c r="B175" s="13">
        <v>5.0563120241773035E-2</v>
      </c>
      <c r="C175" s="13">
        <v>0.1623121431947748</v>
      </c>
      <c r="D175" s="13">
        <v>7.6504973185424194E-2</v>
      </c>
      <c r="E175" s="13">
        <v>7.6273991985089884E-2</v>
      </c>
      <c r="F175" s="13">
        <v>5.2397391660261278E-2</v>
      </c>
      <c r="G175" s="13">
        <v>7.7989318861694329E-2</v>
      </c>
      <c r="H175" s="13">
        <v>7.4134860284241461E-2</v>
      </c>
      <c r="I175" s="13">
        <v>-1.1243091574180467E-2</v>
      </c>
      <c r="J175" s="13">
        <v>0.16122779381918509</v>
      </c>
      <c r="K175" s="13">
        <v>8.9033622370397456E-2</v>
      </c>
      <c r="L175" s="13">
        <v>0.11202350532767556</v>
      </c>
      <c r="M175" s="13">
        <v>0.17936714501946738</v>
      </c>
      <c r="N175" s="13">
        <v>8.5593343594173282E-2</v>
      </c>
      <c r="O175" s="13">
        <v>5.1632720170935217E-2</v>
      </c>
      <c r="R175" s="14">
        <f t="shared" si="58"/>
        <v>6.0675744290127641E-2</v>
      </c>
      <c r="S175" s="14">
        <f t="shared" si="59"/>
        <v>0.19477457183372976</v>
      </c>
      <c r="T175" s="14">
        <f t="shared" si="60"/>
        <v>9.1805967822509035E-2</v>
      </c>
      <c r="U175" s="14">
        <f t="shared" si="61"/>
        <v>9.1528790382107858E-2</v>
      </c>
      <c r="V175" s="14">
        <f t="shared" si="62"/>
        <v>6.2876869992313525E-2</v>
      </c>
      <c r="W175" s="14">
        <f t="shared" si="63"/>
        <v>9.3587182634033192E-2</v>
      </c>
      <c r="X175" s="14">
        <f t="shared" si="64"/>
        <v>8.8961832341089744E-2</v>
      </c>
      <c r="Y175" s="14">
        <f t="shared" si="65"/>
        <v>-8.9944732593443735E-3</v>
      </c>
      <c r="Z175" s="14">
        <f t="shared" si="66"/>
        <v>0.19347335258302209</v>
      </c>
      <c r="AA175" s="14">
        <f t="shared" si="67"/>
        <v>0.10684034684447695</v>
      </c>
      <c r="AB175" s="14">
        <f t="shared" si="68"/>
        <v>0.13442820639321068</v>
      </c>
      <c r="AC175" s="14">
        <f t="shared" si="69"/>
        <v>0.21524057402336086</v>
      </c>
      <c r="AD175" s="14">
        <f t="shared" si="70"/>
        <v>0.10271201231300793</v>
      </c>
      <c r="AE175" s="14">
        <f t="shared" si="71"/>
        <v>6.1959264205122259E-2</v>
      </c>
      <c r="AM175" s="14">
        <f t="shared" si="72"/>
        <v>5.2869627869595627E-2</v>
      </c>
      <c r="AN175" s="14">
        <f t="shared" si="73"/>
        <v>0.17397786531390974</v>
      </c>
      <c r="AO175" s="14">
        <f t="shared" si="74"/>
        <v>8.3928031482879598E-2</v>
      </c>
      <c r="AP175" s="14">
        <f t="shared" si="75"/>
        <v>8.1694282342576446E-2</v>
      </c>
      <c r="AQ175" s="14">
        <f t="shared" si="76"/>
        <v>4.9053930528550026E-2</v>
      </c>
      <c r="AR175" s="14">
        <f t="shared" si="77"/>
        <v>8.507457780439584E-2</v>
      </c>
      <c r="AS175" s="14">
        <f t="shared" si="78"/>
        <v>7.6148829346250141E-2</v>
      </c>
      <c r="AT175" s="14">
        <f t="shared" si="79"/>
        <v>-1.4390404569889197E-2</v>
      </c>
      <c r="AU175" s="14">
        <f t="shared" si="80"/>
        <v>0.17734986000626426</v>
      </c>
      <c r="AV175" s="14">
        <f t="shared" si="81"/>
        <v>8.4788958634342493E-2</v>
      </c>
      <c r="AW175" s="14">
        <f t="shared" si="82"/>
        <v>0.1213404185163863</v>
      </c>
      <c r="AX175" s="14">
        <f t="shared" si="83"/>
        <v>0.18853172138654498</v>
      </c>
      <c r="AY175" s="14">
        <f t="shared" si="84"/>
        <v>9.1441080824928023E-2</v>
      </c>
      <c r="AZ175" s="14">
        <f t="shared" si="85"/>
        <v>5.7345212208401816E-2</v>
      </c>
    </row>
    <row r="176" spans="2:52" x14ac:dyDescent="0.3">
      <c r="B176" s="13">
        <v>-5.9221188948877729E-3</v>
      </c>
      <c r="C176" s="13">
        <v>-8.8939100289841561E-2</v>
      </c>
      <c r="D176" s="13">
        <v>-5.467952808372268E-2</v>
      </c>
      <c r="E176" s="13">
        <v>-3.8798249266387301E-2</v>
      </c>
      <c r="F176" s="13">
        <v>-4.4327464337780301E-2</v>
      </c>
      <c r="G176" s="13">
        <v>-6.8618160965756195E-2</v>
      </c>
      <c r="H176" s="13">
        <v>-8.0594766868301596E-2</v>
      </c>
      <c r="I176" s="13">
        <v>-1.0101095986503933E-2</v>
      </c>
      <c r="J176" s="13">
        <v>-6.0516163026518698E-3</v>
      </c>
      <c r="K176" s="13">
        <v>-2.6816551031763618E-3</v>
      </c>
      <c r="L176" s="13">
        <v>4.0135538708801849E-2</v>
      </c>
      <c r="M176" s="13">
        <v>5.7384249432597671E-2</v>
      </c>
      <c r="N176" s="13">
        <v>-2.9661763370487898E-2</v>
      </c>
      <c r="O176" s="13">
        <v>2.1003998480149462E-3</v>
      </c>
      <c r="R176" s="14">
        <f t="shared" si="58"/>
        <v>-4.737695115910219E-3</v>
      </c>
      <c r="S176" s="14">
        <f t="shared" si="59"/>
        <v>-7.1151280231873254E-2</v>
      </c>
      <c r="T176" s="14">
        <f t="shared" si="60"/>
        <v>-4.3743622466978146E-2</v>
      </c>
      <c r="U176" s="14">
        <f t="shared" si="61"/>
        <v>-3.1038599413109842E-2</v>
      </c>
      <c r="V176" s="14">
        <f t="shared" si="62"/>
        <v>-3.5461971470224243E-2</v>
      </c>
      <c r="W176" s="14">
        <f t="shared" si="63"/>
        <v>-5.4894528772604957E-2</v>
      </c>
      <c r="X176" s="14">
        <f t="shared" si="64"/>
        <v>-6.4475813494641279E-2</v>
      </c>
      <c r="Y176" s="14">
        <f t="shared" si="65"/>
        <v>-8.0808767892031463E-3</v>
      </c>
      <c r="Z176" s="14">
        <f t="shared" si="66"/>
        <v>-4.8412930421214964E-3</v>
      </c>
      <c r="AA176" s="14">
        <f t="shared" si="67"/>
        <v>-2.1453240825410895E-3</v>
      </c>
      <c r="AB176" s="14">
        <f t="shared" si="68"/>
        <v>4.8162646450562216E-2</v>
      </c>
      <c r="AC176" s="14">
        <f t="shared" si="69"/>
        <v>6.88610993191172E-2</v>
      </c>
      <c r="AD176" s="14">
        <f t="shared" si="70"/>
        <v>-2.372941069639032E-2</v>
      </c>
      <c r="AE176" s="14">
        <f t="shared" si="71"/>
        <v>2.5204798176179355E-3</v>
      </c>
      <c r="AM176" s="14">
        <f t="shared" si="72"/>
        <v>-1.2543811536442233E-2</v>
      </c>
      <c r="AN176" s="14">
        <f t="shared" si="73"/>
        <v>-9.1947986751693259E-2</v>
      </c>
      <c r="AO176" s="14">
        <f t="shared" si="74"/>
        <v>-5.1621558806607584E-2</v>
      </c>
      <c r="AP176" s="14">
        <f t="shared" si="75"/>
        <v>-4.087310745264125E-2</v>
      </c>
      <c r="AQ176" s="14">
        <f t="shared" si="76"/>
        <v>-4.9284910933987743E-2</v>
      </c>
      <c r="AR176" s="14">
        <f t="shared" si="77"/>
        <v>-6.3407133602242316E-2</v>
      </c>
      <c r="AS176" s="14">
        <f t="shared" si="78"/>
        <v>-7.7288816489480883E-2</v>
      </c>
      <c r="AT176" s="14">
        <f t="shared" si="79"/>
        <v>-1.347680809974797E-2</v>
      </c>
      <c r="AU176" s="14">
        <f t="shared" si="80"/>
        <v>-2.0964785618879333E-2</v>
      </c>
      <c r="AV176" s="14">
        <f t="shared" si="81"/>
        <v>-2.4196712292675546E-2</v>
      </c>
      <c r="AW176" s="14">
        <f t="shared" si="82"/>
        <v>3.5074858573737829E-2</v>
      </c>
      <c r="AX176" s="14">
        <f t="shared" si="83"/>
        <v>4.2152246682301317E-2</v>
      </c>
      <c r="AY176" s="14">
        <f t="shared" si="84"/>
        <v>-3.5000342184470228E-2</v>
      </c>
      <c r="AZ176" s="14">
        <f t="shared" si="85"/>
        <v>-2.0935721791025068E-3</v>
      </c>
    </row>
    <row r="177" spans="2:52" x14ac:dyDescent="0.3">
      <c r="B177" s="13">
        <v>6.0570867527277729E-2</v>
      </c>
      <c r="C177" s="13">
        <v>8.9660015883829006E-2</v>
      </c>
      <c r="D177" s="13">
        <v>6.3394180186166674E-2</v>
      </c>
      <c r="E177" s="13">
        <v>6.9010512682672318E-2</v>
      </c>
      <c r="F177" s="13">
        <v>0.16598270040250021</v>
      </c>
      <c r="G177" s="13">
        <v>9.0659389208348137E-2</v>
      </c>
      <c r="H177" s="13">
        <v>8.7378555855550238E-2</v>
      </c>
      <c r="I177" s="13">
        <v>8.0433103930690614E-2</v>
      </c>
      <c r="J177" s="13">
        <v>0.12322878206135236</v>
      </c>
      <c r="K177" s="13">
        <v>0.18043438613122129</v>
      </c>
      <c r="L177" s="13">
        <v>3.2815546626513939E-2</v>
      </c>
      <c r="M177" s="13">
        <v>0.18448740471759575</v>
      </c>
      <c r="N177" s="13">
        <v>0.11690836122667658</v>
      </c>
      <c r="O177" s="13">
        <v>6.1570419461584994E-2</v>
      </c>
      <c r="R177" s="14">
        <f t="shared" si="58"/>
        <v>7.2685041032733266E-2</v>
      </c>
      <c r="S177" s="14">
        <f t="shared" si="59"/>
        <v>0.1075920190605948</v>
      </c>
      <c r="T177" s="14">
        <f t="shared" si="60"/>
        <v>7.60730162234E-2</v>
      </c>
      <c r="U177" s="14">
        <f t="shared" si="61"/>
        <v>8.2812615219206784E-2</v>
      </c>
      <c r="V177" s="14">
        <f t="shared" si="62"/>
        <v>0.19917924048300026</v>
      </c>
      <c r="W177" s="14">
        <f t="shared" si="63"/>
        <v>0.10879126705001776</v>
      </c>
      <c r="X177" s="14">
        <f t="shared" si="64"/>
        <v>0.10485426702666029</v>
      </c>
      <c r="Y177" s="14">
        <f t="shared" si="65"/>
        <v>9.6519724716828736E-2</v>
      </c>
      <c r="Z177" s="14">
        <f t="shared" si="66"/>
        <v>0.14787453847362284</v>
      </c>
      <c r="AA177" s="14">
        <f t="shared" si="67"/>
        <v>0.21652126335746555</v>
      </c>
      <c r="AB177" s="14">
        <f t="shared" si="68"/>
        <v>3.9378655951816728E-2</v>
      </c>
      <c r="AC177" s="14">
        <f t="shared" si="69"/>
        <v>0.22138488566111489</v>
      </c>
      <c r="AD177" s="14">
        <f t="shared" si="70"/>
        <v>0.14029003347201188</v>
      </c>
      <c r="AE177" s="14">
        <f t="shared" si="71"/>
        <v>7.3884503353901995E-2</v>
      </c>
      <c r="AM177" s="14">
        <f t="shared" si="72"/>
        <v>6.4878924612201253E-2</v>
      </c>
      <c r="AN177" s="14">
        <f t="shared" si="73"/>
        <v>8.6795312540774799E-2</v>
      </c>
      <c r="AO177" s="14">
        <f t="shared" si="74"/>
        <v>6.8195079883770562E-2</v>
      </c>
      <c r="AP177" s="14">
        <f t="shared" si="75"/>
        <v>7.2978107179675372E-2</v>
      </c>
      <c r="AQ177" s="14">
        <f t="shared" si="76"/>
        <v>0.18535630101923675</v>
      </c>
      <c r="AR177" s="14">
        <f t="shared" si="77"/>
        <v>0.10027866222038041</v>
      </c>
      <c r="AS177" s="14">
        <f t="shared" si="78"/>
        <v>9.2041264031820683E-2</v>
      </c>
      <c r="AT177" s="14">
        <f t="shared" si="79"/>
        <v>9.1123793406283918E-2</v>
      </c>
      <c r="AU177" s="14">
        <f t="shared" si="80"/>
        <v>0.13175104589686501</v>
      </c>
      <c r="AV177" s="14">
        <f t="shared" si="81"/>
        <v>0.19446987514733111</v>
      </c>
      <c r="AW177" s="14">
        <f t="shared" si="82"/>
        <v>2.6290868074992341E-2</v>
      </c>
      <c r="AX177" s="14">
        <f t="shared" si="83"/>
        <v>0.19467603302429901</v>
      </c>
      <c r="AY177" s="14">
        <f t="shared" si="84"/>
        <v>0.12901910198393199</v>
      </c>
      <c r="AZ177" s="14">
        <f t="shared" si="85"/>
        <v>6.9270451357181559E-2</v>
      </c>
    </row>
    <row r="178" spans="2:52" x14ac:dyDescent="0.3">
      <c r="B178" s="13">
        <v>-1.8957227866266368E-2</v>
      </c>
      <c r="C178" s="13">
        <v>3.0954535649738522E-2</v>
      </c>
      <c r="D178" s="13">
        <v>0.10511038867879624</v>
      </c>
      <c r="E178" s="13">
        <v>1.2699946760433995E-2</v>
      </c>
      <c r="F178" s="13">
        <v>7.8999292283994955E-3</v>
      </c>
      <c r="G178" s="13">
        <v>5.2246998550901117E-3</v>
      </c>
      <c r="H178" s="13">
        <v>8.7008331565607763E-2</v>
      </c>
      <c r="I178" s="13">
        <v>-1.0594566431396028E-2</v>
      </c>
      <c r="J178" s="13">
        <v>3.6285264577430386E-2</v>
      </c>
      <c r="K178" s="13">
        <v>-2.2723316522097831E-2</v>
      </c>
      <c r="L178" s="13">
        <v>8.064603787664483E-2</v>
      </c>
      <c r="M178" s="13">
        <v>9.709806614581068E-2</v>
      </c>
      <c r="N178" s="13">
        <v>-6.5401268279313904E-2</v>
      </c>
      <c r="O178" s="13">
        <v>2.8525206456644012E-2</v>
      </c>
      <c r="R178" s="14">
        <f t="shared" si="58"/>
        <v>-1.5165782293013096E-2</v>
      </c>
      <c r="S178" s="14">
        <f t="shared" si="59"/>
        <v>3.7145442779686226E-2</v>
      </c>
      <c r="T178" s="14">
        <f t="shared" si="60"/>
        <v>0.12613246641455547</v>
      </c>
      <c r="U178" s="14">
        <f t="shared" si="61"/>
        <v>1.5239936112520794E-2</v>
      </c>
      <c r="V178" s="14">
        <f t="shared" si="62"/>
        <v>9.4799150740793939E-3</v>
      </c>
      <c r="W178" s="14">
        <f t="shared" si="63"/>
        <v>6.2696398261081338E-3</v>
      </c>
      <c r="X178" s="14">
        <f t="shared" si="64"/>
        <v>0.10440999787872932</v>
      </c>
      <c r="Y178" s="14">
        <f t="shared" si="65"/>
        <v>-8.4756531451168227E-3</v>
      </c>
      <c r="Z178" s="14">
        <f t="shared" si="66"/>
        <v>4.3542317492916462E-2</v>
      </c>
      <c r="AA178" s="14">
        <f t="shared" si="67"/>
        <v>-1.8178653217678264E-2</v>
      </c>
      <c r="AB178" s="14">
        <f t="shared" si="68"/>
        <v>9.6775245451973788E-2</v>
      </c>
      <c r="AC178" s="14">
        <f t="shared" si="69"/>
        <v>0.11651767937497282</v>
      </c>
      <c r="AD178" s="14">
        <f t="shared" si="70"/>
        <v>-5.2321014623451123E-2</v>
      </c>
      <c r="AE178" s="14">
        <f t="shared" si="71"/>
        <v>3.4230247747972814E-2</v>
      </c>
      <c r="AM178" s="14">
        <f t="shared" si="72"/>
        <v>-2.2971898713545109E-2</v>
      </c>
      <c r="AN178" s="14">
        <f t="shared" si="73"/>
        <v>1.6348736259866218E-2</v>
      </c>
      <c r="AO178" s="14">
        <f t="shared" si="74"/>
        <v>0.11825453007492603</v>
      </c>
      <c r="AP178" s="14">
        <f t="shared" si="75"/>
        <v>5.405428072989384E-3</v>
      </c>
      <c r="AQ178" s="14">
        <f t="shared" si="76"/>
        <v>-4.3430243896841053E-3</v>
      </c>
      <c r="AR178" s="14">
        <f t="shared" si="77"/>
        <v>-2.2429650035292199E-3</v>
      </c>
      <c r="AS178" s="14">
        <f t="shared" si="78"/>
        <v>9.1596994883889712E-2</v>
      </c>
      <c r="AT178" s="14">
        <f t="shared" si="79"/>
        <v>-1.3871584455661647E-2</v>
      </c>
      <c r="AU178" s="14">
        <f t="shared" si="80"/>
        <v>2.7418824916158626E-2</v>
      </c>
      <c r="AV178" s="14">
        <f t="shared" si="81"/>
        <v>-4.0230041427812724E-2</v>
      </c>
      <c r="AW178" s="14">
        <f t="shared" si="82"/>
        <v>8.3687457575149407E-2</v>
      </c>
      <c r="AX178" s="14">
        <f t="shared" si="83"/>
        <v>8.9808826738156933E-2</v>
      </c>
      <c r="AY178" s="14">
        <f t="shared" si="84"/>
        <v>-6.3591946111531031E-2</v>
      </c>
      <c r="AZ178" s="14">
        <f t="shared" si="85"/>
        <v>2.9616195751252371E-2</v>
      </c>
    </row>
    <row r="179" spans="2:52" x14ac:dyDescent="0.3">
      <c r="B179" s="13">
        <v>-3.3775618193580069E-2</v>
      </c>
      <c r="C179" s="13">
        <v>1.8603175473144776E-2</v>
      </c>
      <c r="D179" s="13">
        <v>7.8946875178374388E-3</v>
      </c>
      <c r="E179" s="13">
        <v>-7.1246739872689646E-2</v>
      </c>
      <c r="F179" s="13">
        <v>3.7751933825228276E-2</v>
      </c>
      <c r="G179" s="13">
        <v>1.6082217958432791E-2</v>
      </c>
      <c r="H179" s="13">
        <v>-7.6166184392559072E-3</v>
      </c>
      <c r="I179" s="13">
        <v>-2.3953241022492758E-2</v>
      </c>
      <c r="J179" s="13">
        <v>-7.0545602585090919E-2</v>
      </c>
      <c r="K179" s="13">
        <v>-2.7756883998663828E-2</v>
      </c>
      <c r="L179" s="13">
        <v>-1.7595761890379601E-2</v>
      </c>
      <c r="M179" s="13">
        <v>-5.7802328865416905E-2</v>
      </c>
      <c r="N179" s="13">
        <v>-1.0124188370059488E-2</v>
      </c>
      <c r="O179" s="13">
        <v>3.8615804522756883E-2</v>
      </c>
      <c r="R179" s="14">
        <f t="shared" si="58"/>
        <v>-2.7020494554864057E-2</v>
      </c>
      <c r="S179" s="14">
        <f t="shared" si="59"/>
        <v>2.232381056777373E-2</v>
      </c>
      <c r="T179" s="14">
        <f t="shared" si="60"/>
        <v>9.4736250214049259E-3</v>
      </c>
      <c r="U179" s="14">
        <f t="shared" si="61"/>
        <v>-5.6997391898151721E-2</v>
      </c>
      <c r="V179" s="14">
        <f t="shared" si="62"/>
        <v>4.5302320590273927E-2</v>
      </c>
      <c r="W179" s="14">
        <f t="shared" si="63"/>
        <v>1.9298661550119348E-2</v>
      </c>
      <c r="X179" s="14">
        <f t="shared" si="64"/>
        <v>-6.0932947514047257E-3</v>
      </c>
      <c r="Y179" s="14">
        <f t="shared" si="65"/>
        <v>-1.9162592817994206E-2</v>
      </c>
      <c r="Z179" s="14">
        <f t="shared" si="66"/>
        <v>-5.6436482068072738E-2</v>
      </c>
      <c r="AA179" s="14">
        <f t="shared" si="67"/>
        <v>-2.2205507198931065E-2</v>
      </c>
      <c r="AB179" s="14">
        <f t="shared" si="68"/>
        <v>-1.4076609512303682E-2</v>
      </c>
      <c r="AC179" s="14">
        <f t="shared" si="69"/>
        <v>-4.6241863092333524E-2</v>
      </c>
      <c r="AD179" s="14">
        <f t="shared" si="70"/>
        <v>-8.099350696047591E-3</v>
      </c>
      <c r="AE179" s="14">
        <f t="shared" si="71"/>
        <v>4.6338965427308261E-2</v>
      </c>
      <c r="AM179" s="14">
        <f t="shared" si="72"/>
        <v>-3.482661097539607E-2</v>
      </c>
      <c r="AN179" s="14">
        <f t="shared" si="73"/>
        <v>1.5271040479537222E-3</v>
      </c>
      <c r="AO179" s="14">
        <f t="shared" si="74"/>
        <v>1.5956886817754864E-3</v>
      </c>
      <c r="AP179" s="14">
        <f t="shared" si="75"/>
        <v>-6.6831899937683126E-2</v>
      </c>
      <c r="AQ179" s="14">
        <f t="shared" si="76"/>
        <v>3.1479381126510428E-2</v>
      </c>
      <c r="AR179" s="14">
        <f t="shared" si="77"/>
        <v>1.0786056720481994E-2</v>
      </c>
      <c r="AS179" s="14">
        <f t="shared" si="78"/>
        <v>-1.8906297746244326E-2</v>
      </c>
      <c r="AT179" s="14">
        <f t="shared" si="79"/>
        <v>-2.4558524128539032E-2</v>
      </c>
      <c r="AU179" s="14">
        <f t="shared" si="80"/>
        <v>-7.2559974644830577E-2</v>
      </c>
      <c r="AV179" s="14">
        <f t="shared" si="81"/>
        <v>-4.4256895409065522E-2</v>
      </c>
      <c r="AW179" s="14">
        <f t="shared" si="82"/>
        <v>-2.716439738912807E-2</v>
      </c>
      <c r="AX179" s="14">
        <f t="shared" si="83"/>
        <v>-7.2950715729149407E-2</v>
      </c>
      <c r="AY179" s="14">
        <f t="shared" si="84"/>
        <v>-1.9370282184127497E-2</v>
      </c>
      <c r="AZ179" s="14">
        <f t="shared" si="85"/>
        <v>4.1724913430587818E-2</v>
      </c>
    </row>
    <row r="180" spans="2:52" x14ac:dyDescent="0.3">
      <c r="B180" s="13">
        <v>6.2149380186028572E-2</v>
      </c>
      <c r="C180" s="13">
        <v>0.1490553620107356</v>
      </c>
      <c r="D180" s="13">
        <v>3.4807545230144135E-2</v>
      </c>
      <c r="E180" s="13">
        <v>8.4329114087727169E-2</v>
      </c>
      <c r="F180" s="13">
        <v>0.1599104206589651</v>
      </c>
      <c r="G180" s="13">
        <v>6.2882872845372889E-2</v>
      </c>
      <c r="H180" s="13">
        <v>7.7665290060667483E-2</v>
      </c>
      <c r="I180" s="13">
        <v>5.8840500022933395E-2</v>
      </c>
      <c r="J180" s="13">
        <v>6.7545054780123168E-2</v>
      </c>
      <c r="K180" s="13">
        <v>0.290312565118862</v>
      </c>
      <c r="L180" s="13">
        <v>0.1029545321853909</v>
      </c>
      <c r="M180" s="13">
        <v>9.9100553709950009E-2</v>
      </c>
      <c r="N180" s="13">
        <v>0.15815194872257299</v>
      </c>
      <c r="O180" s="13">
        <v>3.9901635072175243E-2</v>
      </c>
      <c r="R180" s="14">
        <f t="shared" si="58"/>
        <v>7.4579256223234289E-2</v>
      </c>
      <c r="S180" s="14">
        <f t="shared" si="59"/>
        <v>0.17886643441288272</v>
      </c>
      <c r="T180" s="14">
        <f t="shared" si="60"/>
        <v>4.1769054276172959E-2</v>
      </c>
      <c r="U180" s="14">
        <f t="shared" si="61"/>
        <v>0.10119493690527261</v>
      </c>
      <c r="V180" s="14">
        <f t="shared" si="62"/>
        <v>0.19189250479075812</v>
      </c>
      <c r="W180" s="14">
        <f t="shared" si="63"/>
        <v>7.5459447414447461E-2</v>
      </c>
      <c r="X180" s="14">
        <f t="shared" si="64"/>
        <v>9.3198348072800974E-2</v>
      </c>
      <c r="Y180" s="14">
        <f t="shared" si="65"/>
        <v>7.0608600027520077E-2</v>
      </c>
      <c r="Z180" s="14">
        <f t="shared" si="66"/>
        <v>8.1054065736147804E-2</v>
      </c>
      <c r="AA180" s="14">
        <f t="shared" si="67"/>
        <v>0.34837507814263441</v>
      </c>
      <c r="AB180" s="14">
        <f t="shared" si="68"/>
        <v>0.12354543862246907</v>
      </c>
      <c r="AC180" s="14">
        <f t="shared" si="69"/>
        <v>0.11892066445194001</v>
      </c>
      <c r="AD180" s="14">
        <f t="shared" si="70"/>
        <v>0.18978233846708759</v>
      </c>
      <c r="AE180" s="14">
        <f t="shared" si="71"/>
        <v>4.7881962086610289E-2</v>
      </c>
      <c r="AM180" s="14">
        <f t="shared" si="72"/>
        <v>6.6773139802702275E-2</v>
      </c>
      <c r="AN180" s="14">
        <f t="shared" si="73"/>
        <v>0.1580697278930627</v>
      </c>
      <c r="AO180" s="14">
        <f t="shared" si="74"/>
        <v>3.3891117936543522E-2</v>
      </c>
      <c r="AP180" s="14">
        <f t="shared" si="75"/>
        <v>9.1360428865741194E-2</v>
      </c>
      <c r="AQ180" s="14">
        <f t="shared" si="76"/>
        <v>0.17806956532699461</v>
      </c>
      <c r="AR180" s="14">
        <f t="shared" si="77"/>
        <v>6.694684258481011E-2</v>
      </c>
      <c r="AS180" s="14">
        <f t="shared" si="78"/>
        <v>8.038534507796137E-2</v>
      </c>
      <c r="AT180" s="14">
        <f t="shared" si="79"/>
        <v>6.5212668716975258E-2</v>
      </c>
      <c r="AU180" s="14">
        <f t="shared" si="80"/>
        <v>6.4930573159389965E-2</v>
      </c>
      <c r="AV180" s="14">
        <f t="shared" si="81"/>
        <v>0.32632368993249994</v>
      </c>
      <c r="AW180" s="14">
        <f t="shared" si="82"/>
        <v>0.11045765074564469</v>
      </c>
      <c r="AX180" s="14">
        <f t="shared" si="83"/>
        <v>9.2211811815124126E-2</v>
      </c>
      <c r="AY180" s="14">
        <f t="shared" si="84"/>
        <v>0.17851140697900769</v>
      </c>
      <c r="AZ180" s="14">
        <f t="shared" si="85"/>
        <v>4.3267910089889845E-2</v>
      </c>
    </row>
    <row r="181" spans="2:52" x14ac:dyDescent="0.3">
      <c r="B181" s="13">
        <v>-7.8706386142610413E-2</v>
      </c>
      <c r="C181" s="13">
        <v>-3.0824743532155724E-2</v>
      </c>
      <c r="D181" s="13">
        <v>-9.0442321399590245E-3</v>
      </c>
      <c r="E181" s="13">
        <v>1.3625980258680842E-2</v>
      </c>
      <c r="F181" s="13">
        <v>-3.0873455378807927E-2</v>
      </c>
      <c r="G181" s="13">
        <v>-2.2628738688181521E-2</v>
      </c>
      <c r="H181" s="13">
        <v>-2.0957055455926767E-2</v>
      </c>
      <c r="I181" s="13">
        <v>-6.1267685680544574E-2</v>
      </c>
      <c r="J181" s="13">
        <v>3.6501789367397557E-2</v>
      </c>
      <c r="K181" s="13">
        <v>-1.2461926314268559E-2</v>
      </c>
      <c r="L181" s="13">
        <v>-4.5011496885024441E-2</v>
      </c>
      <c r="M181" s="13">
        <v>-4.9133799486940646E-2</v>
      </c>
      <c r="N181" s="13">
        <v>-3.3626191350465517E-2</v>
      </c>
      <c r="O181" s="13">
        <v>-6.5184755270188882E-2</v>
      </c>
      <c r="R181" s="14">
        <f t="shared" si="58"/>
        <v>-6.2965108914088339E-2</v>
      </c>
      <c r="S181" s="14">
        <f t="shared" si="59"/>
        <v>-2.4659794825724581E-2</v>
      </c>
      <c r="T181" s="14">
        <f t="shared" si="60"/>
        <v>-7.23538571196722E-3</v>
      </c>
      <c r="U181" s="14">
        <f t="shared" si="61"/>
        <v>1.635117631041701E-2</v>
      </c>
      <c r="V181" s="14">
        <f t="shared" si="62"/>
        <v>-2.4698764303046343E-2</v>
      </c>
      <c r="W181" s="14">
        <f t="shared" si="63"/>
        <v>-1.8102990950545218E-2</v>
      </c>
      <c r="X181" s="14">
        <f t="shared" si="64"/>
        <v>-1.6765644364741414E-2</v>
      </c>
      <c r="Y181" s="14">
        <f t="shared" si="65"/>
        <v>-4.9014148544435664E-2</v>
      </c>
      <c r="Z181" s="14">
        <f t="shared" si="66"/>
        <v>4.3802147240877068E-2</v>
      </c>
      <c r="AA181" s="14">
        <f t="shared" si="67"/>
        <v>-9.9695410514148482E-3</v>
      </c>
      <c r="AB181" s="14">
        <f t="shared" si="68"/>
        <v>-3.6009197508019557E-2</v>
      </c>
      <c r="AC181" s="14">
        <f t="shared" si="69"/>
        <v>-3.930703958955252E-2</v>
      </c>
      <c r="AD181" s="14">
        <f t="shared" si="70"/>
        <v>-2.6900953080372415E-2</v>
      </c>
      <c r="AE181" s="14">
        <f t="shared" si="71"/>
        <v>-5.214780421615111E-2</v>
      </c>
      <c r="AM181" s="14">
        <f t="shared" si="72"/>
        <v>-7.0771225334620352E-2</v>
      </c>
      <c r="AN181" s="14">
        <f t="shared" si="73"/>
        <v>-4.5456501345544589E-2</v>
      </c>
      <c r="AO181" s="14">
        <f t="shared" si="74"/>
        <v>-1.5113322051596659E-2</v>
      </c>
      <c r="AP181" s="14">
        <f t="shared" si="75"/>
        <v>6.5166682708856002E-3</v>
      </c>
      <c r="AQ181" s="14">
        <f t="shared" si="76"/>
        <v>-3.8521703766809842E-2</v>
      </c>
      <c r="AR181" s="14">
        <f t="shared" si="77"/>
        <v>-2.661559578018257E-2</v>
      </c>
      <c r="AS181" s="14">
        <f t="shared" si="78"/>
        <v>-2.957864735958101E-2</v>
      </c>
      <c r="AT181" s="14">
        <f t="shared" si="79"/>
        <v>-5.4410079854980489E-2</v>
      </c>
      <c r="AU181" s="14">
        <f t="shared" si="80"/>
        <v>2.7678654664119232E-2</v>
      </c>
      <c r="AV181" s="14">
        <f t="shared" si="81"/>
        <v>-3.2020929261549307E-2</v>
      </c>
      <c r="AW181" s="14">
        <f t="shared" si="82"/>
        <v>-4.9096985384843944E-2</v>
      </c>
      <c r="AX181" s="14">
        <f t="shared" si="83"/>
        <v>-6.6015892226368403E-2</v>
      </c>
      <c r="AY181" s="14">
        <f t="shared" si="84"/>
        <v>-3.8171884568452323E-2</v>
      </c>
      <c r="AZ181" s="14">
        <f t="shared" si="85"/>
        <v>-5.6761856212871553E-2</v>
      </c>
    </row>
    <row r="182" spans="2:52" x14ac:dyDescent="0.3">
      <c r="B182" s="13">
        <v>2.8175144552885455E-2</v>
      </c>
      <c r="C182" s="13">
        <v>2.8828661103975677E-2</v>
      </c>
      <c r="D182" s="13">
        <v>2.2361289314598017E-2</v>
      </c>
      <c r="E182" s="13">
        <v>1.9224012846226129E-2</v>
      </c>
      <c r="F182" s="13">
        <v>2.0764817236001498E-2</v>
      </c>
      <c r="G182" s="13">
        <v>1.9803602858823263E-2</v>
      </c>
      <c r="H182" s="13">
        <v>3.2061119604521605E-2</v>
      </c>
      <c r="I182" s="13">
        <v>2.4271856576111375E-3</v>
      </c>
      <c r="J182" s="13">
        <v>3.4050066002282782E-2</v>
      </c>
      <c r="K182" s="13">
        <v>-6.4913521775412764E-2</v>
      </c>
      <c r="L182" s="13">
        <v>-4.1772113356575512E-2</v>
      </c>
      <c r="M182" s="13">
        <v>6.6432355603234725E-2</v>
      </c>
      <c r="N182" s="13">
        <v>4.8783263834420457E-2</v>
      </c>
      <c r="O182" s="13">
        <v>2.4544931188114249E-2</v>
      </c>
      <c r="R182" s="14">
        <f t="shared" si="58"/>
        <v>3.3810173463462545E-2</v>
      </c>
      <c r="S182" s="14">
        <f t="shared" si="59"/>
        <v>3.4594393324770809E-2</v>
      </c>
      <c r="T182" s="14">
        <f t="shared" si="60"/>
        <v>2.6833547177517621E-2</v>
      </c>
      <c r="U182" s="14">
        <f t="shared" si="61"/>
        <v>2.3068815415471355E-2</v>
      </c>
      <c r="V182" s="14">
        <f t="shared" si="62"/>
        <v>2.4917780683201798E-2</v>
      </c>
      <c r="W182" s="14">
        <f t="shared" si="63"/>
        <v>2.3764323430587913E-2</v>
      </c>
      <c r="X182" s="14">
        <f t="shared" si="64"/>
        <v>3.8473343525425925E-2</v>
      </c>
      <c r="Y182" s="14">
        <f t="shared" si="65"/>
        <v>2.9126227891333651E-3</v>
      </c>
      <c r="Z182" s="14">
        <f t="shared" si="66"/>
        <v>4.086007920273934E-2</v>
      </c>
      <c r="AA182" s="14">
        <f t="shared" si="67"/>
        <v>-5.1930817420330212E-2</v>
      </c>
      <c r="AB182" s="14">
        <f t="shared" si="68"/>
        <v>-3.3417690685260411E-2</v>
      </c>
      <c r="AC182" s="14">
        <f t="shared" si="69"/>
        <v>7.9718826723881669E-2</v>
      </c>
      <c r="AD182" s="14">
        <f t="shared" si="70"/>
        <v>5.8539916601304545E-2</v>
      </c>
      <c r="AE182" s="14">
        <f t="shared" si="71"/>
        <v>2.9453917425737098E-2</v>
      </c>
      <c r="AM182" s="14">
        <f t="shared" si="72"/>
        <v>2.6004057042930531E-2</v>
      </c>
      <c r="AN182" s="14">
        <f t="shared" si="73"/>
        <v>1.37976868049508E-2</v>
      </c>
      <c r="AO182" s="14">
        <f t="shared" si="74"/>
        <v>1.895561083788818E-2</v>
      </c>
      <c r="AP182" s="14">
        <f t="shared" si="75"/>
        <v>1.3234307375939945E-2</v>
      </c>
      <c r="AQ182" s="14">
        <f t="shared" si="76"/>
        <v>1.1094841219438299E-2</v>
      </c>
      <c r="AR182" s="14">
        <f t="shared" si="77"/>
        <v>1.5251718600950559E-2</v>
      </c>
      <c r="AS182" s="14">
        <f t="shared" si="78"/>
        <v>2.5660340530586329E-2</v>
      </c>
      <c r="AT182" s="14">
        <f t="shared" si="79"/>
        <v>-2.4833085214114596E-3</v>
      </c>
      <c r="AU182" s="14">
        <f t="shared" si="80"/>
        <v>2.4736586625981504E-2</v>
      </c>
      <c r="AV182" s="14">
        <f t="shared" si="81"/>
        <v>-7.3982205630464676E-2</v>
      </c>
      <c r="AW182" s="14">
        <f t="shared" si="82"/>
        <v>-4.6505478562084798E-2</v>
      </c>
      <c r="AX182" s="14">
        <f t="shared" si="83"/>
        <v>5.3009974087065787E-2</v>
      </c>
      <c r="AY182" s="14">
        <f t="shared" si="84"/>
        <v>4.7268985113224637E-2</v>
      </c>
      <c r="AZ182" s="14">
        <f t="shared" si="85"/>
        <v>2.4839865429016655E-2</v>
      </c>
    </row>
    <row r="183" spans="2:52" x14ac:dyDescent="0.3">
      <c r="B183" s="13">
        <v>1.516939926256883E-2</v>
      </c>
      <c r="C183" s="13">
        <v>4.7616001947276582E-2</v>
      </c>
      <c r="D183" s="13">
        <v>2.1532086573450491E-2</v>
      </c>
      <c r="E183" s="13">
        <v>1.1232820325697741E-2</v>
      </c>
      <c r="F183" s="13">
        <v>-0.16031755181549134</v>
      </c>
      <c r="G183" s="13">
        <v>4.090588934740786E-2</v>
      </c>
      <c r="H183" s="13">
        <v>7.4700194211285445E-2</v>
      </c>
      <c r="I183" s="13">
        <v>2.4213086890103454E-3</v>
      </c>
      <c r="J183" s="13">
        <v>-6.2993674864920161E-3</v>
      </c>
      <c r="K183" s="13">
        <v>1.8679367752880517E-2</v>
      </c>
      <c r="L183" s="13">
        <v>1.6965534158296668E-2</v>
      </c>
      <c r="M183" s="13">
        <v>-3.1293497639092616E-2</v>
      </c>
      <c r="N183" s="13">
        <v>8.0063939321431757E-2</v>
      </c>
      <c r="O183" s="13">
        <v>-1.1138729026325293E-2</v>
      </c>
      <c r="R183" s="14">
        <f t="shared" si="58"/>
        <v>1.8203279115082596E-2</v>
      </c>
      <c r="S183" s="14">
        <f t="shared" si="59"/>
        <v>5.7139202336731892E-2</v>
      </c>
      <c r="T183" s="14">
        <f t="shared" si="60"/>
        <v>2.5838503888140588E-2</v>
      </c>
      <c r="U183" s="14">
        <f t="shared" si="61"/>
        <v>1.3479384390837288E-2</v>
      </c>
      <c r="V183" s="14">
        <f t="shared" si="62"/>
        <v>-0.12825404145239308</v>
      </c>
      <c r="W183" s="14">
        <f t="shared" si="63"/>
        <v>4.9087067216889428E-2</v>
      </c>
      <c r="X183" s="14">
        <f t="shared" si="64"/>
        <v>8.9640233053542531E-2</v>
      </c>
      <c r="Y183" s="14">
        <f t="shared" si="65"/>
        <v>2.9055704268124145E-3</v>
      </c>
      <c r="Z183" s="14">
        <f t="shared" si="66"/>
        <v>-5.0394939891936132E-3</v>
      </c>
      <c r="AA183" s="14">
        <f t="shared" si="67"/>
        <v>2.241524130345662E-2</v>
      </c>
      <c r="AB183" s="14">
        <f t="shared" si="68"/>
        <v>2.0358640989956E-2</v>
      </c>
      <c r="AC183" s="14">
        <f t="shared" si="69"/>
        <v>-2.5034798111274095E-2</v>
      </c>
      <c r="AD183" s="14">
        <f t="shared" si="70"/>
        <v>9.6076727185718108E-2</v>
      </c>
      <c r="AE183" s="14">
        <f t="shared" si="71"/>
        <v>-8.9109832210602351E-3</v>
      </c>
      <c r="AM183" s="14">
        <f t="shared" si="72"/>
        <v>1.0397162694550582E-2</v>
      </c>
      <c r="AN183" s="14">
        <f t="shared" si="73"/>
        <v>3.6342495816911888E-2</v>
      </c>
      <c r="AO183" s="14">
        <f t="shared" si="74"/>
        <v>1.796056754851115E-2</v>
      </c>
      <c r="AP183" s="14">
        <f t="shared" si="75"/>
        <v>3.6448763513058785E-3</v>
      </c>
      <c r="AQ183" s="14">
        <f t="shared" si="76"/>
        <v>-0.14207698091615659</v>
      </c>
      <c r="AR183" s="14">
        <f t="shared" si="77"/>
        <v>4.0574462387252076E-2</v>
      </c>
      <c r="AS183" s="14">
        <f t="shared" si="78"/>
        <v>7.6827230058702928E-2</v>
      </c>
      <c r="AT183" s="14">
        <f t="shared" si="79"/>
        <v>-2.4903608837324102E-3</v>
      </c>
      <c r="AU183" s="14">
        <f t="shared" si="80"/>
        <v>-2.1162986565951447E-2</v>
      </c>
      <c r="AV183" s="14">
        <f t="shared" si="81"/>
        <v>3.6385309332216328E-4</v>
      </c>
      <c r="AW183" s="14">
        <f t="shared" si="82"/>
        <v>7.2708531131316142E-3</v>
      </c>
      <c r="AX183" s="14">
        <f t="shared" si="83"/>
        <v>-5.1743650748089974E-2</v>
      </c>
      <c r="AY183" s="14">
        <f t="shared" si="84"/>
        <v>8.48057956976382E-2</v>
      </c>
      <c r="AZ183" s="14">
        <f t="shared" si="85"/>
        <v>-1.3525035217780677E-2</v>
      </c>
    </row>
    <row r="184" spans="2:52" x14ac:dyDescent="0.3">
      <c r="B184" s="13">
        <v>-3.7319814063391285E-2</v>
      </c>
      <c r="C184" s="13">
        <v>1.7624876782112813E-3</v>
      </c>
      <c r="D184" s="13">
        <v>9.6897112886791519E-3</v>
      </c>
      <c r="E184" s="13">
        <v>5.6839538702649767E-3</v>
      </c>
      <c r="F184" s="13">
        <v>9.7328753826107783E-2</v>
      </c>
      <c r="G184" s="13">
        <v>-6.9067862132547652E-3</v>
      </c>
      <c r="H184" s="13">
        <v>-2.1499038945456135E-2</v>
      </c>
      <c r="I184" s="13">
        <v>-4.0721233776555454E-2</v>
      </c>
      <c r="J184" s="13">
        <v>2.5732956315064778E-2</v>
      </c>
      <c r="K184" s="13">
        <v>-3.4660743180097021E-2</v>
      </c>
      <c r="L184" s="13">
        <v>-1.970216505296005E-2</v>
      </c>
      <c r="M184" s="13">
        <v>7.3056011941667845E-2</v>
      </c>
      <c r="N184" s="13">
        <v>-5.3508283379192917E-2</v>
      </c>
      <c r="O184" s="13">
        <v>-4.7403447201208627E-2</v>
      </c>
      <c r="R184" s="14">
        <f t="shared" si="58"/>
        <v>-2.9855851250713029E-2</v>
      </c>
      <c r="S184" s="14">
        <f t="shared" si="59"/>
        <v>2.1149852138535375E-3</v>
      </c>
      <c r="T184" s="14">
        <f t="shared" si="60"/>
        <v>1.1627653546414983E-2</v>
      </c>
      <c r="U184" s="14">
        <f t="shared" si="61"/>
        <v>6.8207446443179715E-3</v>
      </c>
      <c r="V184" s="14">
        <f t="shared" si="62"/>
        <v>0.11679450459132934</v>
      </c>
      <c r="W184" s="14">
        <f t="shared" si="63"/>
        <v>-5.5254289706038124E-3</v>
      </c>
      <c r="X184" s="14">
        <f t="shared" si="64"/>
        <v>-1.7199231156364909E-2</v>
      </c>
      <c r="Y184" s="14">
        <f t="shared" si="65"/>
        <v>-3.2576987021244362E-2</v>
      </c>
      <c r="Z184" s="14">
        <f t="shared" si="66"/>
        <v>3.0879547578077732E-2</v>
      </c>
      <c r="AA184" s="14">
        <f t="shared" si="67"/>
        <v>-2.7728594544077619E-2</v>
      </c>
      <c r="AB184" s="14">
        <f t="shared" si="68"/>
        <v>-1.576173204236804E-2</v>
      </c>
      <c r="AC184" s="14">
        <f t="shared" si="69"/>
        <v>8.7667214330001408E-2</v>
      </c>
      <c r="AD184" s="14">
        <f t="shared" si="70"/>
        <v>-4.2806626703354334E-2</v>
      </c>
      <c r="AE184" s="14">
        <f t="shared" si="71"/>
        <v>-3.7922757760966902E-2</v>
      </c>
      <c r="AM184" s="14">
        <f t="shared" si="72"/>
        <v>-3.7661967671245043E-2</v>
      </c>
      <c r="AN184" s="14">
        <f t="shared" si="73"/>
        <v>-1.8681721305966469E-2</v>
      </c>
      <c r="AO184" s="14">
        <f t="shared" si="74"/>
        <v>3.7497172067855432E-3</v>
      </c>
      <c r="AP184" s="14">
        <f t="shared" si="75"/>
        <v>-3.0137633952134384E-3</v>
      </c>
      <c r="AQ184" s="14">
        <f t="shared" si="76"/>
        <v>0.10297156512756583</v>
      </c>
      <c r="AR184" s="14">
        <f t="shared" si="77"/>
        <v>-1.4038033800241167E-2</v>
      </c>
      <c r="AS184" s="14">
        <f t="shared" si="78"/>
        <v>-3.0012234151204506E-2</v>
      </c>
      <c r="AT184" s="14">
        <f t="shared" si="79"/>
        <v>-3.7972918331789188E-2</v>
      </c>
      <c r="AU184" s="14">
        <f t="shared" si="80"/>
        <v>1.4756055001319896E-2</v>
      </c>
      <c r="AV184" s="14">
        <f t="shared" si="81"/>
        <v>-4.9779982754212075E-2</v>
      </c>
      <c r="AW184" s="14">
        <f t="shared" si="82"/>
        <v>-2.8849519919192428E-2</v>
      </c>
      <c r="AX184" s="14">
        <f t="shared" si="83"/>
        <v>6.0958361693185525E-2</v>
      </c>
      <c r="AY184" s="14">
        <f t="shared" si="84"/>
        <v>-5.4077558191434241E-2</v>
      </c>
      <c r="AZ184" s="14">
        <f t="shared" si="85"/>
        <v>-4.2536809757687345E-2</v>
      </c>
    </row>
    <row r="185" spans="2:52" x14ac:dyDescent="0.3">
      <c r="B185" s="13">
        <v>2.2896962054607065E-2</v>
      </c>
      <c r="C185" s="13">
        <v>1.3155322322074356E-2</v>
      </c>
      <c r="D185" s="13">
        <v>5.1241239423098278E-3</v>
      </c>
      <c r="E185" s="13">
        <v>-4.7062682487584974E-2</v>
      </c>
      <c r="F185" s="13">
        <v>-9.7302573182123341E-3</v>
      </c>
      <c r="G185" s="13">
        <v>-1.1427611971982485E-2</v>
      </c>
      <c r="H185" s="13">
        <v>-7.6178202069536677E-4</v>
      </c>
      <c r="I185" s="13">
        <v>8.7774858212234415E-3</v>
      </c>
      <c r="J185" s="13">
        <v>-9.0290292780446004E-3</v>
      </c>
      <c r="K185" s="13">
        <v>0.23946547372803861</v>
      </c>
      <c r="L185" s="13">
        <v>-1.7888025758474413E-3</v>
      </c>
      <c r="M185" s="13">
        <v>-7.2806701432350895E-4</v>
      </c>
      <c r="N185" s="13">
        <v>8.4735348851728565E-2</v>
      </c>
      <c r="O185" s="13">
        <v>1.7591968360093652E-2</v>
      </c>
      <c r="R185" s="14">
        <f t="shared" si="58"/>
        <v>2.7476354465528478E-2</v>
      </c>
      <c r="S185" s="14">
        <f t="shared" si="59"/>
        <v>1.5786386786489227E-2</v>
      </c>
      <c r="T185" s="14">
        <f t="shared" si="60"/>
        <v>6.1489487307717933E-3</v>
      </c>
      <c r="U185" s="14">
        <f t="shared" si="61"/>
        <v>-3.7650145990067982E-2</v>
      </c>
      <c r="V185" s="14">
        <f t="shared" si="62"/>
        <v>-7.7842058545698678E-3</v>
      </c>
      <c r="W185" s="14">
        <f t="shared" si="63"/>
        <v>-9.1420895775859885E-3</v>
      </c>
      <c r="X185" s="14">
        <f t="shared" si="64"/>
        <v>-6.0942561655629346E-4</v>
      </c>
      <c r="Y185" s="14">
        <f t="shared" si="65"/>
        <v>1.0532982985468129E-2</v>
      </c>
      <c r="Z185" s="14">
        <f t="shared" si="66"/>
        <v>-7.223223422435681E-3</v>
      </c>
      <c r="AA185" s="14">
        <f t="shared" si="67"/>
        <v>0.28735856847364633</v>
      </c>
      <c r="AB185" s="14">
        <f t="shared" si="68"/>
        <v>-1.4310420606779531E-3</v>
      </c>
      <c r="AC185" s="14">
        <f t="shared" si="69"/>
        <v>-5.8245361145880723E-4</v>
      </c>
      <c r="AD185" s="14">
        <f t="shared" si="70"/>
        <v>0.10168241862207428</v>
      </c>
      <c r="AE185" s="14">
        <f t="shared" si="71"/>
        <v>2.1110362032112383E-2</v>
      </c>
      <c r="AM185" s="14">
        <f t="shared" si="72"/>
        <v>1.9670238044996464E-2</v>
      </c>
      <c r="AN185" s="14">
        <f t="shared" si="73"/>
        <v>-5.0103197333307807E-3</v>
      </c>
      <c r="AO185" s="14">
        <f t="shared" si="74"/>
        <v>-1.7289876088576461E-3</v>
      </c>
      <c r="AP185" s="14">
        <f t="shared" si="75"/>
        <v>-4.7484654029599394E-2</v>
      </c>
      <c r="AQ185" s="14">
        <f t="shared" si="76"/>
        <v>-2.1607145318333368E-2</v>
      </c>
      <c r="AR185" s="14">
        <f t="shared" si="77"/>
        <v>-1.7654694407223344E-2</v>
      </c>
      <c r="AS185" s="14">
        <f t="shared" si="78"/>
        <v>-1.3422428611395892E-2</v>
      </c>
      <c r="AT185" s="14">
        <f t="shared" si="79"/>
        <v>5.137051674923304E-3</v>
      </c>
      <c r="AU185" s="14">
        <f t="shared" si="80"/>
        <v>-2.3346715999193517E-2</v>
      </c>
      <c r="AV185" s="14">
        <f t="shared" si="81"/>
        <v>0.26530718026351185</v>
      </c>
      <c r="AW185" s="14">
        <f t="shared" si="82"/>
        <v>-1.4518829937502338E-2</v>
      </c>
      <c r="AX185" s="14">
        <f t="shared" si="83"/>
        <v>-2.7291306248274687E-2</v>
      </c>
      <c r="AY185" s="14">
        <f t="shared" si="84"/>
        <v>9.041148713399437E-2</v>
      </c>
      <c r="AZ185" s="14">
        <f t="shared" si="85"/>
        <v>1.649631003539194E-2</v>
      </c>
    </row>
    <row r="186" spans="2:52" x14ac:dyDescent="0.3">
      <c r="B186" s="13">
        <v>3.9793076529873232E-4</v>
      </c>
      <c r="C186" s="13">
        <v>9.2240411423765711E-2</v>
      </c>
      <c r="D186" s="13">
        <v>3.810023776107499E-2</v>
      </c>
      <c r="E186" s="13">
        <v>6.8920857372153824E-2</v>
      </c>
      <c r="F186" s="13">
        <v>4.5525713898407682E-3</v>
      </c>
      <c r="G186" s="13">
        <v>6.2885909247458072E-2</v>
      </c>
      <c r="H186" s="13">
        <v>7.2462091642270049E-2</v>
      </c>
      <c r="I186" s="13">
        <v>8.4928476840620604E-2</v>
      </c>
      <c r="J186" s="13">
        <v>4.7219292012535413E-2</v>
      </c>
      <c r="K186" s="13">
        <v>0.13635265718293113</v>
      </c>
      <c r="L186" s="13">
        <v>8.8472471877799233E-2</v>
      </c>
      <c r="M186" s="13">
        <v>-4.8957694589341849E-2</v>
      </c>
      <c r="N186" s="13">
        <v>7.0892535299747622E-2</v>
      </c>
      <c r="O186" s="13">
        <v>4.9881794290786577E-3</v>
      </c>
      <c r="R186" s="14">
        <f t="shared" si="58"/>
        <v>4.7751691835847877E-4</v>
      </c>
      <c r="S186" s="14">
        <f t="shared" si="59"/>
        <v>0.11068849370851885</v>
      </c>
      <c r="T186" s="14">
        <f t="shared" si="60"/>
        <v>4.5720285313289984E-2</v>
      </c>
      <c r="U186" s="14">
        <f t="shared" si="61"/>
        <v>8.270502884658458E-2</v>
      </c>
      <c r="V186" s="14">
        <f t="shared" si="62"/>
        <v>5.4630856678089213E-3</v>
      </c>
      <c r="W186" s="14">
        <f t="shared" si="63"/>
        <v>7.546309109694968E-2</v>
      </c>
      <c r="X186" s="14">
        <f t="shared" si="64"/>
        <v>8.6954509970724056E-2</v>
      </c>
      <c r="Y186" s="14">
        <f t="shared" si="65"/>
        <v>0.10191417220874473</v>
      </c>
      <c r="Z186" s="14">
        <f t="shared" si="66"/>
        <v>5.6663150415042496E-2</v>
      </c>
      <c r="AA186" s="14">
        <f t="shared" si="67"/>
        <v>0.16362318861951736</v>
      </c>
      <c r="AB186" s="14">
        <f t="shared" si="68"/>
        <v>0.10616696625335907</v>
      </c>
      <c r="AC186" s="14">
        <f t="shared" si="69"/>
        <v>-3.9166155671473482E-2</v>
      </c>
      <c r="AD186" s="14">
        <f t="shared" si="70"/>
        <v>8.5071042359697147E-2</v>
      </c>
      <c r="AE186" s="14">
        <f t="shared" si="71"/>
        <v>5.9858153148943894E-3</v>
      </c>
      <c r="AM186" s="14">
        <f t="shared" si="72"/>
        <v>-7.3285995021735344E-3</v>
      </c>
      <c r="AN186" s="14">
        <f t="shared" si="73"/>
        <v>8.9891787188698849E-2</v>
      </c>
      <c r="AO186" s="14">
        <f t="shared" si="74"/>
        <v>3.7842348973660546E-2</v>
      </c>
      <c r="AP186" s="14">
        <f t="shared" si="75"/>
        <v>7.2870520807053168E-2</v>
      </c>
      <c r="AQ186" s="14">
        <f t="shared" si="76"/>
        <v>-8.359853795954577E-3</v>
      </c>
      <c r="AR186" s="14">
        <f t="shared" si="77"/>
        <v>6.6950486267312329E-2</v>
      </c>
      <c r="AS186" s="14">
        <f t="shared" si="78"/>
        <v>7.4141506975884452E-2</v>
      </c>
      <c r="AT186" s="14">
        <f t="shared" si="79"/>
        <v>9.6518240898199908E-2</v>
      </c>
      <c r="AU186" s="14">
        <f t="shared" si="80"/>
        <v>4.0539657838284657E-2</v>
      </c>
      <c r="AV186" s="14">
        <f t="shared" si="81"/>
        <v>0.14157180040938289</v>
      </c>
      <c r="AW186" s="14">
        <f t="shared" si="82"/>
        <v>9.3079178376534691E-2</v>
      </c>
      <c r="AX186" s="14">
        <f t="shared" si="83"/>
        <v>-6.5875008308289365E-2</v>
      </c>
      <c r="AY186" s="14">
        <f t="shared" si="84"/>
        <v>7.3800110871617239E-2</v>
      </c>
      <c r="AZ186" s="14">
        <f t="shared" si="85"/>
        <v>1.3717633181739471E-3</v>
      </c>
    </row>
    <row r="187" spans="2:52" x14ac:dyDescent="0.3">
      <c r="B187" s="13">
        <v>6.0168158463101098E-2</v>
      </c>
      <c r="C187" s="13">
        <v>1.0028782530897366E-2</v>
      </c>
      <c r="D187" s="13">
        <v>5.8304513867416963E-3</v>
      </c>
      <c r="E187" s="13">
        <v>5.5856705578670009E-3</v>
      </c>
      <c r="F187" s="13">
        <v>-2.5917754823379213E-2</v>
      </c>
      <c r="G187" s="13">
        <v>4.9248954455159005E-4</v>
      </c>
      <c r="H187" s="13">
        <v>-2.0129548496222855E-2</v>
      </c>
      <c r="I187" s="13">
        <v>6.1164141656875406E-2</v>
      </c>
      <c r="J187" s="13">
        <v>2.9150599242108867E-2</v>
      </c>
      <c r="K187" s="13">
        <v>6.6833293055972307E-3</v>
      </c>
      <c r="L187" s="13">
        <v>2.2684057554109766E-2</v>
      </c>
      <c r="M187" s="13">
        <v>2.7312146559508619E-2</v>
      </c>
      <c r="N187" s="13">
        <v>1.518207347149555E-2</v>
      </c>
      <c r="O187" s="13">
        <v>2.5484213588283936E-3</v>
      </c>
      <c r="R187" s="14">
        <f t="shared" si="58"/>
        <v>7.2201790155721313E-2</v>
      </c>
      <c r="S187" s="14">
        <f t="shared" si="59"/>
        <v>1.2034539037076838E-2</v>
      </c>
      <c r="T187" s="14">
        <f t="shared" si="60"/>
        <v>6.9965416640900358E-3</v>
      </c>
      <c r="U187" s="14">
        <f t="shared" si="61"/>
        <v>6.7028046694404013E-3</v>
      </c>
      <c r="V187" s="14">
        <f t="shared" si="62"/>
        <v>-2.0734203858703372E-2</v>
      </c>
      <c r="W187" s="14">
        <f t="shared" si="63"/>
        <v>5.9098745346190806E-4</v>
      </c>
      <c r="X187" s="14">
        <f t="shared" si="64"/>
        <v>-1.6103638796978285E-2</v>
      </c>
      <c r="Y187" s="14">
        <f t="shared" si="65"/>
        <v>7.3396969988250488E-2</v>
      </c>
      <c r="Z187" s="14">
        <f t="shared" si="66"/>
        <v>3.4980719090530639E-2</v>
      </c>
      <c r="AA187" s="14">
        <f t="shared" si="67"/>
        <v>8.0199951667166772E-3</v>
      </c>
      <c r="AB187" s="14">
        <f t="shared" si="68"/>
        <v>2.7220869064931718E-2</v>
      </c>
      <c r="AC187" s="14">
        <f t="shared" si="69"/>
        <v>3.277457587141034E-2</v>
      </c>
      <c r="AD187" s="14">
        <f t="shared" si="70"/>
        <v>1.8218488165794661E-2</v>
      </c>
      <c r="AE187" s="14">
        <f t="shared" si="71"/>
        <v>3.0581056305940724E-3</v>
      </c>
      <c r="AM187" s="14">
        <f t="shared" si="72"/>
        <v>6.4395673735189299E-2</v>
      </c>
      <c r="AN187" s="14">
        <f t="shared" si="73"/>
        <v>-8.7621674827431696E-3</v>
      </c>
      <c r="AO187" s="14">
        <f t="shared" si="74"/>
        <v>-8.8139467553940368E-4</v>
      </c>
      <c r="AP187" s="14">
        <f t="shared" si="75"/>
        <v>-3.1317033700910086E-3</v>
      </c>
      <c r="AQ187" s="14">
        <f t="shared" si="76"/>
        <v>-3.4557143322466871E-2</v>
      </c>
      <c r="AR187" s="14">
        <f t="shared" si="77"/>
        <v>-7.9216173761754455E-3</v>
      </c>
      <c r="AS187" s="14">
        <f t="shared" si="78"/>
        <v>-2.8916641791817882E-2</v>
      </c>
      <c r="AT187" s="14">
        <f t="shared" si="79"/>
        <v>6.8001038677705669E-2</v>
      </c>
      <c r="AU187" s="14">
        <f t="shared" si="80"/>
        <v>1.8857226513772803E-2</v>
      </c>
      <c r="AV187" s="14">
        <f t="shared" si="81"/>
        <v>-1.4031393043417779E-2</v>
      </c>
      <c r="AW187" s="14">
        <f t="shared" si="82"/>
        <v>1.4133081188107332E-2</v>
      </c>
      <c r="AX187" s="14">
        <f t="shared" si="83"/>
        <v>6.0657232345944605E-3</v>
      </c>
      <c r="AY187" s="14">
        <f t="shared" si="84"/>
        <v>6.9475566777147547E-3</v>
      </c>
      <c r="AZ187" s="14">
        <f t="shared" si="85"/>
        <v>-1.55594636612637E-3</v>
      </c>
    </row>
    <row r="188" spans="2:52" x14ac:dyDescent="0.3">
      <c r="B188" s="13">
        <v>-1.1254857332060055E-2</v>
      </c>
      <c r="C188" s="13">
        <v>3.4420223886479154E-2</v>
      </c>
      <c r="D188" s="13">
        <v>8.9407476712208746E-3</v>
      </c>
      <c r="E188" s="13">
        <v>3.669524855985365E-3</v>
      </c>
      <c r="F188" s="13">
        <v>-5.8518756187781696E-3</v>
      </c>
      <c r="G188" s="13">
        <v>7.1806387522621046E-3</v>
      </c>
      <c r="H188" s="13">
        <v>-2.0883810112867873E-3</v>
      </c>
      <c r="I188" s="13">
        <v>-1.7410668305896888E-2</v>
      </c>
      <c r="J188" s="13">
        <v>-7.1866086836187226E-2</v>
      </c>
      <c r="K188" s="13">
        <v>8.4210944540470567E-2</v>
      </c>
      <c r="L188" s="13">
        <v>1.8622906206319078E-2</v>
      </c>
      <c r="M188" s="13">
        <v>5.6008270358962761E-2</v>
      </c>
      <c r="N188" s="13">
        <v>8.1237048366293411E-3</v>
      </c>
      <c r="O188" s="13">
        <v>-6.8193278509843747E-2</v>
      </c>
      <c r="R188" s="14">
        <f t="shared" si="58"/>
        <v>-9.0038858656480442E-3</v>
      </c>
      <c r="S188" s="14">
        <f t="shared" si="59"/>
        <v>4.1304268663774985E-2</v>
      </c>
      <c r="T188" s="14">
        <f t="shared" si="60"/>
        <v>1.0728897205465049E-2</v>
      </c>
      <c r="U188" s="14">
        <f t="shared" si="61"/>
        <v>4.4034298271824375E-3</v>
      </c>
      <c r="V188" s="14">
        <f t="shared" si="62"/>
        <v>-4.6815004950225359E-3</v>
      </c>
      <c r="W188" s="14">
        <f t="shared" si="63"/>
        <v>8.6167665027145259E-3</v>
      </c>
      <c r="X188" s="14">
        <f t="shared" si="64"/>
        <v>-1.6707048090294299E-3</v>
      </c>
      <c r="Y188" s="14">
        <f t="shared" si="65"/>
        <v>-1.3928534644717511E-2</v>
      </c>
      <c r="Z188" s="14">
        <f t="shared" si="66"/>
        <v>-5.7492869468949784E-2</v>
      </c>
      <c r="AA188" s="14">
        <f t="shared" si="67"/>
        <v>0.10105313344856467</v>
      </c>
      <c r="AB188" s="14">
        <f t="shared" si="68"/>
        <v>2.2347487447582894E-2</v>
      </c>
      <c r="AC188" s="14">
        <f t="shared" si="69"/>
        <v>6.7209924430755311E-2</v>
      </c>
      <c r="AD188" s="14">
        <f t="shared" si="70"/>
        <v>9.7484458039552094E-3</v>
      </c>
      <c r="AE188" s="14">
        <f t="shared" si="71"/>
        <v>-5.4554622807875E-2</v>
      </c>
      <c r="AM188" s="14">
        <f t="shared" si="72"/>
        <v>-1.6810002286180056E-2</v>
      </c>
      <c r="AN188" s="14">
        <f t="shared" si="73"/>
        <v>2.0507562143954976E-2</v>
      </c>
      <c r="AO188" s="14">
        <f t="shared" si="74"/>
        <v>2.8509608658356094E-3</v>
      </c>
      <c r="AP188" s="14">
        <f t="shared" si="75"/>
        <v>-5.4310782123489724E-3</v>
      </c>
      <c r="AQ188" s="14">
        <f t="shared" si="76"/>
        <v>-1.8504439958786034E-2</v>
      </c>
      <c r="AR188" s="14">
        <f t="shared" si="77"/>
        <v>1.0416167307717231E-4</v>
      </c>
      <c r="AS188" s="14">
        <f t="shared" si="78"/>
        <v>-1.4483707803869029E-2</v>
      </c>
      <c r="AT188" s="14">
        <f t="shared" si="79"/>
        <v>-1.9324465955262337E-2</v>
      </c>
      <c r="AU188" s="14">
        <f t="shared" si="80"/>
        <v>-7.3616362045707623E-2</v>
      </c>
      <c r="AV188" s="14">
        <f t="shared" si="81"/>
        <v>7.9001745238430218E-2</v>
      </c>
      <c r="AW188" s="14">
        <f t="shared" si="82"/>
        <v>9.2596995707585079E-3</v>
      </c>
      <c r="AX188" s="14">
        <f t="shared" si="83"/>
        <v>4.0501071793939428E-2</v>
      </c>
      <c r="AY188" s="14">
        <f t="shared" si="84"/>
        <v>-1.5224856841246966E-3</v>
      </c>
      <c r="AZ188" s="14">
        <f t="shared" si="85"/>
        <v>-5.9168674804595443E-2</v>
      </c>
    </row>
    <row r="189" spans="2:52" x14ac:dyDescent="0.3">
      <c r="B189" s="13">
        <v>9.4710422952809772E-5</v>
      </c>
      <c r="C189" s="13">
        <v>4.4414853349060708E-2</v>
      </c>
      <c r="D189" s="13">
        <v>1.3282609404760705E-2</v>
      </c>
      <c r="E189" s="13">
        <v>2.6668247082161273E-2</v>
      </c>
      <c r="F189" s="13">
        <v>5.0200228068426445E-2</v>
      </c>
      <c r="G189" s="13">
        <v>4.9207679919768526E-3</v>
      </c>
      <c r="H189" s="13">
        <v>-1.8610880460639745E-2</v>
      </c>
      <c r="I189" s="13">
        <v>9.4211882055262222E-2</v>
      </c>
      <c r="J189" s="13">
        <v>-5.2178951383191514E-3</v>
      </c>
      <c r="K189" s="13">
        <v>8.1151044745264606E-2</v>
      </c>
      <c r="L189" s="13">
        <v>-5.1629919475920223E-2</v>
      </c>
      <c r="M189" s="13">
        <v>7.7299816596389528E-2</v>
      </c>
      <c r="N189" s="13">
        <v>4.7188917104098997E-2</v>
      </c>
      <c r="O189" s="13">
        <v>1.9562175245167342E-2</v>
      </c>
      <c r="R189" s="14">
        <f t="shared" si="58"/>
        <v>1.1365250754337173E-4</v>
      </c>
      <c r="S189" s="14">
        <f t="shared" si="59"/>
        <v>5.3297824018872848E-2</v>
      </c>
      <c r="T189" s="14">
        <f t="shared" si="60"/>
        <v>1.5939131285712844E-2</v>
      </c>
      <c r="U189" s="14">
        <f t="shared" si="61"/>
        <v>3.2001896498593529E-2</v>
      </c>
      <c r="V189" s="14">
        <f t="shared" si="62"/>
        <v>6.0240273682111732E-2</v>
      </c>
      <c r="W189" s="14">
        <f t="shared" si="63"/>
        <v>5.9049215903722229E-3</v>
      </c>
      <c r="X189" s="14">
        <f t="shared" si="64"/>
        <v>-1.4888704368511797E-2</v>
      </c>
      <c r="Y189" s="14">
        <f t="shared" si="65"/>
        <v>0.11305425846631466</v>
      </c>
      <c r="Z189" s="14">
        <f t="shared" si="66"/>
        <v>-4.1743161106553217E-3</v>
      </c>
      <c r="AA189" s="14">
        <f t="shared" si="67"/>
        <v>9.7381253694317521E-2</v>
      </c>
      <c r="AB189" s="14">
        <f t="shared" si="68"/>
        <v>-4.1303935580736181E-2</v>
      </c>
      <c r="AC189" s="14">
        <f t="shared" si="69"/>
        <v>9.2759779915667431E-2</v>
      </c>
      <c r="AD189" s="14">
        <f t="shared" si="70"/>
        <v>5.6626700524918791E-2</v>
      </c>
      <c r="AE189" s="14">
        <f t="shared" si="71"/>
        <v>2.3474610294200809E-2</v>
      </c>
      <c r="AM189" s="14">
        <f t="shared" si="72"/>
        <v>-7.6924639129886414E-3</v>
      </c>
      <c r="AN189" s="14">
        <f t="shared" si="73"/>
        <v>3.2501117499052837E-2</v>
      </c>
      <c r="AO189" s="14">
        <f t="shared" si="74"/>
        <v>8.061194946083405E-3</v>
      </c>
      <c r="AP189" s="14">
        <f t="shared" si="75"/>
        <v>2.2167388459062118E-2</v>
      </c>
      <c r="AQ189" s="14">
        <f t="shared" si="76"/>
        <v>4.6417334218348233E-2</v>
      </c>
      <c r="AR189" s="14">
        <f t="shared" si="77"/>
        <v>-2.6076832392651307E-3</v>
      </c>
      <c r="AS189" s="14">
        <f t="shared" si="78"/>
        <v>-2.7701707363351397E-2</v>
      </c>
      <c r="AT189" s="14">
        <f t="shared" si="79"/>
        <v>0.10765832715576984</v>
      </c>
      <c r="AU189" s="14">
        <f t="shared" si="80"/>
        <v>-2.0297808687413158E-2</v>
      </c>
      <c r="AV189" s="14">
        <f t="shared" si="81"/>
        <v>7.5329865484183064E-2</v>
      </c>
      <c r="AW189" s="14">
        <f t="shared" si="82"/>
        <v>-5.4391723457560569E-2</v>
      </c>
      <c r="AX189" s="14">
        <f t="shared" si="83"/>
        <v>6.6050927278851548E-2</v>
      </c>
      <c r="AY189" s="14">
        <f t="shared" si="84"/>
        <v>4.5355769036838883E-2</v>
      </c>
      <c r="AZ189" s="14">
        <f t="shared" si="85"/>
        <v>1.8860558297480366E-2</v>
      </c>
    </row>
    <row r="190" spans="2:52" x14ac:dyDescent="0.3">
      <c r="B190" s="13">
        <v>1.2704259702162508E-2</v>
      </c>
      <c r="C190" s="13">
        <v>6.3022381991541471E-3</v>
      </c>
      <c r="D190" s="13">
        <v>7.1501437699780001E-3</v>
      </c>
      <c r="E190" s="13">
        <v>4.2942299930265639E-2</v>
      </c>
      <c r="F190" s="13">
        <v>-4.2099416578350937E-2</v>
      </c>
      <c r="G190" s="13">
        <v>2.3210605532976956E-2</v>
      </c>
      <c r="H190" s="13">
        <v>1.1856507457525582E-2</v>
      </c>
      <c r="I190" s="13">
        <v>-2.4268127272437923E-2</v>
      </c>
      <c r="J190" s="13">
        <v>-1.7036475952182266E-2</v>
      </c>
      <c r="K190" s="13">
        <v>-6.9336648028779591E-2</v>
      </c>
      <c r="L190" s="13">
        <v>7.697420895792906E-3</v>
      </c>
      <c r="M190" s="13">
        <v>3.3814697113590864E-2</v>
      </c>
      <c r="N190" s="13">
        <v>-3.4570805408825955E-2</v>
      </c>
      <c r="O190" s="13">
        <v>-4.0088194563730242E-4</v>
      </c>
      <c r="R190" s="14">
        <f t="shared" si="58"/>
        <v>1.5245111642595009E-2</v>
      </c>
      <c r="S190" s="14">
        <f t="shared" si="59"/>
        <v>7.5626858389849765E-3</v>
      </c>
      <c r="T190" s="14">
        <f t="shared" si="60"/>
        <v>8.5801725239735994E-3</v>
      </c>
      <c r="U190" s="14">
        <f t="shared" si="61"/>
        <v>5.1530759916318766E-2</v>
      </c>
      <c r="V190" s="14">
        <f t="shared" si="62"/>
        <v>-3.367953326268075E-2</v>
      </c>
      <c r="W190" s="14">
        <f t="shared" si="63"/>
        <v>2.7852726639572348E-2</v>
      </c>
      <c r="X190" s="14">
        <f t="shared" si="64"/>
        <v>1.4227808949030698E-2</v>
      </c>
      <c r="Y190" s="14">
        <f t="shared" si="65"/>
        <v>-1.941450181795034E-2</v>
      </c>
      <c r="Z190" s="14">
        <f t="shared" si="66"/>
        <v>-1.3629180761745813E-2</v>
      </c>
      <c r="AA190" s="14">
        <f t="shared" si="67"/>
        <v>-5.5469318423023675E-2</v>
      </c>
      <c r="AB190" s="14">
        <f t="shared" si="68"/>
        <v>9.2369050749514861E-3</v>
      </c>
      <c r="AC190" s="14">
        <f t="shared" si="69"/>
        <v>4.0577636536309032E-2</v>
      </c>
      <c r="AD190" s="14">
        <f t="shared" si="70"/>
        <v>-2.7656644327060765E-2</v>
      </c>
      <c r="AE190" s="14">
        <f t="shared" si="71"/>
        <v>-3.2070555650984197E-4</v>
      </c>
      <c r="AM190" s="14">
        <f t="shared" si="72"/>
        <v>7.4389952220629959E-3</v>
      </c>
      <c r="AN190" s="14">
        <f t="shared" si="73"/>
        <v>-1.3234020680835032E-2</v>
      </c>
      <c r="AO190" s="14">
        <f t="shared" si="74"/>
        <v>7.0223618434415991E-4</v>
      </c>
      <c r="AP190" s="14">
        <f t="shared" si="75"/>
        <v>4.1696251876787355E-2</v>
      </c>
      <c r="AQ190" s="14">
        <f t="shared" si="76"/>
        <v>-4.7502472726444249E-2</v>
      </c>
      <c r="AR190" s="14">
        <f t="shared" si="77"/>
        <v>1.9340121809934996E-2</v>
      </c>
      <c r="AS190" s="14">
        <f t="shared" si="78"/>
        <v>1.4148059541910993E-3</v>
      </c>
      <c r="AT190" s="14">
        <f t="shared" si="79"/>
        <v>-2.4810433128495166E-2</v>
      </c>
      <c r="AU190" s="14">
        <f t="shared" si="80"/>
        <v>-2.9752673338503649E-2</v>
      </c>
      <c r="AV190" s="14">
        <f t="shared" si="81"/>
        <v>-7.7520706633158132E-2</v>
      </c>
      <c r="AW190" s="14">
        <f t="shared" si="82"/>
        <v>-3.8508828018728996E-3</v>
      </c>
      <c r="AX190" s="14">
        <f t="shared" si="83"/>
        <v>1.3868783899493153E-2</v>
      </c>
      <c r="AY190" s="14">
        <f t="shared" si="84"/>
        <v>-3.8927575815140669E-2</v>
      </c>
      <c r="AZ190" s="14">
        <f t="shared" si="85"/>
        <v>-4.9347575532302842E-3</v>
      </c>
    </row>
    <row r="191" spans="2:52" x14ac:dyDescent="0.3">
      <c r="B191" s="13">
        <v>-5.5267991778916913E-2</v>
      </c>
      <c r="C191" s="13">
        <v>1.2672082797072644E-3</v>
      </c>
      <c r="D191" s="13">
        <v>2.0042682055769194E-2</v>
      </c>
      <c r="E191" s="13">
        <v>-2.1187787450786845E-2</v>
      </c>
      <c r="F191" s="13">
        <v>-4.3421131760917012E-2</v>
      </c>
      <c r="G191" s="13">
        <v>-7.4846099803514865E-2</v>
      </c>
      <c r="H191" s="13">
        <v>5.1054027959032348E-2</v>
      </c>
      <c r="I191" s="13">
        <v>-7.6551708342856475E-2</v>
      </c>
      <c r="J191" s="13">
        <v>-4.6499662342441794E-2</v>
      </c>
      <c r="K191" s="13">
        <v>-0.21880608921809042</v>
      </c>
      <c r="L191" s="13">
        <v>-4.9168152127620803E-2</v>
      </c>
      <c r="M191" s="13">
        <v>-2.894123478918726E-2</v>
      </c>
      <c r="N191" s="13">
        <v>-0.11936551214537142</v>
      </c>
      <c r="O191" s="13">
        <v>-5.2827976383108453E-2</v>
      </c>
      <c r="R191" s="14">
        <f t="shared" si="58"/>
        <v>-4.4214393423133533E-2</v>
      </c>
      <c r="S191" s="14">
        <f t="shared" si="59"/>
        <v>1.5206499356487174E-3</v>
      </c>
      <c r="T191" s="14">
        <f t="shared" si="60"/>
        <v>2.4051218466923031E-2</v>
      </c>
      <c r="U191" s="14">
        <f t="shared" si="61"/>
        <v>-1.6950229960629476E-2</v>
      </c>
      <c r="V191" s="14">
        <f t="shared" si="62"/>
        <v>-3.4736905408733608E-2</v>
      </c>
      <c r="W191" s="14">
        <f t="shared" si="63"/>
        <v>-5.9876879842811898E-2</v>
      </c>
      <c r="X191" s="14">
        <f t="shared" si="64"/>
        <v>6.1264833550838817E-2</v>
      </c>
      <c r="Y191" s="14">
        <f t="shared" si="65"/>
        <v>-6.1241366674285182E-2</v>
      </c>
      <c r="Z191" s="14">
        <f t="shared" si="66"/>
        <v>-3.7199729873953438E-2</v>
      </c>
      <c r="AA191" s="14">
        <f t="shared" si="67"/>
        <v>-0.17504487137447233</v>
      </c>
      <c r="AB191" s="14">
        <f t="shared" si="68"/>
        <v>-3.9334521702096642E-2</v>
      </c>
      <c r="AC191" s="14">
        <f t="shared" si="69"/>
        <v>-2.3152987831349808E-2</v>
      </c>
      <c r="AD191" s="14">
        <f t="shared" si="70"/>
        <v>-9.5492409716297133E-2</v>
      </c>
      <c r="AE191" s="14">
        <f t="shared" si="71"/>
        <v>-4.2262381106486765E-2</v>
      </c>
      <c r="AM191" s="14">
        <f t="shared" si="72"/>
        <v>-5.2020509843665547E-2</v>
      </c>
      <c r="AN191" s="14">
        <f t="shared" si="73"/>
        <v>-1.9276056584171291E-2</v>
      </c>
      <c r="AO191" s="14">
        <f t="shared" si="74"/>
        <v>1.6173282127293589E-2</v>
      </c>
      <c r="AP191" s="14">
        <f t="shared" si="75"/>
        <v>-2.6784738000160888E-2</v>
      </c>
      <c r="AQ191" s="14">
        <f t="shared" si="76"/>
        <v>-4.8559844872497107E-2</v>
      </c>
      <c r="AR191" s="14">
        <f t="shared" si="77"/>
        <v>-6.8389484672449249E-2</v>
      </c>
      <c r="AS191" s="14">
        <f t="shared" si="78"/>
        <v>4.845183055599922E-2</v>
      </c>
      <c r="AT191" s="14">
        <f t="shared" si="79"/>
        <v>-6.6637297984830007E-2</v>
      </c>
      <c r="AU191" s="14">
        <f t="shared" si="80"/>
        <v>-5.3323222450711277E-2</v>
      </c>
      <c r="AV191" s="14">
        <f t="shared" si="81"/>
        <v>-0.1970962595846068</v>
      </c>
      <c r="AW191" s="14">
        <f t="shared" si="82"/>
        <v>-5.2422309578921029E-2</v>
      </c>
      <c r="AX191" s="14">
        <f t="shared" si="83"/>
        <v>-4.9861840468165691E-2</v>
      </c>
      <c r="AY191" s="14">
        <f t="shared" si="84"/>
        <v>-0.10676334120437704</v>
      </c>
      <c r="AZ191" s="14">
        <f t="shared" si="85"/>
        <v>-4.6876433103207209E-2</v>
      </c>
    </row>
    <row r="192" spans="2:52" x14ac:dyDescent="0.3">
      <c r="B192" s="13">
        <v>0.12510210274156713</v>
      </c>
      <c r="C192" s="13">
        <v>5.0400655717339808E-2</v>
      </c>
      <c r="D192" s="13">
        <v>-3.9573726549483063E-3</v>
      </c>
      <c r="E192" s="13">
        <v>6.2957670919635514E-2</v>
      </c>
      <c r="F192" s="13">
        <v>8.5520548339267866E-2</v>
      </c>
      <c r="G192" s="13">
        <v>3.6306108933200416E-2</v>
      </c>
      <c r="H192" s="13">
        <v>2.5394470690087597E-2</v>
      </c>
      <c r="I192" s="13">
        <v>-0.19993431840383932</v>
      </c>
      <c r="J192" s="13">
        <v>-5.0909230444430645E-2</v>
      </c>
      <c r="K192" s="13">
        <v>-1.3275309717576208E-2</v>
      </c>
      <c r="L192" s="13">
        <v>3.0035691281185384E-2</v>
      </c>
      <c r="M192" s="13">
        <v>0.1921903762067543</v>
      </c>
      <c r="N192" s="13">
        <v>3.9590929493666098E-2</v>
      </c>
      <c r="O192" s="13">
        <v>8.4187392136146014E-3</v>
      </c>
      <c r="R192" s="14">
        <f t="shared" si="58"/>
        <v>0.15012252328988054</v>
      </c>
      <c r="S192" s="14">
        <f t="shared" si="59"/>
        <v>6.0480786860807767E-2</v>
      </c>
      <c r="T192" s="14">
        <f t="shared" si="60"/>
        <v>-3.1658981239586453E-3</v>
      </c>
      <c r="U192" s="14">
        <f t="shared" si="61"/>
        <v>7.5549205103562611E-2</v>
      </c>
      <c r="V192" s="14">
        <f t="shared" si="62"/>
        <v>0.10262465800712144</v>
      </c>
      <c r="W192" s="14">
        <f t="shared" si="63"/>
        <v>4.3567330719840501E-2</v>
      </c>
      <c r="X192" s="14">
        <f t="shared" si="64"/>
        <v>3.0473364828105115E-2</v>
      </c>
      <c r="Y192" s="14">
        <f t="shared" si="65"/>
        <v>-0.15994745472307148</v>
      </c>
      <c r="Z192" s="14">
        <f t="shared" si="66"/>
        <v>-4.0727384355544516E-2</v>
      </c>
      <c r="AA192" s="14">
        <f t="shared" si="67"/>
        <v>-1.0620247774060967E-2</v>
      </c>
      <c r="AB192" s="14">
        <f t="shared" si="68"/>
        <v>3.6042829537422459E-2</v>
      </c>
      <c r="AC192" s="14">
        <f t="shared" si="69"/>
        <v>0.23062845144810515</v>
      </c>
      <c r="AD192" s="14">
        <f t="shared" si="70"/>
        <v>4.7509115392399319E-2</v>
      </c>
      <c r="AE192" s="14">
        <f t="shared" si="71"/>
        <v>1.0102487056337522E-2</v>
      </c>
      <c r="AM192" s="14">
        <f t="shared" si="72"/>
        <v>0.14231640686934854</v>
      </c>
      <c r="AN192" s="14">
        <f t="shared" si="73"/>
        <v>3.9684080340987762E-2</v>
      </c>
      <c r="AO192" s="14">
        <f t="shared" si="74"/>
        <v>-1.1043834463588085E-2</v>
      </c>
      <c r="AP192" s="14">
        <f t="shared" si="75"/>
        <v>6.5714697064031199E-2</v>
      </c>
      <c r="AQ192" s="14">
        <f t="shared" si="76"/>
        <v>8.8801718543357944E-2</v>
      </c>
      <c r="AR192" s="14">
        <f t="shared" si="77"/>
        <v>3.5054725890203149E-2</v>
      </c>
      <c r="AS192" s="14">
        <f t="shared" si="78"/>
        <v>1.7660361833265519E-2</v>
      </c>
      <c r="AT192" s="14">
        <f t="shared" si="79"/>
        <v>-0.16534338603361631</v>
      </c>
      <c r="AU192" s="14">
        <f t="shared" si="80"/>
        <v>-5.6850876932302355E-2</v>
      </c>
      <c r="AV192" s="14">
        <f t="shared" si="81"/>
        <v>-3.2671635984195424E-2</v>
      </c>
      <c r="AW192" s="14">
        <f t="shared" si="82"/>
        <v>2.2955041660598072E-2</v>
      </c>
      <c r="AX192" s="14">
        <f t="shared" si="83"/>
        <v>0.20391959881128927</v>
      </c>
      <c r="AY192" s="14">
        <f t="shared" si="84"/>
        <v>3.6238183904319411E-2</v>
      </c>
      <c r="AZ192" s="14">
        <f t="shared" si="85"/>
        <v>5.4884350596170793E-3</v>
      </c>
    </row>
    <row r="193" spans="2:52" x14ac:dyDescent="0.3">
      <c r="B193" s="13">
        <v>9.7193458305482976E-3</v>
      </c>
      <c r="C193" s="13">
        <v>-1.2391732295163497E-2</v>
      </c>
      <c r="D193" s="13">
        <v>-3.58853207463576E-3</v>
      </c>
      <c r="E193" s="13">
        <v>1.2237397360410983E-2</v>
      </c>
      <c r="F193" s="13">
        <v>2.7567003719651032E-3</v>
      </c>
      <c r="G193" s="13">
        <v>3.6766902421703163E-2</v>
      </c>
      <c r="H193" s="13">
        <v>2.0495658033841117E-2</v>
      </c>
      <c r="I193" s="13">
        <v>-3.5718082602079232E-2</v>
      </c>
      <c r="J193" s="13">
        <v>8.0010750748730625E-3</v>
      </c>
      <c r="K193" s="13">
        <v>2.2322568695960155E-2</v>
      </c>
      <c r="L193" s="13">
        <v>3.3380349921579539E-2</v>
      </c>
      <c r="M193" s="13">
        <v>-5.3784966618256692E-2</v>
      </c>
      <c r="N193" s="13">
        <v>8.1659179407049476E-2</v>
      </c>
      <c r="O193" s="13">
        <v>2.169942097072906E-2</v>
      </c>
      <c r="R193" s="14">
        <f t="shared" si="58"/>
        <v>1.1663214996657957E-2</v>
      </c>
      <c r="S193" s="14">
        <f t="shared" si="59"/>
        <v>-9.9133858361307985E-3</v>
      </c>
      <c r="T193" s="14">
        <f t="shared" si="60"/>
        <v>-2.8708256597086081E-3</v>
      </c>
      <c r="U193" s="14">
        <f t="shared" si="61"/>
        <v>1.4684876832493178E-2</v>
      </c>
      <c r="V193" s="14">
        <f t="shared" si="62"/>
        <v>3.3080404463581236E-3</v>
      </c>
      <c r="W193" s="14">
        <f t="shared" si="63"/>
        <v>4.4120282906043792E-2</v>
      </c>
      <c r="X193" s="14">
        <f t="shared" si="64"/>
        <v>2.4594789640609339E-2</v>
      </c>
      <c r="Y193" s="14">
        <f t="shared" si="65"/>
        <v>-2.8574466081663388E-2</v>
      </c>
      <c r="Z193" s="14">
        <f t="shared" si="66"/>
        <v>9.6012900898476746E-3</v>
      </c>
      <c r="AA193" s="14">
        <f t="shared" si="67"/>
        <v>2.6787082435152185E-2</v>
      </c>
      <c r="AB193" s="14">
        <f t="shared" si="68"/>
        <v>4.0056419905895445E-2</v>
      </c>
      <c r="AC193" s="14">
        <f t="shared" si="69"/>
        <v>-4.3027973294605358E-2</v>
      </c>
      <c r="AD193" s="14">
        <f t="shared" si="70"/>
        <v>9.7991015288459368E-2</v>
      </c>
      <c r="AE193" s="14">
        <f t="shared" si="71"/>
        <v>2.6039305164874873E-2</v>
      </c>
      <c r="AM193" s="14">
        <f t="shared" si="72"/>
        <v>3.8570985761259445E-3</v>
      </c>
      <c r="AN193" s="14">
        <f t="shared" si="73"/>
        <v>-3.0710092355950805E-2</v>
      </c>
      <c r="AO193" s="14">
        <f t="shared" si="74"/>
        <v>-1.0748761999338047E-2</v>
      </c>
      <c r="AP193" s="14">
        <f t="shared" si="75"/>
        <v>4.8503687929617682E-3</v>
      </c>
      <c r="AQ193" s="14">
        <f t="shared" si="76"/>
        <v>-1.0514899017405375E-2</v>
      </c>
      <c r="AR193" s="14">
        <f t="shared" si="77"/>
        <v>3.560767807640644E-2</v>
      </c>
      <c r="AS193" s="14">
        <f t="shared" si="78"/>
        <v>1.178178664576974E-2</v>
      </c>
      <c r="AT193" s="14">
        <f t="shared" si="79"/>
        <v>-3.397039739220821E-2</v>
      </c>
      <c r="AU193" s="14">
        <f t="shared" si="80"/>
        <v>-6.522202486910161E-3</v>
      </c>
      <c r="AV193" s="14">
        <f t="shared" si="81"/>
        <v>4.7356942250177288E-3</v>
      </c>
      <c r="AW193" s="14">
        <f t="shared" si="82"/>
        <v>2.6968632029071057E-2</v>
      </c>
      <c r="AX193" s="14">
        <f t="shared" si="83"/>
        <v>-6.9736825931421234E-2</v>
      </c>
      <c r="AY193" s="14">
        <f t="shared" si="84"/>
        <v>8.6720083800379461E-2</v>
      </c>
      <c r="AZ193" s="14">
        <f t="shared" si="85"/>
        <v>2.142525316815443E-2</v>
      </c>
    </row>
    <row r="194" spans="2:52" x14ac:dyDescent="0.3">
      <c r="B194" s="13">
        <v>-1.6676123903947196E-2</v>
      </c>
      <c r="C194" s="13">
        <v>-1.3726362150135884E-2</v>
      </c>
      <c r="D194" s="13">
        <v>-2.5191131585880294E-2</v>
      </c>
      <c r="E194" s="13">
        <v>1.0683289003007603E-2</v>
      </c>
      <c r="F194" s="13">
        <v>2.8186843011121804E-2</v>
      </c>
      <c r="G194" s="13">
        <v>-9.5245028189404439E-3</v>
      </c>
      <c r="H194" s="13">
        <v>-3.9537103634758035E-2</v>
      </c>
      <c r="I194" s="13">
        <v>6.9686693160932152E-3</v>
      </c>
      <c r="J194" s="13">
        <v>-1.7326145014324747E-2</v>
      </c>
      <c r="K194" s="13">
        <v>7.2168496471627652E-3</v>
      </c>
      <c r="L194" s="13">
        <v>4.425454150886364E-2</v>
      </c>
      <c r="M194" s="13">
        <v>-0.10984207994961644</v>
      </c>
      <c r="N194" s="13">
        <v>4.2605760952507218E-2</v>
      </c>
      <c r="O194" s="13">
        <v>0.12005917812402891</v>
      </c>
      <c r="R194" s="14">
        <f t="shared" si="58"/>
        <v>-1.3340899123157758E-2</v>
      </c>
      <c r="S194" s="14">
        <f t="shared" si="59"/>
        <v>-1.0981089720108708E-2</v>
      </c>
      <c r="T194" s="14">
        <f t="shared" si="60"/>
        <v>-2.0152905268704238E-2</v>
      </c>
      <c r="U194" s="14">
        <f t="shared" si="61"/>
        <v>1.2819946803609124E-2</v>
      </c>
      <c r="V194" s="14">
        <f t="shared" si="62"/>
        <v>3.3824211613346165E-2</v>
      </c>
      <c r="W194" s="14">
        <f t="shared" si="63"/>
        <v>-7.6196022551523555E-3</v>
      </c>
      <c r="X194" s="14">
        <f t="shared" si="64"/>
        <v>-3.1629682907806426E-2</v>
      </c>
      <c r="Y194" s="14">
        <f t="shared" si="65"/>
        <v>8.3624031793118579E-3</v>
      </c>
      <c r="Z194" s="14">
        <f t="shared" si="66"/>
        <v>-1.3860916011459799E-2</v>
      </c>
      <c r="AA194" s="14">
        <f t="shared" si="67"/>
        <v>8.6602195765953186E-3</v>
      </c>
      <c r="AB194" s="14">
        <f t="shared" si="68"/>
        <v>5.310544981063637E-2</v>
      </c>
      <c r="AC194" s="14">
        <f t="shared" si="69"/>
        <v>-8.7873663959693149E-2</v>
      </c>
      <c r="AD194" s="14">
        <f t="shared" si="70"/>
        <v>5.1126913143008663E-2</v>
      </c>
      <c r="AE194" s="14">
        <f t="shared" si="71"/>
        <v>0.14407101374883469</v>
      </c>
      <c r="AM194" s="14">
        <f t="shared" si="72"/>
        <v>-2.1147015543689772E-2</v>
      </c>
      <c r="AN194" s="14">
        <f t="shared" si="73"/>
        <v>-3.1777796239928713E-2</v>
      </c>
      <c r="AO194" s="14">
        <f t="shared" si="74"/>
        <v>-2.8030841608333676E-2</v>
      </c>
      <c r="AP194" s="14">
        <f t="shared" si="75"/>
        <v>2.9854387640777143E-3</v>
      </c>
      <c r="AQ194" s="14">
        <f t="shared" si="76"/>
        <v>2.0001272149582666E-2</v>
      </c>
      <c r="AR194" s="14">
        <f t="shared" si="77"/>
        <v>-1.6132207084789709E-2</v>
      </c>
      <c r="AS194" s="14">
        <f t="shared" si="78"/>
        <v>-4.4442685902646023E-2</v>
      </c>
      <c r="AT194" s="14">
        <f t="shared" si="79"/>
        <v>2.9664718687670332E-3</v>
      </c>
      <c r="AU194" s="14">
        <f t="shared" si="80"/>
        <v>-2.9984408588217635E-2</v>
      </c>
      <c r="AV194" s="14">
        <f t="shared" si="81"/>
        <v>-1.3391168633539138E-2</v>
      </c>
      <c r="AW194" s="14">
        <f t="shared" si="82"/>
        <v>4.0017661933811982E-2</v>
      </c>
      <c r="AX194" s="14">
        <f t="shared" si="83"/>
        <v>-0.11458251659650903</v>
      </c>
      <c r="AY194" s="14">
        <f t="shared" si="84"/>
        <v>3.9855981654928756E-2</v>
      </c>
      <c r="AZ194" s="14">
        <f t="shared" si="85"/>
        <v>0.13945696175211425</v>
      </c>
    </row>
    <row r="195" spans="2:52" x14ac:dyDescent="0.3">
      <c r="B195" s="13">
        <v>1.9048194970694411E-2</v>
      </c>
      <c r="C195" s="13">
        <v>-2.1638121674068093E-2</v>
      </c>
      <c r="D195" s="13">
        <v>-1.0651728954093041E-3</v>
      </c>
      <c r="E195" s="13">
        <v>3.2556574621584185E-2</v>
      </c>
      <c r="F195" s="13">
        <v>-1.822333328895202E-2</v>
      </c>
      <c r="G195" s="13">
        <v>6.9893415391157881E-4</v>
      </c>
      <c r="H195" s="13">
        <v>-2.1547680329279891E-2</v>
      </c>
      <c r="I195" s="13">
        <v>-8.3682496705166903E-3</v>
      </c>
      <c r="J195" s="13">
        <v>7.4622792240671967E-3</v>
      </c>
      <c r="K195" s="13">
        <v>-4.904969448356019E-2</v>
      </c>
      <c r="L195" s="13">
        <v>-3.191201831047713E-2</v>
      </c>
      <c r="M195" s="13">
        <v>-1.2870680127604882E-2</v>
      </c>
      <c r="N195" s="13">
        <v>2.4532103517381141E-2</v>
      </c>
      <c r="O195" s="13">
        <v>-1.281364777043118E-2</v>
      </c>
      <c r="R195" s="14">
        <f t="shared" si="58"/>
        <v>2.2857833964833294E-2</v>
      </c>
      <c r="S195" s="14">
        <f t="shared" si="59"/>
        <v>-1.7310497339254476E-2</v>
      </c>
      <c r="T195" s="14">
        <f t="shared" si="60"/>
        <v>-8.521383163274433E-4</v>
      </c>
      <c r="U195" s="14">
        <f t="shared" si="61"/>
        <v>3.906788954590102E-2</v>
      </c>
      <c r="V195" s="14">
        <f t="shared" si="62"/>
        <v>-1.4578666631161617E-2</v>
      </c>
      <c r="W195" s="14">
        <f t="shared" si="63"/>
        <v>8.387209846938945E-4</v>
      </c>
      <c r="X195" s="14">
        <f t="shared" si="64"/>
        <v>-1.7238144263423915E-2</v>
      </c>
      <c r="Y195" s="14">
        <f t="shared" si="65"/>
        <v>-6.6945997364133529E-3</v>
      </c>
      <c r="Z195" s="14">
        <f t="shared" si="66"/>
        <v>8.9547350688806357E-3</v>
      </c>
      <c r="AA195" s="14">
        <f t="shared" si="67"/>
        <v>-3.9239755586848155E-2</v>
      </c>
      <c r="AB195" s="14">
        <f t="shared" si="68"/>
        <v>-2.5529614648381705E-2</v>
      </c>
      <c r="AC195" s="14">
        <f t="shared" si="69"/>
        <v>-1.0296544102083907E-2</v>
      </c>
      <c r="AD195" s="14">
        <f t="shared" si="70"/>
        <v>2.9438524220857368E-2</v>
      </c>
      <c r="AE195" s="14">
        <f t="shared" si="71"/>
        <v>-1.0250918216344945E-2</v>
      </c>
      <c r="AM195" s="14">
        <f t="shared" si="72"/>
        <v>1.505171754430128E-2</v>
      </c>
      <c r="AN195" s="14">
        <f t="shared" si="73"/>
        <v>-3.8107203859074484E-2</v>
      </c>
      <c r="AO195" s="14">
        <f t="shared" si="74"/>
        <v>-8.7300746559568834E-3</v>
      </c>
      <c r="AP195" s="14">
        <f t="shared" si="75"/>
        <v>2.9233381506369609E-2</v>
      </c>
      <c r="AQ195" s="14">
        <f t="shared" si="76"/>
        <v>-2.8401606094925116E-2</v>
      </c>
      <c r="AR195" s="14">
        <f t="shared" si="77"/>
        <v>-7.6738838449434592E-3</v>
      </c>
      <c r="AS195" s="14">
        <f t="shared" si="78"/>
        <v>-3.0051147258263515E-2</v>
      </c>
      <c r="AT195" s="14">
        <f t="shared" si="79"/>
        <v>-1.2090531046958179E-2</v>
      </c>
      <c r="AU195" s="14">
        <f t="shared" si="80"/>
        <v>-7.1687575078771999E-3</v>
      </c>
      <c r="AV195" s="14">
        <f t="shared" si="81"/>
        <v>-6.1291143796982611E-2</v>
      </c>
      <c r="AW195" s="14">
        <f t="shared" si="82"/>
        <v>-3.8617402525206089E-2</v>
      </c>
      <c r="AX195" s="14">
        <f t="shared" si="83"/>
        <v>-3.7005396738899785E-2</v>
      </c>
      <c r="AY195" s="14">
        <f t="shared" si="84"/>
        <v>1.816759273277746E-2</v>
      </c>
      <c r="AZ195" s="14">
        <f t="shared" si="85"/>
        <v>-1.4864970213065386E-2</v>
      </c>
    </row>
    <row r="196" spans="2:52" x14ac:dyDescent="0.3">
      <c r="B196" s="13">
        <v>3.2005783814422532E-2</v>
      </c>
      <c r="C196" s="13">
        <v>-4.1975681539510132E-2</v>
      </c>
      <c r="D196" s="13">
        <v>-2.3341614174711103E-2</v>
      </c>
      <c r="E196" s="13">
        <v>9.8715972939157806E-2</v>
      </c>
      <c r="F196" s="13">
        <v>4.9578583429737401E-2</v>
      </c>
      <c r="G196" s="13">
        <v>1.4436771232957042E-2</v>
      </c>
      <c r="H196" s="13">
        <v>1.8442664698035603E-2</v>
      </c>
      <c r="I196" s="13">
        <v>2.3530497410194036E-2</v>
      </c>
      <c r="J196" s="13">
        <v>-1.4429784563927898E-2</v>
      </c>
      <c r="K196" s="13">
        <v>-1.8124781709864209E-2</v>
      </c>
      <c r="L196" s="13">
        <v>-2.988205448192079E-2</v>
      </c>
      <c r="M196" s="13">
        <v>-2.3240346218120832E-2</v>
      </c>
      <c r="N196" s="13">
        <v>-1.3764555170614071E-2</v>
      </c>
      <c r="O196" s="13">
        <v>2.7379057241779959E-2</v>
      </c>
      <c r="R196" s="14">
        <f t="shared" si="58"/>
        <v>3.8406940577307036E-2</v>
      </c>
      <c r="S196" s="14">
        <f t="shared" si="59"/>
        <v>-3.3580545231608104E-2</v>
      </c>
      <c r="T196" s="14">
        <f t="shared" si="60"/>
        <v>-1.8673291339768885E-2</v>
      </c>
      <c r="U196" s="14">
        <f t="shared" si="61"/>
        <v>0.11845916752698936</v>
      </c>
      <c r="V196" s="14">
        <f t="shared" si="62"/>
        <v>5.9494300115684878E-2</v>
      </c>
      <c r="W196" s="14">
        <f t="shared" si="63"/>
        <v>1.7324125479548449E-2</v>
      </c>
      <c r="X196" s="14">
        <f t="shared" si="64"/>
        <v>2.2131197637642722E-2</v>
      </c>
      <c r="Y196" s="14">
        <f t="shared" si="65"/>
        <v>2.8236596892232842E-2</v>
      </c>
      <c r="Z196" s="14">
        <f t="shared" si="66"/>
        <v>-1.154382765114232E-2</v>
      </c>
      <c r="AA196" s="14">
        <f t="shared" si="67"/>
        <v>-1.4499825367891368E-2</v>
      </c>
      <c r="AB196" s="14">
        <f t="shared" si="68"/>
        <v>-2.3905643585536634E-2</v>
      </c>
      <c r="AC196" s="14">
        <f t="shared" si="69"/>
        <v>-1.8592276974496665E-2</v>
      </c>
      <c r="AD196" s="14">
        <f t="shared" si="70"/>
        <v>-1.1011644136491257E-2</v>
      </c>
      <c r="AE196" s="14">
        <f t="shared" si="71"/>
        <v>3.2854868690135951E-2</v>
      </c>
      <c r="AM196" s="14">
        <f t="shared" si="72"/>
        <v>3.0600824156775022E-2</v>
      </c>
      <c r="AN196" s="14">
        <f t="shared" si="73"/>
        <v>-5.4377251751428116E-2</v>
      </c>
      <c r="AO196" s="14">
        <f t="shared" si="74"/>
        <v>-2.6551227679398326E-2</v>
      </c>
      <c r="AP196" s="14">
        <f t="shared" si="75"/>
        <v>0.10862465948745795</v>
      </c>
      <c r="AQ196" s="14">
        <f t="shared" si="76"/>
        <v>4.5671360651921379E-2</v>
      </c>
      <c r="AR196" s="14">
        <f t="shared" si="77"/>
        <v>8.8115206499110952E-3</v>
      </c>
      <c r="AS196" s="14">
        <f t="shared" si="78"/>
        <v>9.3181946428031234E-3</v>
      </c>
      <c r="AT196" s="14">
        <f t="shared" si="79"/>
        <v>2.2840665581688017E-2</v>
      </c>
      <c r="AU196" s="14">
        <f t="shared" si="80"/>
        <v>-2.7667320227900156E-2</v>
      </c>
      <c r="AV196" s="14">
        <f t="shared" si="81"/>
        <v>-3.6551213578025821E-2</v>
      </c>
      <c r="AW196" s="14">
        <f t="shared" si="82"/>
        <v>-3.6993431462361018E-2</v>
      </c>
      <c r="AX196" s="14">
        <f t="shared" si="83"/>
        <v>-4.5301129611312545E-2</v>
      </c>
      <c r="AY196" s="14">
        <f t="shared" si="84"/>
        <v>-2.2282575624571165E-2</v>
      </c>
      <c r="AZ196" s="14">
        <f t="shared" si="85"/>
        <v>2.8240816693415507E-2</v>
      </c>
    </row>
    <row r="197" spans="2:52" x14ac:dyDescent="0.3">
      <c r="B197" s="13">
        <v>-2.3726205833086097E-2</v>
      </c>
      <c r="C197" s="13">
        <v>6.2658236967909467E-2</v>
      </c>
      <c r="D197" s="13">
        <v>2.9656865492419617E-2</v>
      </c>
      <c r="E197" s="13">
        <v>2.4381199290507111E-2</v>
      </c>
      <c r="F197" s="13">
        <v>0.12093240554020449</v>
      </c>
      <c r="G197" s="13">
        <v>-1.8155467413785025E-2</v>
      </c>
      <c r="H197" s="13">
        <v>4.1643517914331241E-3</v>
      </c>
      <c r="I197" s="13">
        <v>4.0955688647372019E-3</v>
      </c>
      <c r="J197" s="13">
        <v>4.3275701780135269E-2</v>
      </c>
      <c r="K197" s="13">
        <v>7.7098494861805145E-2</v>
      </c>
      <c r="L197" s="13">
        <v>5.2452090796990494E-2</v>
      </c>
      <c r="M197" s="13">
        <v>0.11301840270238588</v>
      </c>
      <c r="N197" s="13">
        <v>-7.5885692999549644E-3</v>
      </c>
      <c r="O197" s="13">
        <v>3.5786749394344157E-3</v>
      </c>
      <c r="R197" s="14">
        <f t="shared" si="58"/>
        <v>-1.898096466646888E-2</v>
      </c>
      <c r="S197" s="14">
        <f t="shared" si="59"/>
        <v>7.5189884361491363E-2</v>
      </c>
      <c r="T197" s="14">
        <f t="shared" si="60"/>
        <v>3.5588238590903536E-2</v>
      </c>
      <c r="U197" s="14">
        <f t="shared" si="61"/>
        <v>2.9257439148608531E-2</v>
      </c>
      <c r="V197" s="14">
        <f t="shared" si="62"/>
        <v>0.14511888664824538</v>
      </c>
      <c r="W197" s="14">
        <f t="shared" si="63"/>
        <v>-1.452437393102802E-2</v>
      </c>
      <c r="X197" s="14">
        <f t="shared" si="64"/>
        <v>4.9972221497197487E-3</v>
      </c>
      <c r="Y197" s="14">
        <f t="shared" si="65"/>
        <v>4.9146826376846421E-3</v>
      </c>
      <c r="Z197" s="14">
        <f t="shared" si="66"/>
        <v>5.1930842136162322E-2</v>
      </c>
      <c r="AA197" s="14">
        <f t="shared" si="67"/>
        <v>9.2518193834166165E-2</v>
      </c>
      <c r="AB197" s="14">
        <f t="shared" si="68"/>
        <v>6.2942508956388588E-2</v>
      </c>
      <c r="AC197" s="14">
        <f t="shared" si="69"/>
        <v>0.13562208324286304</v>
      </c>
      <c r="AD197" s="14">
        <f t="shared" si="70"/>
        <v>-6.0708554399639715E-3</v>
      </c>
      <c r="AE197" s="14">
        <f t="shared" si="71"/>
        <v>4.2944099273212986E-3</v>
      </c>
      <c r="AM197" s="14">
        <f t="shared" si="72"/>
        <v>-2.6787081087000893E-2</v>
      </c>
      <c r="AN197" s="14">
        <f t="shared" si="73"/>
        <v>5.4393177841671358E-2</v>
      </c>
      <c r="AO197" s="14">
        <f t="shared" si="74"/>
        <v>2.7710302251274098E-2</v>
      </c>
      <c r="AP197" s="14">
        <f t="shared" si="75"/>
        <v>1.942293110907712E-2</v>
      </c>
      <c r="AQ197" s="14">
        <f t="shared" si="76"/>
        <v>0.13129594718448187</v>
      </c>
      <c r="AR197" s="14">
        <f t="shared" si="77"/>
        <v>-2.3036978760665374E-2</v>
      </c>
      <c r="AS197" s="14">
        <f t="shared" si="78"/>
        <v>-7.8157808451198504E-3</v>
      </c>
      <c r="AT197" s="14">
        <f t="shared" si="79"/>
        <v>-4.8124867286018259E-4</v>
      </c>
      <c r="AU197" s="14">
        <f t="shared" si="80"/>
        <v>3.5807349559404483E-2</v>
      </c>
      <c r="AV197" s="14">
        <f t="shared" si="81"/>
        <v>7.0466805624031709E-2</v>
      </c>
      <c r="AW197" s="14">
        <f t="shared" si="82"/>
        <v>4.98547210795642E-2</v>
      </c>
      <c r="AX197" s="14">
        <f t="shared" si="83"/>
        <v>0.10891323060604716</v>
      </c>
      <c r="AY197" s="14">
        <f t="shared" si="84"/>
        <v>-1.7341786928043876E-2</v>
      </c>
      <c r="AZ197" s="14">
        <f t="shared" si="85"/>
        <v>-3.1964206939914374E-4</v>
      </c>
    </row>
    <row r="198" spans="2:52" x14ac:dyDescent="0.3">
      <c r="B198" s="13">
        <v>4.7676731312762365E-2</v>
      </c>
      <c r="C198" s="13">
        <v>-6.4882170684038313E-3</v>
      </c>
      <c r="D198" s="13">
        <v>1.5625469931662771E-2</v>
      </c>
      <c r="E198" s="13">
        <v>5.6198189221352224E-2</v>
      </c>
      <c r="F198" s="13">
        <v>7.3340967395882514E-2</v>
      </c>
      <c r="G198" s="13">
        <v>1.4490169332226367E-2</v>
      </c>
      <c r="H198" s="13">
        <v>2.9715935786815265E-2</v>
      </c>
      <c r="I198" s="13">
        <v>0.10590532634959142</v>
      </c>
      <c r="J198" s="13">
        <v>0.14182356262202814</v>
      </c>
      <c r="K198" s="13">
        <v>5.8378707996297526E-2</v>
      </c>
      <c r="L198" s="13">
        <v>2.6956364701997911E-2</v>
      </c>
      <c r="M198" s="13">
        <v>6.1972231556516585E-2</v>
      </c>
      <c r="N198" s="13">
        <v>7.4002168841979632E-2</v>
      </c>
      <c r="O198" s="13">
        <v>2.141073733352435E-3</v>
      </c>
      <c r="R198" s="14">
        <f t="shared" si="58"/>
        <v>5.7212077575314838E-2</v>
      </c>
      <c r="S198" s="14">
        <f t="shared" si="59"/>
        <v>-5.1905736547230652E-3</v>
      </c>
      <c r="T198" s="14">
        <f t="shared" si="60"/>
        <v>1.8750563917995323E-2</v>
      </c>
      <c r="U198" s="14">
        <f t="shared" si="61"/>
        <v>6.7437827065622666E-2</v>
      </c>
      <c r="V198" s="14">
        <f t="shared" si="62"/>
        <v>8.8009160875059014E-2</v>
      </c>
      <c r="W198" s="14">
        <f t="shared" si="63"/>
        <v>1.738820319867164E-2</v>
      </c>
      <c r="X198" s="14">
        <f t="shared" si="64"/>
        <v>3.5659122944178313E-2</v>
      </c>
      <c r="Y198" s="14">
        <f t="shared" si="65"/>
        <v>0.12708639161950969</v>
      </c>
      <c r="Z198" s="14">
        <f t="shared" si="66"/>
        <v>0.17018827514643375</v>
      </c>
      <c r="AA198" s="14">
        <f t="shared" si="67"/>
        <v>7.0054449595557025E-2</v>
      </c>
      <c r="AB198" s="14">
        <f t="shared" si="68"/>
        <v>3.2347637642397495E-2</v>
      </c>
      <c r="AC198" s="14">
        <f t="shared" si="69"/>
        <v>7.4366677867819905E-2</v>
      </c>
      <c r="AD198" s="14">
        <f t="shared" si="70"/>
        <v>8.880260261037555E-2</v>
      </c>
      <c r="AE198" s="14">
        <f t="shared" si="71"/>
        <v>2.5692884800229219E-3</v>
      </c>
      <c r="AM198" s="14">
        <f t="shared" si="72"/>
        <v>4.9405961154782824E-2</v>
      </c>
      <c r="AN198" s="14">
        <f t="shared" si="73"/>
        <v>-2.5987280174543072E-2</v>
      </c>
      <c r="AO198" s="14">
        <f t="shared" si="74"/>
        <v>1.0872627578365884E-2</v>
      </c>
      <c r="AP198" s="14">
        <f t="shared" si="75"/>
        <v>5.7603319026091254E-2</v>
      </c>
      <c r="AQ198" s="14">
        <f t="shared" si="76"/>
        <v>7.4186221411295522E-2</v>
      </c>
      <c r="AR198" s="14">
        <f t="shared" si="77"/>
        <v>8.8755983690342859E-3</v>
      </c>
      <c r="AS198" s="14">
        <f t="shared" si="78"/>
        <v>2.2846119949338717E-2</v>
      </c>
      <c r="AT198" s="14">
        <f t="shared" si="79"/>
        <v>0.12169046030896487</v>
      </c>
      <c r="AU198" s="14">
        <f t="shared" si="80"/>
        <v>0.15406478256967593</v>
      </c>
      <c r="AV198" s="14">
        <f t="shared" si="81"/>
        <v>4.8003061385422569E-2</v>
      </c>
      <c r="AW198" s="14">
        <f t="shared" si="82"/>
        <v>1.9259849765573107E-2</v>
      </c>
      <c r="AX198" s="14">
        <f t="shared" si="83"/>
        <v>4.7657825231004022E-2</v>
      </c>
      <c r="AY198" s="14">
        <f t="shared" si="84"/>
        <v>7.7531671122295642E-2</v>
      </c>
      <c r="AZ198" s="14">
        <f t="shared" si="85"/>
        <v>-2.0447635166975205E-3</v>
      </c>
    </row>
    <row r="199" spans="2:52" x14ac:dyDescent="0.3">
      <c r="B199" s="13">
        <v>3.9768894380055562E-2</v>
      </c>
      <c r="C199" s="13">
        <v>8.5668111147343875E-3</v>
      </c>
      <c r="D199" s="13">
        <v>-1.2570717027502081E-2</v>
      </c>
      <c r="E199" s="13">
        <v>-3.2640650532644852E-2</v>
      </c>
      <c r="F199" s="13">
        <v>3.3079752829257195E-2</v>
      </c>
      <c r="G199" s="13">
        <v>-5.1866430686859935E-2</v>
      </c>
      <c r="H199" s="13">
        <v>-4.5509879951136541E-2</v>
      </c>
      <c r="I199" s="13">
        <v>1.3390340059584258E-2</v>
      </c>
      <c r="J199" s="13">
        <v>-4.2955067492453224E-2</v>
      </c>
      <c r="K199" s="13">
        <v>-9.1262434848408056E-2</v>
      </c>
      <c r="L199" s="13">
        <v>-6.0926078245324622E-4</v>
      </c>
      <c r="M199" s="13">
        <v>-2.6782354205162957E-2</v>
      </c>
      <c r="N199" s="13">
        <v>-2.1651456570134151E-2</v>
      </c>
      <c r="O199" s="13">
        <v>4.1501215669912245E-3</v>
      </c>
      <c r="R199" s="14">
        <f t="shared" si="58"/>
        <v>4.7722673256066675E-2</v>
      </c>
      <c r="S199" s="14">
        <f t="shared" si="59"/>
        <v>1.0280173337681265E-2</v>
      </c>
      <c r="T199" s="14">
        <f t="shared" si="60"/>
        <v>-1.0056573622001665E-2</v>
      </c>
      <c r="U199" s="14">
        <f t="shared" si="61"/>
        <v>-2.6112520426115882E-2</v>
      </c>
      <c r="V199" s="14">
        <f t="shared" si="62"/>
        <v>3.9695703395108632E-2</v>
      </c>
      <c r="W199" s="14">
        <f t="shared" si="63"/>
        <v>-4.1493144549487951E-2</v>
      </c>
      <c r="X199" s="14">
        <f t="shared" si="64"/>
        <v>-3.6407903960909233E-2</v>
      </c>
      <c r="Y199" s="14">
        <f t="shared" si="65"/>
        <v>1.606840807150111E-2</v>
      </c>
      <c r="Z199" s="14">
        <f t="shared" si="66"/>
        <v>-3.4364053993962577E-2</v>
      </c>
      <c r="AA199" s="14">
        <f t="shared" si="67"/>
        <v>-7.3009947878726444E-2</v>
      </c>
      <c r="AB199" s="14">
        <f t="shared" si="68"/>
        <v>-4.8740862596259702E-4</v>
      </c>
      <c r="AC199" s="14">
        <f t="shared" si="69"/>
        <v>-2.1425883364130368E-2</v>
      </c>
      <c r="AD199" s="14">
        <f t="shared" si="70"/>
        <v>-1.7321165256107322E-2</v>
      </c>
      <c r="AE199" s="14">
        <f t="shared" si="71"/>
        <v>4.9801458803894689E-3</v>
      </c>
      <c r="AM199" s="14">
        <f t="shared" si="72"/>
        <v>3.9916556835534661E-2</v>
      </c>
      <c r="AN199" s="14">
        <f t="shared" si="73"/>
        <v>-1.0516533182138743E-2</v>
      </c>
      <c r="AO199" s="14">
        <f t="shared" si="74"/>
        <v>-1.7934509961631102E-2</v>
      </c>
      <c r="AP199" s="14">
        <f t="shared" si="75"/>
        <v>-3.594702846564729E-2</v>
      </c>
      <c r="AQ199" s="14">
        <f t="shared" si="76"/>
        <v>2.5872763931345133E-2</v>
      </c>
      <c r="AR199" s="14">
        <f t="shared" si="77"/>
        <v>-5.0005749379125303E-2</v>
      </c>
      <c r="AS199" s="14">
        <f t="shared" si="78"/>
        <v>-4.9220906955748829E-2</v>
      </c>
      <c r="AT199" s="14">
        <f t="shared" si="79"/>
        <v>1.0672476760956284E-2</v>
      </c>
      <c r="AU199" s="14">
        <f t="shared" si="80"/>
        <v>-5.048754657072041E-2</v>
      </c>
      <c r="AV199" s="14">
        <f t="shared" si="81"/>
        <v>-9.5061336088860901E-2</v>
      </c>
      <c r="AW199" s="14">
        <f t="shared" si="82"/>
        <v>-1.3575196502786983E-2</v>
      </c>
      <c r="AX199" s="14">
        <f t="shared" si="83"/>
        <v>-4.8134736000946247E-2</v>
      </c>
      <c r="AY199" s="14">
        <f t="shared" si="84"/>
        <v>-2.859209674418723E-2</v>
      </c>
      <c r="AZ199" s="14">
        <f t="shared" si="85"/>
        <v>3.6609388366902647E-4</v>
      </c>
    </row>
    <row r="200" spans="2:52" x14ac:dyDescent="0.3">
      <c r="B200" s="13">
        <v>9.9712596823596112E-3</v>
      </c>
      <c r="C200" s="13">
        <v>5.1568243958481599E-2</v>
      </c>
      <c r="D200" s="13">
        <v>1.1450247085688954E-2</v>
      </c>
      <c r="E200" s="13">
        <v>-4.838489587460932E-3</v>
      </c>
      <c r="F200" s="13">
        <v>-2.4293623169081461E-2</v>
      </c>
      <c r="G200" s="13">
        <v>-1.2292564547297443E-3</v>
      </c>
      <c r="H200" s="13">
        <v>-4.5651565316047402E-2</v>
      </c>
      <c r="I200" s="13">
        <v>3.2126498764878504E-2</v>
      </c>
      <c r="J200" s="13">
        <v>1.7420393174790941E-2</v>
      </c>
      <c r="K200" s="13">
        <v>0.19533145520196873</v>
      </c>
      <c r="L200" s="13">
        <v>-1.8970063866662289E-2</v>
      </c>
      <c r="M200" s="13">
        <v>-2.5668760433835577E-2</v>
      </c>
      <c r="N200" s="13">
        <v>4.1785385731568848E-2</v>
      </c>
      <c r="O200" s="13">
        <v>-4.291466501723562E-2</v>
      </c>
      <c r="R200" s="14">
        <f t="shared" ref="R200:R201" si="86">IF(B200&gt;0,B200*1.2,B200*0.8)</f>
        <v>1.1965511618831533E-2</v>
      </c>
      <c r="S200" s="14">
        <f t="shared" ref="S200:S201" si="87">IF(C200&gt;0,C200*1.2,C200*0.8)</f>
        <v>6.1881892750177914E-2</v>
      </c>
      <c r="T200" s="14">
        <f t="shared" ref="T200:T201" si="88">IF(D200&gt;0,D200*1.2,D200*0.8)</f>
        <v>1.3740296502826745E-2</v>
      </c>
      <c r="U200" s="14">
        <f t="shared" ref="U200:U201" si="89">IF(E200&gt;0,E200*1.2,E200*0.8)</f>
        <v>-3.8707916699687456E-3</v>
      </c>
      <c r="V200" s="14">
        <f t="shared" ref="V200:V201" si="90">IF(F200&gt;0,F200*1.2,F200*0.8)</f>
        <v>-1.9434898535265172E-2</v>
      </c>
      <c r="W200" s="14">
        <f t="shared" ref="W200:W201" si="91">IF(G200&gt;0,G200*1.2,G200*0.8)</f>
        <v>-9.8340516378379547E-4</v>
      </c>
      <c r="X200" s="14">
        <f t="shared" ref="X200:X201" si="92">IF(H200&gt;0,H200*1.2,H200*0.8)</f>
        <v>-3.6521252252837921E-2</v>
      </c>
      <c r="Y200" s="14">
        <f t="shared" ref="Y200:Y201" si="93">IF(I200&gt;0,I200*1.2,I200*0.8)</f>
        <v>3.8551798517854202E-2</v>
      </c>
      <c r="Z200" s="14">
        <f t="shared" ref="Z200:Z201" si="94">IF(J200&gt;0,J200*1.2,J200*0.8)</f>
        <v>2.090447180974913E-2</v>
      </c>
      <c r="AA200" s="14">
        <f t="shared" ref="AA200:AA201" si="95">IF(K200&gt;0,K200*1.2,K200*0.8)</f>
        <v>0.23439774624236248</v>
      </c>
      <c r="AB200" s="14">
        <f t="shared" ref="AB200:AB201" si="96">IF(L200&gt;0,L200*1.2,L200*0.8)</f>
        <v>-1.5176051093329833E-2</v>
      </c>
      <c r="AC200" s="14">
        <f t="shared" ref="AC200:AC201" si="97">IF(M200&gt;0,M200*1.2,M200*0.8)</f>
        <v>-2.0535008347068465E-2</v>
      </c>
      <c r="AD200" s="14">
        <f t="shared" ref="AD200:AD201" si="98">IF(N200&gt;0,N200*1.2,N200*0.8)</f>
        <v>5.014246287788262E-2</v>
      </c>
      <c r="AE200" s="14">
        <f t="shared" ref="AE200:AE201" si="99">IF(O200&gt;0,O200*1.2,O200*0.8)</f>
        <v>-3.4331732013788495E-2</v>
      </c>
      <c r="AM200" s="14">
        <f t="shared" ref="AM200:AM201" si="100">R200-R$204</f>
        <v>4.1593951982995198E-3</v>
      </c>
      <c r="AN200" s="14">
        <f t="shared" ref="AN200:AN201" si="101">S200-S$204</f>
        <v>4.1085186230357909E-2</v>
      </c>
      <c r="AO200" s="14">
        <f t="shared" ref="AO200:AO201" si="102">T200-T$204</f>
        <v>5.8623601631973051E-3</v>
      </c>
      <c r="AP200" s="14">
        <f t="shared" ref="AP200:AP201" si="103">U200-U$204</f>
        <v>-1.3705299709500155E-2</v>
      </c>
      <c r="AQ200" s="14">
        <f t="shared" ref="AQ200:AQ201" si="104">V200-V$204</f>
        <v>-3.3257837999028671E-2</v>
      </c>
      <c r="AR200" s="14">
        <f t="shared" ref="AR200:AR201" si="105">W200-W$204</f>
        <v>-9.4960099934211489E-3</v>
      </c>
      <c r="AS200" s="14">
        <f t="shared" ref="AS200:AS201" si="106">X200-X$204</f>
        <v>-4.9334255247677518E-2</v>
      </c>
      <c r="AT200" s="14">
        <f t="shared" ref="AT200:AT201" si="107">Y200-Y$204</f>
        <v>3.3155867207309377E-2</v>
      </c>
      <c r="AU200" s="14">
        <f t="shared" ref="AU200:AU201" si="108">Z200-Z$204</f>
        <v>4.7809792329912941E-3</v>
      </c>
      <c r="AV200" s="14">
        <f t="shared" ref="AV200:AV201" si="109">AA200-AA$204</f>
        <v>0.21234635803222801</v>
      </c>
      <c r="AW200" s="14">
        <f t="shared" ref="AW200:AW201" si="110">AB200-AB$204</f>
        <v>-2.826383897015422E-2</v>
      </c>
      <c r="AX200" s="14">
        <f t="shared" ref="AX200:AX201" si="111">AC200-AC$204</f>
        <v>-4.7243860983884348E-2</v>
      </c>
      <c r="AY200" s="14">
        <f t="shared" ref="AY200:AY201" si="112">AD200-AD$204</f>
        <v>3.8871531389802712E-2</v>
      </c>
      <c r="AZ200" s="14">
        <f t="shared" ref="AZ200:AZ201" si="113">AE200-AE$204</f>
        <v>-3.8945784010508938E-2</v>
      </c>
    </row>
    <row r="201" spans="2:52" x14ac:dyDescent="0.3">
      <c r="B201" s="13">
        <v>-5.0677456737145084E-2</v>
      </c>
      <c r="C201" s="13">
        <v>-2.4058552908910263E-2</v>
      </c>
      <c r="D201" s="13">
        <v>-1.2428318797625971E-2</v>
      </c>
      <c r="E201" s="13">
        <v>-3.6441615311596433E-2</v>
      </c>
      <c r="F201" s="13">
        <v>-3.8756451304986173E-2</v>
      </c>
      <c r="G201" s="13">
        <v>-1.4407884364709968E-2</v>
      </c>
      <c r="H201" s="13">
        <v>-7.4301473296585745E-3</v>
      </c>
      <c r="I201" s="13">
        <v>-9.320466961017812E-2</v>
      </c>
      <c r="J201" s="13">
        <v>7.686557966491165E-3</v>
      </c>
      <c r="K201" s="13">
        <v>-6.2460090322571458E-2</v>
      </c>
      <c r="L201" s="13">
        <v>-3.3687395983675247E-2</v>
      </c>
      <c r="M201" s="13">
        <v>1.3600967172725074E-2</v>
      </c>
      <c r="N201" s="13">
        <v>-0.12094160559479879</v>
      </c>
      <c r="O201" s="13">
        <v>-8.4346816110179162E-3</v>
      </c>
      <c r="R201" s="14">
        <f t="shared" si="86"/>
        <v>-4.0541965389716071E-2</v>
      </c>
      <c r="S201" s="14">
        <f t="shared" si="87"/>
        <v>-1.9246842327128214E-2</v>
      </c>
      <c r="T201" s="14">
        <f t="shared" si="88"/>
        <v>-9.9426550381007776E-3</v>
      </c>
      <c r="U201" s="14">
        <f t="shared" si="89"/>
        <v>-2.9153292249277148E-2</v>
      </c>
      <c r="V201" s="14">
        <f t="shared" si="90"/>
        <v>-3.1005161043988941E-2</v>
      </c>
      <c r="W201" s="14">
        <f t="shared" si="91"/>
        <v>-1.1526307491767975E-2</v>
      </c>
      <c r="X201" s="14">
        <f t="shared" si="92"/>
        <v>-5.9441178637268596E-3</v>
      </c>
      <c r="Y201" s="14">
        <f t="shared" si="93"/>
        <v>-7.4563735688142493E-2</v>
      </c>
      <c r="Z201" s="14">
        <f t="shared" si="94"/>
        <v>9.223869559789398E-3</v>
      </c>
      <c r="AA201" s="14">
        <f t="shared" si="95"/>
        <v>-4.9968072258057168E-2</v>
      </c>
      <c r="AB201" s="14">
        <f t="shared" si="96"/>
        <v>-2.6949916786940198E-2</v>
      </c>
      <c r="AC201" s="14">
        <f t="shared" si="97"/>
        <v>1.632116060727009E-2</v>
      </c>
      <c r="AD201" s="14">
        <f t="shared" si="98"/>
        <v>-9.675328447583903E-2</v>
      </c>
      <c r="AE201" s="14">
        <f t="shared" si="99"/>
        <v>-6.747745288814333E-3</v>
      </c>
      <c r="AM201" s="14">
        <f t="shared" si="100"/>
        <v>-4.8348081810248085E-2</v>
      </c>
      <c r="AN201" s="14">
        <f t="shared" si="101"/>
        <v>-4.0043548846948218E-2</v>
      </c>
      <c r="AO201" s="14">
        <f t="shared" si="102"/>
        <v>-1.7820591377730219E-2</v>
      </c>
      <c r="AP201" s="14">
        <f t="shared" si="103"/>
        <v>-3.8987800288808556E-2</v>
      </c>
      <c r="AQ201" s="14">
        <f t="shared" si="104"/>
        <v>-4.482810050775244E-2</v>
      </c>
      <c r="AR201" s="14">
        <f t="shared" si="105"/>
        <v>-2.0038912321405328E-2</v>
      </c>
      <c r="AS201" s="14">
        <f t="shared" si="106"/>
        <v>-1.8757120858566456E-2</v>
      </c>
      <c r="AT201" s="14">
        <f t="shared" si="107"/>
        <v>-7.9959666998687312E-2</v>
      </c>
      <c r="AU201" s="14">
        <f t="shared" si="108"/>
        <v>-6.8996230169684376E-3</v>
      </c>
      <c r="AV201" s="14">
        <f t="shared" si="109"/>
        <v>-7.2019460468191632E-2</v>
      </c>
      <c r="AW201" s="14">
        <f t="shared" si="110"/>
        <v>-4.0037704663764585E-2</v>
      </c>
      <c r="AX201" s="14">
        <f t="shared" si="111"/>
        <v>-1.038769202954579E-2</v>
      </c>
      <c r="AY201" s="14">
        <f t="shared" si="112"/>
        <v>-0.10802421596391894</v>
      </c>
      <c r="AZ201" s="14">
        <f t="shared" si="113"/>
        <v>-1.1361797285534776E-2</v>
      </c>
    </row>
    <row r="204" spans="2:52" x14ac:dyDescent="0.3">
      <c r="Q204" s="2" t="s">
        <v>11</v>
      </c>
      <c r="R204" s="14">
        <f>AVERAGE(R7:R201)</f>
        <v>7.806116420532013E-3</v>
      </c>
      <c r="S204" s="14">
        <f t="shared" ref="S204:AE204" si="114">AVERAGE(S7:S201)</f>
        <v>2.0796706519820008E-2</v>
      </c>
      <c r="T204" s="14">
        <f t="shared" si="114"/>
        <v>7.8779363396294395E-3</v>
      </c>
      <c r="U204" s="14">
        <f t="shared" si="114"/>
        <v>9.8345080395314099E-3</v>
      </c>
      <c r="V204" s="14">
        <f t="shared" si="114"/>
        <v>1.3822939463763499E-2</v>
      </c>
      <c r="W204" s="14">
        <f t="shared" si="114"/>
        <v>8.5126048296373536E-3</v>
      </c>
      <c r="X204" s="14">
        <f t="shared" si="114"/>
        <v>1.2813002994839598E-2</v>
      </c>
      <c r="Y204" s="14">
        <f t="shared" si="114"/>
        <v>5.3959313105448247E-3</v>
      </c>
      <c r="Z204" s="14">
        <f t="shared" si="114"/>
        <v>1.6123492576757836E-2</v>
      </c>
      <c r="AA204" s="14">
        <f t="shared" si="114"/>
        <v>2.2051388210134457E-2</v>
      </c>
      <c r="AB204" s="14">
        <f t="shared" si="114"/>
        <v>1.3087787876824386E-2</v>
      </c>
      <c r="AC204" s="14">
        <f t="shared" si="114"/>
        <v>2.6708852636815879E-2</v>
      </c>
      <c r="AD204" s="14">
        <f t="shared" si="114"/>
        <v>1.1270931488079906E-2</v>
      </c>
      <c r="AE204" s="14">
        <f t="shared" si="114"/>
        <v>4.6140519967204424E-3</v>
      </c>
    </row>
    <row r="207" spans="2:52" x14ac:dyDescent="0.3">
      <c r="B207" s="24" t="s">
        <v>41</v>
      </c>
      <c r="C207" s="24"/>
      <c r="D207" s="24"/>
      <c r="E207" s="24"/>
      <c r="F207" s="24"/>
      <c r="G207" s="24"/>
      <c r="H207" s="24"/>
      <c r="I207" s="24"/>
      <c r="J207" s="24"/>
      <c r="K207" s="24"/>
      <c r="L207" s="24"/>
      <c r="M207" s="24"/>
      <c r="N207" s="24"/>
      <c r="O207" s="24"/>
      <c r="R207" s="24" t="s">
        <v>13</v>
      </c>
      <c r="S207" s="24"/>
      <c r="T207" s="24"/>
      <c r="U207" s="24"/>
      <c r="V207" s="24"/>
      <c r="W207" s="24"/>
      <c r="X207" s="24"/>
      <c r="Y207" s="24"/>
      <c r="Z207" s="24"/>
      <c r="AA207" s="24"/>
      <c r="AB207" s="24"/>
      <c r="AC207" s="24"/>
      <c r="AD207" s="24"/>
      <c r="AE207" s="24"/>
    </row>
    <row r="208" spans="2:52" x14ac:dyDescent="0.3">
      <c r="B208" s="7" t="s">
        <v>3</v>
      </c>
      <c r="C208" s="5" t="s">
        <v>4</v>
      </c>
      <c r="D208" s="5" t="s">
        <v>5</v>
      </c>
      <c r="E208" s="5" t="s">
        <v>6</v>
      </c>
      <c r="F208" s="7" t="s">
        <v>7</v>
      </c>
      <c r="G208" s="5" t="s">
        <v>8</v>
      </c>
      <c r="H208" s="5" t="s">
        <v>9</v>
      </c>
      <c r="I208" s="5" t="s">
        <v>24</v>
      </c>
      <c r="J208" s="5" t="s">
        <v>25</v>
      </c>
      <c r="K208" s="5" t="s">
        <v>26</v>
      </c>
      <c r="L208" s="5" t="s">
        <v>27</v>
      </c>
      <c r="M208" s="5" t="s">
        <v>28</v>
      </c>
      <c r="N208" s="5" t="s">
        <v>29</v>
      </c>
      <c r="O208" s="5" t="s">
        <v>30</v>
      </c>
      <c r="R208" s="7" t="s">
        <v>3</v>
      </c>
      <c r="S208" s="5" t="s">
        <v>4</v>
      </c>
      <c r="T208" s="5" t="s">
        <v>5</v>
      </c>
      <c r="U208" s="5" t="s">
        <v>6</v>
      </c>
      <c r="V208" s="7" t="s">
        <v>7</v>
      </c>
      <c r="W208" s="5" t="s">
        <v>8</v>
      </c>
      <c r="X208" s="5" t="s">
        <v>9</v>
      </c>
      <c r="Y208" s="5" t="s">
        <v>24</v>
      </c>
      <c r="Z208" s="5" t="s">
        <v>25</v>
      </c>
      <c r="AA208" s="5" t="s">
        <v>26</v>
      </c>
      <c r="AB208" s="5" t="s">
        <v>27</v>
      </c>
      <c r="AC208" s="5" t="s">
        <v>28</v>
      </c>
      <c r="AD208" s="5" t="s">
        <v>29</v>
      </c>
      <c r="AE208" s="5" t="s">
        <v>30</v>
      </c>
    </row>
    <row r="209" spans="2:31" x14ac:dyDescent="0.3">
      <c r="B209" s="15" cm="1">
        <f t="array" ref="B209:O222">MMULT(TRANSPOSE(AM7:AZ201),AM7:AZ201)/(195-1)</f>
        <v>1.5622442270572076E-3</v>
      </c>
      <c r="C209" s="6">
        <v>1.3659205046631945E-3</v>
      </c>
      <c r="D209" s="6">
        <v>7.5721301861636861E-4</v>
      </c>
      <c r="E209" s="6">
        <v>1.0081133587744239E-3</v>
      </c>
      <c r="F209" s="6">
        <v>1.6400531896165048E-3</v>
      </c>
      <c r="G209" s="6">
        <v>9.7162975991569288E-4</v>
      </c>
      <c r="H209" s="6">
        <v>9.2759050638335967E-4</v>
      </c>
      <c r="I209" s="6">
        <v>9.5004467248667338E-4</v>
      </c>
      <c r="J209" s="6">
        <v>1.2059419341529044E-3</v>
      </c>
      <c r="K209" s="6">
        <v>1.8580152540170164E-3</v>
      </c>
      <c r="L209" s="6">
        <v>8.1557595567890279E-4</v>
      </c>
      <c r="M209" s="6">
        <v>1.4484112091991185E-3</v>
      </c>
      <c r="N209" s="6">
        <v>1.7880392438662524E-3</v>
      </c>
      <c r="O209" s="6">
        <v>9.8806723064087036E-4</v>
      </c>
      <c r="R209" s="6" cm="1">
        <f t="array" ref="R209:AE222">MINVERSE(_xlfn.ANCHORARRAY(B209))</f>
        <v>1209.0634611205774</v>
      </c>
      <c r="S209" s="6">
        <v>-43.975702373353947</v>
      </c>
      <c r="T209" s="6">
        <v>-177.53221112569005</v>
      </c>
      <c r="U209" s="6">
        <v>-276.58272738323615</v>
      </c>
      <c r="V209" s="6">
        <v>-143.05370719346874</v>
      </c>
      <c r="W209" s="6">
        <v>-33.315476192280393</v>
      </c>
      <c r="X209" s="6">
        <v>2.4100184255691088</v>
      </c>
      <c r="Y209" s="6">
        <v>11.694154737902416</v>
      </c>
      <c r="Z209" s="6">
        <v>-52.953767611002981</v>
      </c>
      <c r="AA209" s="6">
        <v>27.647084630415275</v>
      </c>
      <c r="AB209" s="6">
        <v>-51.895911036293839</v>
      </c>
      <c r="AC209" s="6">
        <v>53.019018420818561</v>
      </c>
      <c r="AD209" s="6">
        <v>-68.710065238592605</v>
      </c>
      <c r="AE209" s="6">
        <v>-61.746470324742283</v>
      </c>
    </row>
    <row r="210" spans="2:31" x14ac:dyDescent="0.3">
      <c r="B210" s="6">
        <v>1.3659205046631945E-3</v>
      </c>
      <c r="C210" s="6">
        <v>5.1796858100164921E-3</v>
      </c>
      <c r="D210" s="6">
        <v>1.7247842847032803E-3</v>
      </c>
      <c r="E210" s="6">
        <v>1.5181303404797576E-3</v>
      </c>
      <c r="F210" s="6">
        <v>2.7878926725378749E-3</v>
      </c>
      <c r="G210" s="6">
        <v>2.0675817019344405E-3</v>
      </c>
      <c r="H210" s="6">
        <v>1.9364340008890838E-3</v>
      </c>
      <c r="I210" s="6">
        <v>1.9812426101174438E-3</v>
      </c>
      <c r="J210" s="6">
        <v>2.6430831431682746E-3</v>
      </c>
      <c r="K210" s="6">
        <v>4.6421999003812735E-3</v>
      </c>
      <c r="L210" s="6">
        <v>2.1239216957938227E-3</v>
      </c>
      <c r="M210" s="6">
        <v>3.7553535924712477E-3</v>
      </c>
      <c r="N210" s="6">
        <v>3.2676250568253792E-3</v>
      </c>
      <c r="O210" s="6">
        <v>1.7894377327243977E-3</v>
      </c>
      <c r="R210" s="6">
        <v>-43.975702373354011</v>
      </c>
      <c r="S210" s="6">
        <v>453.50541280237286</v>
      </c>
      <c r="T210" s="6">
        <v>-370.77827927434794</v>
      </c>
      <c r="U210" s="6">
        <v>48.307368965283651</v>
      </c>
      <c r="V210" s="6">
        <v>-33.590569797917148</v>
      </c>
      <c r="W210" s="6">
        <v>-71.939845261762883</v>
      </c>
      <c r="X210" s="6">
        <v>5.3048114373352231</v>
      </c>
      <c r="Y210" s="6">
        <v>-22.48359066478173</v>
      </c>
      <c r="Z210" s="6">
        <v>-27.343392782208419</v>
      </c>
      <c r="AA210" s="6">
        <v>-14.416470516693254</v>
      </c>
      <c r="AB210" s="6">
        <v>-59.279891165570156</v>
      </c>
      <c r="AC210" s="6">
        <v>-49.207867407792506</v>
      </c>
      <c r="AD210" s="6">
        <v>-1.7624373761497121</v>
      </c>
      <c r="AE210" s="6">
        <v>5.3322013200589398</v>
      </c>
    </row>
    <row r="211" spans="2:31" x14ac:dyDescent="0.3">
      <c r="B211" s="6">
        <v>7.5721301861636861E-4</v>
      </c>
      <c r="C211" s="6">
        <v>1.7247842847032803E-3</v>
      </c>
      <c r="D211" s="6">
        <v>1.2718722150549813E-3</v>
      </c>
      <c r="E211" s="6">
        <v>9.8076907590747241E-4</v>
      </c>
      <c r="F211" s="6">
        <v>1.286842303880513E-3</v>
      </c>
      <c r="G211" s="6">
        <v>1.1439611065464034E-3</v>
      </c>
      <c r="H211" s="6">
        <v>1.3171138480753016E-3</v>
      </c>
      <c r="I211" s="6">
        <v>7.9071361218268472E-4</v>
      </c>
      <c r="J211" s="6">
        <v>1.3026088031721998E-3</v>
      </c>
      <c r="K211" s="6">
        <v>2.0087479088320465E-3</v>
      </c>
      <c r="L211" s="6">
        <v>8.4907553840580011E-4</v>
      </c>
      <c r="M211" s="6">
        <v>1.5365700852558064E-3</v>
      </c>
      <c r="N211" s="6">
        <v>1.4814649608795134E-3</v>
      </c>
      <c r="O211" s="6">
        <v>8.9074013842862707E-4</v>
      </c>
      <c r="R211" s="6">
        <v>-177.53221112569017</v>
      </c>
      <c r="S211" s="6">
        <v>-370.77827927434748</v>
      </c>
      <c r="T211" s="6">
        <v>2313.2906560635529</v>
      </c>
      <c r="U211" s="6">
        <v>-288.47564226104157</v>
      </c>
      <c r="V211" s="6">
        <v>-30.749853907043132</v>
      </c>
      <c r="W211" s="6">
        <v>-347.64995879331218</v>
      </c>
      <c r="X211" s="6">
        <v>-334.19665038981231</v>
      </c>
      <c r="Y211" s="6">
        <v>56.648568095663009</v>
      </c>
      <c r="Z211" s="6">
        <v>-133.24528139683184</v>
      </c>
      <c r="AA211" s="6">
        <v>-14.107517644258801</v>
      </c>
      <c r="AB211" s="6">
        <v>49.091830731253545</v>
      </c>
      <c r="AC211" s="6">
        <v>49.002933844471372</v>
      </c>
      <c r="AD211" s="6">
        <v>51.740176620934982</v>
      </c>
      <c r="AE211" s="6">
        <v>-49.862842018247314</v>
      </c>
    </row>
    <row r="212" spans="2:31" x14ac:dyDescent="0.3">
      <c r="B212" s="6">
        <v>1.0081133587744239E-3</v>
      </c>
      <c r="C212" s="6">
        <v>1.5181303404797576E-3</v>
      </c>
      <c r="D212" s="6">
        <v>9.8076907590747241E-4</v>
      </c>
      <c r="E212" s="6">
        <v>2.0803777271569887E-3</v>
      </c>
      <c r="F212" s="6">
        <v>1.543094110489529E-3</v>
      </c>
      <c r="G212" s="6">
        <v>1.3621966980826435E-3</v>
      </c>
      <c r="H212" s="6">
        <v>1.2974992492584395E-3</v>
      </c>
      <c r="I212" s="6">
        <v>1.3911695952089805E-3</v>
      </c>
      <c r="J212" s="6">
        <v>1.4643991875364043E-3</v>
      </c>
      <c r="K212" s="6">
        <v>2.2988966878777365E-3</v>
      </c>
      <c r="L212" s="6">
        <v>7.5464492800503844E-4</v>
      </c>
      <c r="M212" s="6">
        <v>1.8502873986508703E-3</v>
      </c>
      <c r="N212" s="6">
        <v>1.968103569930268E-3</v>
      </c>
      <c r="O212" s="6">
        <v>1.0621945325361586E-3</v>
      </c>
      <c r="R212" s="6">
        <v>-276.58272738323632</v>
      </c>
      <c r="S212" s="6">
        <v>48.307368965283793</v>
      </c>
      <c r="T212" s="6">
        <v>-288.47564226104208</v>
      </c>
      <c r="U212" s="6">
        <v>1024.2791449341391</v>
      </c>
      <c r="V212" s="6">
        <v>3.4979185151506975</v>
      </c>
      <c r="W212" s="6">
        <v>-283.241362305807</v>
      </c>
      <c r="X212" s="6">
        <v>-61.770706849063487</v>
      </c>
      <c r="Y212" s="6">
        <v>-51.38248921695866</v>
      </c>
      <c r="Z212" s="6">
        <v>-34.567228461075445</v>
      </c>
      <c r="AA212" s="6">
        <v>-7.4518517560296074</v>
      </c>
      <c r="AB212" s="6">
        <v>103.83210231129883</v>
      </c>
      <c r="AC212" s="6">
        <v>-37.666353184155625</v>
      </c>
      <c r="AD212" s="6">
        <v>-15.900219789945934</v>
      </c>
      <c r="AE212" s="6">
        <v>-18.853316701537981</v>
      </c>
    </row>
    <row r="213" spans="2:31" x14ac:dyDescent="0.3">
      <c r="B213" s="6">
        <v>1.6400531896165048E-3</v>
      </c>
      <c r="C213" s="6">
        <v>2.7878926725378749E-3</v>
      </c>
      <c r="D213" s="6">
        <v>1.286842303880513E-3</v>
      </c>
      <c r="E213" s="6">
        <v>1.543094110489529E-3</v>
      </c>
      <c r="F213" s="6">
        <v>7.1329829074843294E-3</v>
      </c>
      <c r="G213" s="6">
        <v>1.8151524339359358E-3</v>
      </c>
      <c r="H213" s="6">
        <v>1.2142542787815754E-3</v>
      </c>
      <c r="I213" s="6">
        <v>1.6884224608632958E-3</v>
      </c>
      <c r="J213" s="6">
        <v>2.1337867007659665E-3</v>
      </c>
      <c r="K213" s="6">
        <v>5.2155031319542052E-3</v>
      </c>
      <c r="L213" s="6">
        <v>1.0591976805042979E-3</v>
      </c>
      <c r="M213" s="6">
        <v>3.9934176561358566E-3</v>
      </c>
      <c r="N213" s="6">
        <v>3.1176085151204563E-3</v>
      </c>
      <c r="O213" s="6">
        <v>1.9535987222464306E-3</v>
      </c>
      <c r="R213" s="6">
        <v>-143.05370719346882</v>
      </c>
      <c r="S213" s="6">
        <v>-33.590569797917176</v>
      </c>
      <c r="T213" s="6">
        <v>-30.7498539070432</v>
      </c>
      <c r="U213" s="6">
        <v>3.4979185151507202</v>
      </c>
      <c r="V213" s="6">
        <v>247.15993319483482</v>
      </c>
      <c r="W213" s="6">
        <v>-38.269157304152124</v>
      </c>
      <c r="X213" s="6">
        <v>28.702466015191899</v>
      </c>
      <c r="Y213" s="6">
        <v>-5.3567530712445581</v>
      </c>
      <c r="Z213" s="6">
        <v>8.5023180768266826</v>
      </c>
      <c r="AA213" s="6">
        <v>-35.08490615844773</v>
      </c>
      <c r="AB213" s="6">
        <v>69.671032194629589</v>
      </c>
      <c r="AC213" s="6">
        <v>-53.01132319309675</v>
      </c>
      <c r="AD213" s="6">
        <v>8.0519487549704909</v>
      </c>
      <c r="AE213" s="6">
        <v>-40.568325185262921</v>
      </c>
    </row>
    <row r="214" spans="2:31" x14ac:dyDescent="0.3">
      <c r="B214" s="6">
        <v>9.7162975991569288E-4</v>
      </c>
      <c r="C214" s="6">
        <v>2.0675817019344405E-3</v>
      </c>
      <c r="D214" s="6">
        <v>1.1439611065464034E-3</v>
      </c>
      <c r="E214" s="6">
        <v>1.3621966980826435E-3</v>
      </c>
      <c r="F214" s="6">
        <v>1.8151524339359358E-3</v>
      </c>
      <c r="G214" s="6">
        <v>2.267272741265616E-3</v>
      </c>
      <c r="H214" s="6">
        <v>1.5164526009162607E-3</v>
      </c>
      <c r="I214" s="6">
        <v>1.4801600034031329E-3</v>
      </c>
      <c r="J214" s="6">
        <v>1.7723821245376264E-3</v>
      </c>
      <c r="K214" s="6">
        <v>3.1362344511673334E-3</v>
      </c>
      <c r="L214" s="6">
        <v>1.3725315356375525E-3</v>
      </c>
      <c r="M214" s="6">
        <v>2.342215278353797E-3</v>
      </c>
      <c r="N214" s="6">
        <v>2.2495212323518526E-3</v>
      </c>
      <c r="O214" s="6">
        <v>1.3117326518052343E-3</v>
      </c>
      <c r="R214" s="6">
        <v>-33.315476192280023</v>
      </c>
      <c r="S214" s="6">
        <v>-71.939845261763239</v>
      </c>
      <c r="T214" s="6">
        <v>-347.64995879331155</v>
      </c>
      <c r="U214" s="6">
        <v>-283.24136230580717</v>
      </c>
      <c r="V214" s="6">
        <v>-38.269157304152131</v>
      </c>
      <c r="W214" s="6">
        <v>1147.3858845455563</v>
      </c>
      <c r="X214" s="6">
        <v>-83.931250129083608</v>
      </c>
      <c r="Y214" s="6">
        <v>-34.449329586064486</v>
      </c>
      <c r="Z214" s="6">
        <v>-38.897206435036757</v>
      </c>
      <c r="AA214" s="6">
        <v>-29.328330534081815</v>
      </c>
      <c r="AB214" s="6">
        <v>-87.293941243570586</v>
      </c>
      <c r="AC214" s="6">
        <v>-32.507550566108989</v>
      </c>
      <c r="AD214" s="6">
        <v>16.381160956594886</v>
      </c>
      <c r="AE214" s="6">
        <v>-52.631894119449434</v>
      </c>
    </row>
    <row r="215" spans="2:31" x14ac:dyDescent="0.3">
      <c r="B215" s="6">
        <v>9.2759050638335967E-4</v>
      </c>
      <c r="C215" s="6">
        <v>1.9364340008890838E-3</v>
      </c>
      <c r="D215" s="6">
        <v>1.3171138480753016E-3</v>
      </c>
      <c r="E215" s="6">
        <v>1.2974992492584395E-3</v>
      </c>
      <c r="F215" s="6">
        <v>1.2142542787815754E-3</v>
      </c>
      <c r="G215" s="6">
        <v>1.5164526009162607E-3</v>
      </c>
      <c r="H215" s="6">
        <v>3.8133615443039412E-3</v>
      </c>
      <c r="I215" s="6">
        <v>1.0232059847452893E-3</v>
      </c>
      <c r="J215" s="6">
        <v>1.6259872412078069E-3</v>
      </c>
      <c r="K215" s="6">
        <v>2.5205885796497126E-3</v>
      </c>
      <c r="L215" s="6">
        <v>1.3776790679268605E-3</v>
      </c>
      <c r="M215" s="6">
        <v>1.9988091441940966E-3</v>
      </c>
      <c r="N215" s="6">
        <v>2.672741017508991E-3</v>
      </c>
      <c r="O215" s="6">
        <v>1.2148737535928168E-3</v>
      </c>
      <c r="R215" s="6">
        <v>2.4100184255688419</v>
      </c>
      <c r="S215" s="6">
        <v>5.3048114373352746</v>
      </c>
      <c r="T215" s="6">
        <v>-334.19665038981231</v>
      </c>
      <c r="U215" s="6">
        <v>-61.770706849063558</v>
      </c>
      <c r="V215" s="6">
        <v>28.702466015191824</v>
      </c>
      <c r="W215" s="6">
        <v>-83.931250129083381</v>
      </c>
      <c r="X215" s="6">
        <v>458.29227584855926</v>
      </c>
      <c r="Y215" s="6">
        <v>17.633538999713707</v>
      </c>
      <c r="Z215" s="6">
        <v>-0.16506937993379264</v>
      </c>
      <c r="AA215" s="6">
        <v>8.6691035310071598</v>
      </c>
      <c r="AB215" s="6">
        <v>-37.2902494886848</v>
      </c>
      <c r="AC215" s="6">
        <v>10.717263999251703</v>
      </c>
      <c r="AD215" s="6">
        <v>-61.342257323231223</v>
      </c>
      <c r="AE215" s="6">
        <v>5.6670061070441688</v>
      </c>
    </row>
    <row r="216" spans="2:31" x14ac:dyDescent="0.3">
      <c r="B216" s="6">
        <v>9.5004467248667338E-4</v>
      </c>
      <c r="C216" s="6">
        <v>1.9812426101174438E-3</v>
      </c>
      <c r="D216" s="6">
        <v>7.9071361218268472E-4</v>
      </c>
      <c r="E216" s="6">
        <v>1.3911695952089805E-3</v>
      </c>
      <c r="F216" s="6">
        <v>1.6884224608632958E-3</v>
      </c>
      <c r="G216" s="6">
        <v>1.4801600034031329E-3</v>
      </c>
      <c r="H216" s="6">
        <v>1.0232059847452893E-3</v>
      </c>
      <c r="I216" s="6">
        <v>8.912153553522744E-3</v>
      </c>
      <c r="J216" s="6">
        <v>2.3480878783786116E-3</v>
      </c>
      <c r="K216" s="6">
        <v>3.8722938083510048E-3</v>
      </c>
      <c r="L216" s="6">
        <v>1.4524548196103082E-3</v>
      </c>
      <c r="M216" s="6">
        <v>1.3865911451883318E-3</v>
      </c>
      <c r="N216" s="6">
        <v>3.5089156737241581E-3</v>
      </c>
      <c r="O216" s="6">
        <v>1.4897177580491311E-3</v>
      </c>
      <c r="R216" s="6">
        <v>11.694154737902281</v>
      </c>
      <c r="S216" s="6">
        <v>-22.483590664781754</v>
      </c>
      <c r="T216" s="6">
        <v>56.648568095663038</v>
      </c>
      <c r="U216" s="6">
        <v>-51.382489216958604</v>
      </c>
      <c r="V216" s="6">
        <v>-5.3567530712445484</v>
      </c>
      <c r="W216" s="6">
        <v>-34.449329586064486</v>
      </c>
      <c r="X216" s="6">
        <v>17.633538999713718</v>
      </c>
      <c r="Y216" s="6">
        <v>152.58185897857973</v>
      </c>
      <c r="Z216" s="6">
        <v>-57.50423370848717</v>
      </c>
      <c r="AA216" s="6">
        <v>-11.791960783117425</v>
      </c>
      <c r="AB216" s="6">
        <v>-2.571873037189969</v>
      </c>
      <c r="AC216" s="6">
        <v>45.644401371006957</v>
      </c>
      <c r="AD216" s="6">
        <v>-37.308414815878344</v>
      </c>
      <c r="AE216" s="6">
        <v>-3.8073366947583169</v>
      </c>
    </row>
    <row r="217" spans="2:31" x14ac:dyDescent="0.3">
      <c r="B217" s="6">
        <v>1.2059419341529044E-3</v>
      </c>
      <c r="C217" s="6">
        <v>2.6430831431682746E-3</v>
      </c>
      <c r="D217" s="6">
        <v>1.3026088031721998E-3</v>
      </c>
      <c r="E217" s="6">
        <v>1.4643991875364043E-3</v>
      </c>
      <c r="F217" s="6">
        <v>2.1337867007659665E-3</v>
      </c>
      <c r="G217" s="6">
        <v>1.7723821245376264E-3</v>
      </c>
      <c r="H217" s="6">
        <v>1.6259872412078069E-3</v>
      </c>
      <c r="I217" s="6">
        <v>2.3480878783786116E-3</v>
      </c>
      <c r="J217" s="6">
        <v>4.6544006468827786E-3</v>
      </c>
      <c r="K217" s="6">
        <v>3.77190967248239E-3</v>
      </c>
      <c r="L217" s="6">
        <v>2.0695309798107117E-3</v>
      </c>
      <c r="M217" s="6">
        <v>3.8480299132389794E-3</v>
      </c>
      <c r="N217" s="6">
        <v>3.1963414566611899E-3</v>
      </c>
      <c r="O217" s="6">
        <v>1.7400518123871617E-3</v>
      </c>
      <c r="R217" s="6">
        <v>-52.953767611002725</v>
      </c>
      <c r="S217" s="6">
        <v>-27.343392782208493</v>
      </c>
      <c r="T217" s="6">
        <v>-133.24528139683184</v>
      </c>
      <c r="U217" s="6">
        <v>-34.567228461075487</v>
      </c>
      <c r="V217" s="6">
        <v>8.502318076826656</v>
      </c>
      <c r="W217" s="6">
        <v>-38.89720643503675</v>
      </c>
      <c r="X217" s="6">
        <v>-0.16506937993375964</v>
      </c>
      <c r="Y217" s="6">
        <v>-57.504233708487178</v>
      </c>
      <c r="Z217" s="6">
        <v>443.65091331139143</v>
      </c>
      <c r="AA217" s="6">
        <v>10.505627367200226</v>
      </c>
      <c r="AB217" s="6">
        <v>-70.902216282481007</v>
      </c>
      <c r="AC217" s="6">
        <v>-96.945633909416529</v>
      </c>
      <c r="AD217" s="6">
        <v>2.1254043531329869</v>
      </c>
      <c r="AE217" s="6">
        <v>-25.951042657691215</v>
      </c>
    </row>
    <row r="218" spans="2:31" x14ac:dyDescent="0.3">
      <c r="B218" s="6">
        <v>1.8580152540170164E-3</v>
      </c>
      <c r="C218" s="6">
        <v>4.6421999003812735E-3</v>
      </c>
      <c r="D218" s="6">
        <v>2.0087479088320465E-3</v>
      </c>
      <c r="E218" s="6">
        <v>2.2988966878777365E-3</v>
      </c>
      <c r="F218" s="6">
        <v>5.2155031319542052E-3</v>
      </c>
      <c r="G218" s="6">
        <v>3.1362344511673334E-3</v>
      </c>
      <c r="H218" s="6">
        <v>2.5205885796497126E-3</v>
      </c>
      <c r="I218" s="6">
        <v>3.8722938083510048E-3</v>
      </c>
      <c r="J218" s="6">
        <v>3.77190967248239E-3</v>
      </c>
      <c r="K218" s="6">
        <v>1.8017058045893101E-2</v>
      </c>
      <c r="L218" s="6">
        <v>4.0542226657597933E-3</v>
      </c>
      <c r="M218" s="6">
        <v>6.4705248967469242E-3</v>
      </c>
      <c r="N218" s="6">
        <v>6.8293910390354552E-3</v>
      </c>
      <c r="O218" s="6">
        <v>3.4404418586887683E-3</v>
      </c>
      <c r="R218" s="6">
        <v>27.647084630415524</v>
      </c>
      <c r="S218" s="6">
        <v>-14.416470516693074</v>
      </c>
      <c r="T218" s="6">
        <v>-14.107517644258929</v>
      </c>
      <c r="U218" s="6">
        <v>-7.4518517560297468</v>
      </c>
      <c r="V218" s="6">
        <v>-35.084906158447808</v>
      </c>
      <c r="W218" s="6">
        <v>-29.328330534081609</v>
      </c>
      <c r="X218" s="6">
        <v>8.6691035310071083</v>
      </c>
      <c r="Y218" s="6">
        <v>-11.791960783117419</v>
      </c>
      <c r="Z218" s="6">
        <v>10.505627367200187</v>
      </c>
      <c r="AA218" s="6">
        <v>100.84527202143006</v>
      </c>
      <c r="AB218" s="6">
        <v>-46.819547861858844</v>
      </c>
      <c r="AC218" s="6">
        <v>-15.024459198430034</v>
      </c>
      <c r="AD218" s="6">
        <v>-23.259207282287612</v>
      </c>
      <c r="AE218" s="6">
        <v>-14.788971634253649</v>
      </c>
    </row>
    <row r="219" spans="2:31" x14ac:dyDescent="0.3">
      <c r="B219" s="6">
        <v>8.1557595567890279E-4</v>
      </c>
      <c r="C219" s="6">
        <v>2.1239216957938227E-3</v>
      </c>
      <c r="D219" s="6">
        <v>8.4907553840580011E-4</v>
      </c>
      <c r="E219" s="6">
        <v>7.5464492800503844E-4</v>
      </c>
      <c r="F219" s="6">
        <v>1.0591976805042979E-3</v>
      </c>
      <c r="G219" s="6">
        <v>1.3725315356375525E-3</v>
      </c>
      <c r="H219" s="6">
        <v>1.3776790679268605E-3</v>
      </c>
      <c r="I219" s="6">
        <v>1.4524548196103082E-3</v>
      </c>
      <c r="J219" s="6">
        <v>2.0695309798107117E-3</v>
      </c>
      <c r="K219" s="6">
        <v>4.0542226657597933E-3</v>
      </c>
      <c r="L219" s="6">
        <v>4.0615553565440448E-3</v>
      </c>
      <c r="M219" s="6">
        <v>2.780035495316698E-3</v>
      </c>
      <c r="N219" s="6">
        <v>2.8871046206166416E-3</v>
      </c>
      <c r="O219" s="6">
        <v>1.5712697585474223E-3</v>
      </c>
      <c r="R219" s="6">
        <v>-51.895911036294137</v>
      </c>
      <c r="S219" s="6">
        <v>-59.279891165569971</v>
      </c>
      <c r="T219" s="6">
        <v>49.091830731253268</v>
      </c>
      <c r="U219" s="6">
        <v>103.83210231129888</v>
      </c>
      <c r="V219" s="6">
        <v>69.671032194629618</v>
      </c>
      <c r="W219" s="6">
        <v>-87.293941243570444</v>
      </c>
      <c r="X219" s="6">
        <v>-37.290249488684708</v>
      </c>
      <c r="Y219" s="6">
        <v>-2.5718730371899641</v>
      </c>
      <c r="Z219" s="6">
        <v>-70.902216282481021</v>
      </c>
      <c r="AA219" s="6">
        <v>-46.819547861858815</v>
      </c>
      <c r="AB219" s="6">
        <v>427.93239866440848</v>
      </c>
      <c r="AC219" s="6">
        <v>-30.866859250288197</v>
      </c>
      <c r="AD219" s="6">
        <v>-22.132487836515491</v>
      </c>
      <c r="AE219" s="6">
        <v>-65.227799781292362</v>
      </c>
    </row>
    <row r="220" spans="2:31" x14ac:dyDescent="0.3">
      <c r="B220" s="6">
        <v>1.4484112091991185E-3</v>
      </c>
      <c r="C220" s="6">
        <v>3.7553535924712477E-3</v>
      </c>
      <c r="D220" s="6">
        <v>1.5365700852558064E-3</v>
      </c>
      <c r="E220" s="6">
        <v>1.8502873986508703E-3</v>
      </c>
      <c r="F220" s="6">
        <v>3.9934176561358566E-3</v>
      </c>
      <c r="G220" s="6">
        <v>2.342215278353797E-3</v>
      </c>
      <c r="H220" s="6">
        <v>1.9988091441940966E-3</v>
      </c>
      <c r="I220" s="6">
        <v>1.3865911451883318E-3</v>
      </c>
      <c r="J220" s="6">
        <v>3.8480299132389794E-3</v>
      </c>
      <c r="K220" s="6">
        <v>6.4705248967469242E-3</v>
      </c>
      <c r="L220" s="6">
        <v>2.780035495316698E-3</v>
      </c>
      <c r="M220" s="6">
        <v>9.6850458754191571E-3</v>
      </c>
      <c r="N220" s="6">
        <v>5.2805270447114699E-3</v>
      </c>
      <c r="O220" s="6">
        <v>2.5065847287416717E-3</v>
      </c>
      <c r="R220" s="6">
        <v>53.019018420818462</v>
      </c>
      <c r="S220" s="6">
        <v>-49.207867407792584</v>
      </c>
      <c r="T220" s="6">
        <v>49.002933844471521</v>
      </c>
      <c r="U220" s="6">
        <v>-37.666353184155533</v>
      </c>
      <c r="V220" s="6">
        <v>-53.01132319309675</v>
      </c>
      <c r="W220" s="6">
        <v>-32.507550566108968</v>
      </c>
      <c r="X220" s="6">
        <v>10.717263999251674</v>
      </c>
      <c r="Y220" s="6">
        <v>45.644401371006964</v>
      </c>
      <c r="Z220" s="6">
        <v>-96.945633909416543</v>
      </c>
      <c r="AA220" s="6">
        <v>-15.024459198430023</v>
      </c>
      <c r="AB220" s="6">
        <v>-30.866859250288183</v>
      </c>
      <c r="AC220" s="6">
        <v>223.23860356101889</v>
      </c>
      <c r="AD220" s="6">
        <v>-53.07792771661542</v>
      </c>
      <c r="AE220" s="6">
        <v>-8.058374290989569</v>
      </c>
    </row>
    <row r="221" spans="2:31" x14ac:dyDescent="0.3">
      <c r="B221" s="6">
        <v>1.7880392438662524E-3</v>
      </c>
      <c r="C221" s="6">
        <v>3.2676250568253792E-3</v>
      </c>
      <c r="D221" s="6">
        <v>1.4814649608795134E-3</v>
      </c>
      <c r="E221" s="6">
        <v>1.968103569930268E-3</v>
      </c>
      <c r="F221" s="6">
        <v>3.1176085151204563E-3</v>
      </c>
      <c r="G221" s="6">
        <v>2.2495212323518526E-3</v>
      </c>
      <c r="H221" s="6">
        <v>2.672741017508991E-3</v>
      </c>
      <c r="I221" s="6">
        <v>3.5089156737241581E-3</v>
      </c>
      <c r="J221" s="6">
        <v>3.1963414566611899E-3</v>
      </c>
      <c r="K221" s="6">
        <v>6.8293910390354552E-3</v>
      </c>
      <c r="L221" s="6">
        <v>2.8871046206166416E-3</v>
      </c>
      <c r="M221" s="6">
        <v>5.2805270447114699E-3</v>
      </c>
      <c r="N221" s="6">
        <v>1.0073287154601736E-2</v>
      </c>
      <c r="O221" s="6">
        <v>3.1566028724593154E-3</v>
      </c>
      <c r="R221" s="6">
        <v>-68.710065238592506</v>
      </c>
      <c r="S221" s="6">
        <v>-1.7624373761497458</v>
      </c>
      <c r="T221" s="6">
        <v>51.740176620934996</v>
      </c>
      <c r="U221" s="6">
        <v>-15.900219789945901</v>
      </c>
      <c r="V221" s="6">
        <v>8.051948754970546</v>
      </c>
      <c r="W221" s="6">
        <v>16.381160956594719</v>
      </c>
      <c r="X221" s="6">
        <v>-61.342257323231202</v>
      </c>
      <c r="Y221" s="6">
        <v>-37.308414815878344</v>
      </c>
      <c r="Z221" s="6">
        <v>2.1254043531329949</v>
      </c>
      <c r="AA221" s="6">
        <v>-23.259207282287598</v>
      </c>
      <c r="AB221" s="6">
        <v>-22.132487836515423</v>
      </c>
      <c r="AC221" s="6">
        <v>-53.07792771661542</v>
      </c>
      <c r="AD221" s="6">
        <v>206.51432714245757</v>
      </c>
      <c r="AE221" s="6">
        <v>-84.862883181435961</v>
      </c>
    </row>
    <row r="222" spans="2:31" x14ac:dyDescent="0.3">
      <c r="B222" s="6">
        <v>9.8806723064087036E-4</v>
      </c>
      <c r="C222" s="6">
        <v>1.7894377327243977E-3</v>
      </c>
      <c r="D222" s="6">
        <v>8.9074013842862707E-4</v>
      </c>
      <c r="E222" s="6">
        <v>1.0621945325361586E-3</v>
      </c>
      <c r="F222" s="6">
        <v>1.9535987222464306E-3</v>
      </c>
      <c r="G222" s="6">
        <v>1.3117326518052343E-3</v>
      </c>
      <c r="H222" s="6">
        <v>1.2148737535928168E-3</v>
      </c>
      <c r="I222" s="6">
        <v>1.4897177580491311E-3</v>
      </c>
      <c r="J222" s="6">
        <v>1.7400518123871617E-3</v>
      </c>
      <c r="K222" s="6">
        <v>3.4404418586887683E-3</v>
      </c>
      <c r="L222" s="6">
        <v>1.5712697585474223E-3</v>
      </c>
      <c r="M222" s="6">
        <v>2.5065847287416717E-3</v>
      </c>
      <c r="N222" s="6">
        <v>3.1566028724593154E-3</v>
      </c>
      <c r="O222" s="6">
        <v>3.2170662046639553E-3</v>
      </c>
      <c r="R222" s="6">
        <v>-61.746470324742553</v>
      </c>
      <c r="S222" s="6">
        <v>5.3322013200590774</v>
      </c>
      <c r="T222" s="6">
        <v>-49.862842018247449</v>
      </c>
      <c r="U222" s="6">
        <v>-18.853316701538027</v>
      </c>
      <c r="V222" s="6">
        <v>-40.568325185262907</v>
      </c>
      <c r="W222" s="6">
        <v>-52.631894119449491</v>
      </c>
      <c r="X222" s="6">
        <v>5.6670061070441875</v>
      </c>
      <c r="Y222" s="6">
        <v>-3.8073366947583338</v>
      </c>
      <c r="Z222" s="6">
        <v>-25.951042657691143</v>
      </c>
      <c r="AA222" s="6">
        <v>-14.788971634253638</v>
      </c>
      <c r="AB222" s="6">
        <v>-65.227799781292447</v>
      </c>
      <c r="AC222" s="6">
        <v>-8.0583742909895815</v>
      </c>
      <c r="AD222" s="6">
        <v>-84.862883181435933</v>
      </c>
      <c r="AE222" s="6">
        <v>543.84760565563556</v>
      </c>
    </row>
    <row r="224" spans="2:31" x14ac:dyDescent="0.3">
      <c r="Q224" s="2" t="s">
        <v>52</v>
      </c>
      <c r="R224">
        <v>1</v>
      </c>
      <c r="S224">
        <v>1</v>
      </c>
      <c r="T224">
        <v>1</v>
      </c>
      <c r="U224">
        <v>1</v>
      </c>
      <c r="V224">
        <v>1</v>
      </c>
      <c r="W224">
        <v>1</v>
      </c>
      <c r="X224">
        <v>1</v>
      </c>
      <c r="Y224">
        <v>1</v>
      </c>
      <c r="Z224">
        <v>1</v>
      </c>
      <c r="AA224">
        <v>1</v>
      </c>
      <c r="AB224">
        <v>1</v>
      </c>
      <c r="AC224">
        <v>1</v>
      </c>
      <c r="AD224">
        <v>1</v>
      </c>
      <c r="AE224">
        <v>1</v>
      </c>
    </row>
    <row r="226" spans="3:31" x14ac:dyDescent="0.3">
      <c r="Q226" s="2" t="s">
        <v>14</v>
      </c>
      <c r="R226" s="9" cm="1">
        <f t="array" ref="R226:AE226">MMULT(R224:AE224,_xlfn.ANCHORARRAY(R209))/SUM(MMULT(R224:AE224,_xlfn.ANCHORARRAY(R209)))</f>
        <v>0.32574313888819045</v>
      </c>
      <c r="S226" s="9">
        <v>-0.15071566971340003</v>
      </c>
      <c r="T226" s="9">
        <v>0.639120523219465</v>
      </c>
      <c r="U226" s="9">
        <v>8.5988554293584152E-2</v>
      </c>
      <c r="V226" s="9">
        <v>-1.1654458630160331E-2</v>
      </c>
      <c r="W226" s="9">
        <v>2.5056208232450094E-2</v>
      </c>
      <c r="X226" s="9">
        <v>-3.4139041820280047E-2</v>
      </c>
      <c r="Y226" s="9">
        <v>4.7568960417254391E-2</v>
      </c>
      <c r="Z226" s="9">
        <v>-6.0914090823672391E-2</v>
      </c>
      <c r="AA226" s="9">
        <v>-5.3239219825286434E-2</v>
      </c>
      <c r="AB226" s="9">
        <v>0.1456884606567001</v>
      </c>
      <c r="AC226" s="9">
        <v>4.3445946066945724E-3</v>
      </c>
      <c r="AD226" s="9">
        <v>-6.90579840266837E-2</v>
      </c>
      <c r="AE226" s="9">
        <v>0.10621002452514412</v>
      </c>
    </row>
    <row r="228" spans="3:31" x14ac:dyDescent="0.3">
      <c r="C228" s="5" t="s">
        <v>11</v>
      </c>
      <c r="D228" s="6"/>
      <c r="E228" s="5" t="s">
        <v>36</v>
      </c>
      <c r="F228" s="6"/>
      <c r="G228" s="5" t="s">
        <v>53</v>
      </c>
      <c r="Q228" s="5" t="s">
        <v>11</v>
      </c>
      <c r="R228" s="10">
        <f>SUMPRODUCT(_xlfn.ANCHORARRAY(R226),R204:AE204)</f>
        <v>4.7387981388578859E-3</v>
      </c>
    </row>
    <row r="229" spans="3:31" x14ac:dyDescent="0.3">
      <c r="C229" s="10">
        <v>7.806116420532013E-3</v>
      </c>
      <c r="D229" s="6"/>
      <c r="E229" s="6" cm="1">
        <f t="array" ref="E229:E242">MMULT(_xlfn.ANCHORARRAY(R209),C229:C242)</f>
        <v>1.6712575875669857</v>
      </c>
      <c r="F229" s="6"/>
      <c r="G229" s="6">
        <f>E229/SUM(_xlfn.ANCHORARRAY($E$229))</f>
        <v>0.29152756278719832</v>
      </c>
      <c r="Q229" s="5" t="s">
        <v>15</v>
      </c>
      <c r="R229" s="10" cm="1">
        <f t="array" ref="R229">MMULT(_xlfn.ANCHORARRAY(R226),MMULT(_xlfn.ANCHORARRAY(B209),TRANSPOSE(_xlfn.ANCHORARRAY(R226))))</f>
        <v>8.2661720266169307E-4</v>
      </c>
    </row>
    <row r="230" spans="3:31" x14ac:dyDescent="0.3">
      <c r="C230" s="10">
        <v>2.0796706519820008E-2</v>
      </c>
      <c r="D230" s="6"/>
      <c r="E230" s="6">
        <v>2.668022062515552</v>
      </c>
      <c r="F230" s="6"/>
      <c r="G230" s="6">
        <f t="shared" ref="G230:G242" si="115">E230/SUM(_xlfn.ANCHORARRAY($E$229))</f>
        <v>0.46539921501864712</v>
      </c>
      <c r="Q230" s="5" t="s">
        <v>35</v>
      </c>
      <c r="R230" s="10">
        <f>SQRT(R229)</f>
        <v>2.8750951334898349E-2</v>
      </c>
    </row>
    <row r="231" spans="3:31" x14ac:dyDescent="0.3">
      <c r="C231" s="10">
        <v>7.8779363396294395E-3</v>
      </c>
      <c r="D231" s="6"/>
      <c r="E231" s="6">
        <v>-1.225778461006094</v>
      </c>
      <c r="F231" s="6"/>
      <c r="G231" s="6">
        <f t="shared" si="115"/>
        <v>-0.21381994607687999</v>
      </c>
    </row>
    <row r="232" spans="3:31" x14ac:dyDescent="0.3">
      <c r="C232" s="10">
        <v>9.8345080395314099E-3</v>
      </c>
      <c r="D232" s="6"/>
      <c r="E232" s="6">
        <v>2.5798298928793852</v>
      </c>
      <c r="F232" s="6"/>
      <c r="G232" s="6">
        <f t="shared" si="115"/>
        <v>0.45001532179822734</v>
      </c>
    </row>
    <row r="233" spans="3:31" x14ac:dyDescent="0.3">
      <c r="C233" s="10">
        <v>1.3822939463763499E-2</v>
      </c>
      <c r="D233" s="6"/>
      <c r="E233" s="6">
        <v>0.16940734267775076</v>
      </c>
      <c r="F233" s="6"/>
      <c r="G233" s="6">
        <f t="shared" si="115"/>
        <v>2.9550746752927418E-2</v>
      </c>
    </row>
    <row r="234" spans="3:31" x14ac:dyDescent="0.3">
      <c r="C234" s="10">
        <v>8.5126048296373536E-3</v>
      </c>
      <c r="D234" s="6"/>
      <c r="E234" s="6">
        <v>-2.6463557695069744</v>
      </c>
      <c r="F234" s="6"/>
      <c r="G234" s="6">
        <f t="shared" si="115"/>
        <v>-0.46161983256891997</v>
      </c>
    </row>
    <row r="235" spans="3:31" x14ac:dyDescent="0.3">
      <c r="C235" s="10">
        <v>1.2813002994839598E-2</v>
      </c>
      <c r="D235" s="6"/>
      <c r="E235" s="6">
        <v>1.8598662977014766</v>
      </c>
      <c r="F235" s="6"/>
      <c r="G235" s="6">
        <f t="shared" si="115"/>
        <v>0.32442772012679305</v>
      </c>
    </row>
    <row r="236" spans="3:31" x14ac:dyDescent="0.3">
      <c r="C236" s="10">
        <v>5.3959313105448247E-3</v>
      </c>
      <c r="D236" s="6"/>
      <c r="E236" s="6">
        <v>-0.19320274384998196</v>
      </c>
      <c r="F236" s="6"/>
      <c r="G236" s="6">
        <f t="shared" si="115"/>
        <v>-3.3701522408871094E-2</v>
      </c>
    </row>
    <row r="237" spans="3:31" x14ac:dyDescent="0.3">
      <c r="C237" s="10">
        <v>1.6123492576757836E-2</v>
      </c>
      <c r="D237" s="6"/>
      <c r="E237" s="6">
        <v>0.87416311567231153</v>
      </c>
      <c r="F237" s="6"/>
      <c r="G237" s="6">
        <f t="shared" si="115"/>
        <v>0.15248555607840936</v>
      </c>
    </row>
    <row r="238" spans="3:31" x14ac:dyDescent="0.3">
      <c r="C238" s="10">
        <v>2.2051388210134457E-2</v>
      </c>
      <c r="D238" s="6"/>
      <c r="E238" s="6">
        <v>9.3114703986299494E-2</v>
      </c>
      <c r="F238" s="6"/>
      <c r="G238" s="6">
        <f t="shared" si="115"/>
        <v>1.6242560640993525E-2</v>
      </c>
    </row>
    <row r="239" spans="3:31" x14ac:dyDescent="0.3">
      <c r="C239" s="10">
        <v>1.3087787876824386E-2</v>
      </c>
      <c r="D239" s="6"/>
      <c r="E239" s="6">
        <v>1.5484543125370931</v>
      </c>
      <c r="F239" s="6"/>
      <c r="G239" s="6">
        <f t="shared" si="115"/>
        <v>0.27010624524878768</v>
      </c>
    </row>
    <row r="240" spans="3:31" x14ac:dyDescent="0.3">
      <c r="C240" s="10">
        <v>2.6708852636815879E-2</v>
      </c>
      <c r="D240" s="6"/>
      <c r="E240" s="6">
        <v>1.8088773634463364</v>
      </c>
      <c r="F240" s="6"/>
      <c r="G240" s="6">
        <f t="shared" si="115"/>
        <v>0.3155334121259793</v>
      </c>
    </row>
    <row r="241" spans="3:7" x14ac:dyDescent="0.3">
      <c r="C241" s="10">
        <v>1.1270931488079906E-2</v>
      </c>
      <c r="D241" s="6"/>
      <c r="E241" s="6">
        <v>-1.3082185501188124</v>
      </c>
      <c r="F241" s="6"/>
      <c r="G241" s="6">
        <f t="shared" si="115"/>
        <v>-0.22820046912358655</v>
      </c>
    </row>
    <row r="242" spans="3:7" x14ac:dyDescent="0.3">
      <c r="C242" s="10">
        <v>4.6140519967204424E-3</v>
      </c>
      <c r="D242" s="6"/>
      <c r="E242" s="6">
        <v>-2.1666770285336643</v>
      </c>
      <c r="F242" s="6"/>
      <c r="G242" s="6">
        <f t="shared" si="115"/>
        <v>-0.37794657039970575</v>
      </c>
    </row>
    <row r="244" spans="3:7" x14ac:dyDescent="0.3">
      <c r="F244" s="2" t="s">
        <v>20</v>
      </c>
      <c r="G244">
        <f>SUM(G229:G242)</f>
        <v>0.99999999999999978</v>
      </c>
    </row>
    <row r="247" spans="3:7" x14ac:dyDescent="0.3">
      <c r="C247" s="24" t="s">
        <v>11</v>
      </c>
      <c r="D247" s="24"/>
      <c r="E247" s="4">
        <f>SUMPRODUCT(G229:G242,C229:C242)</f>
        <v>2.5613123987269525E-2</v>
      </c>
    </row>
    <row r="248" spans="3:7" x14ac:dyDescent="0.3">
      <c r="C248" s="24" t="s">
        <v>15</v>
      </c>
      <c r="D248" s="24"/>
      <c r="E248" s="4" cm="1">
        <f t="array" ref="E248">MMULT(TRANSPOSE(G229:G242),MMULT(_xlfn.ANCHORARRAY(B209),G229:G242))</f>
        <v>4.4678520336565008E-3</v>
      </c>
    </row>
    <row r="249" spans="3:7" x14ac:dyDescent="0.3">
      <c r="C249" s="24" t="s">
        <v>35</v>
      </c>
      <c r="D249" s="24"/>
      <c r="E249" s="4">
        <f>SQRT(E248)</f>
        <v>6.6841993040726286E-2</v>
      </c>
    </row>
    <row r="252" spans="3:7" x14ac:dyDescent="0.3">
      <c r="C252" s="24" t="s">
        <v>54</v>
      </c>
      <c r="D252" s="24"/>
      <c r="E252">
        <f>E247/E249</f>
        <v>0.38318911244408371</v>
      </c>
    </row>
  </sheetData>
  <mergeCells count="9">
    <mergeCell ref="C248:D248"/>
    <mergeCell ref="C249:D249"/>
    <mergeCell ref="AM4:AZ4"/>
    <mergeCell ref="C252:D252"/>
    <mergeCell ref="B4:O4"/>
    <mergeCell ref="R4:AE4"/>
    <mergeCell ref="B207:O207"/>
    <mergeCell ref="R207:AE207"/>
    <mergeCell ref="C247:D2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Dashboard</vt:lpstr>
      <vt:lpstr>Data of Top 7 Stocks</vt:lpstr>
      <vt:lpstr>Return of Top 7 Stocks</vt:lpstr>
      <vt:lpstr>Standard Optimum Portfolio</vt:lpstr>
      <vt:lpstr>Data of High Volatile Stocks </vt:lpstr>
      <vt:lpstr>Return of volatile stocks</vt:lpstr>
      <vt:lpstr>Optimum Portfolio </vt:lpstr>
      <vt:lpstr>Combined Portfolio Returns </vt:lpstr>
      <vt:lpstr>Combined Optimum Portfolio</vt:lpstr>
      <vt:lpstr>Bull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Tirth</dc:creator>
  <cp:lastModifiedBy>Thakkar, Tirth Manishbhai</cp:lastModifiedBy>
  <dcterms:created xsi:type="dcterms:W3CDTF">2025-10-22T22:22:51Z</dcterms:created>
  <dcterms:modified xsi:type="dcterms:W3CDTF">2026-04-01T16:24:41Z</dcterms:modified>
</cp:coreProperties>
</file>